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slicers/slicer3.xml" ContentType="application/vnd.ms-excel.slicer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uario\Documents\GitHub\temporal\data\"/>
    </mc:Choice>
  </mc:AlternateContent>
  <xr:revisionPtr revIDLastSave="0" documentId="13_ncr:1_{B2C8EF9C-3EE0-476F-9B11-53796E6BACC5}" xr6:coauthVersionLast="47" xr6:coauthVersionMax="47" xr10:uidLastSave="{00000000-0000-0000-0000-000000000000}"/>
  <bookViews>
    <workbookView xWindow="-108" yWindow="-108" windowWidth="23256" windowHeight="12456" tabRatio="851" xr2:uid="{00000000-000D-0000-FFFF-FFFF00000000}"/>
  </bookViews>
  <sheets>
    <sheet name="Trabajadores" sheetId="1" r:id="rId1"/>
    <sheet name="Accidentes" sheetId="2" r:id="rId2"/>
    <sheet name="Atenciones" sheetId="3" r:id="rId3"/>
    <sheet name="Vacunaciones" sheetId="6" r:id="rId4"/>
    <sheet name="STATS" sheetId="16" r:id="rId5"/>
    <sheet name="DASHBOARD_ACCIDENTES" sheetId="19" r:id="rId6"/>
    <sheet name="DASHBOARD_TRABAJADORES" sheetId="21" r:id="rId7"/>
    <sheet name="Seguimiento_Accidentes" sheetId="4" r:id="rId8"/>
    <sheet name="Programaciones" sheetId="8" r:id="rId9"/>
    <sheet name="Historial_Trabajadores" sheetId="18" r:id="rId10"/>
    <sheet name="Capacitaciones" sheetId="17" r:id="rId11"/>
    <sheet name="VMO_Seguimiento" sheetId="14" r:id="rId12"/>
    <sheet name="Registro EMO" sheetId="9" r:id="rId13"/>
    <sheet name="Descansos_Medicos" sheetId="11" r:id="rId14"/>
    <sheet name="Anuncios" sheetId="12" r:id="rId15"/>
    <sheet name="ListasAuxiliares" sheetId="13" r:id="rId16"/>
  </sheets>
  <definedNames>
    <definedName name="_xlnm._FilterDatabase" localSheetId="9" hidden="1">Historial_Trabajadores!$A$1:$G$1</definedName>
    <definedName name="_xlnm._FilterDatabase" localSheetId="15" hidden="1">ListasAuxiliares!$C$15:$C$17</definedName>
    <definedName name="_xlnm._FilterDatabase" localSheetId="12" hidden="1">'Registro EMO'!$A$13:$H$175</definedName>
    <definedName name="_xlpm.act" hidden="1" xlm="1">#NAME?</definedName>
    <definedName name="_xlpm.anio_sel" hidden="1" xlm="1">#NAME?</definedName>
    <definedName name="_xlpm.area" hidden="1" xlm="1">#NAME?</definedName>
    <definedName name="_xlpm.conteo" hidden="1" xlm="1">#NAME?</definedName>
    <definedName name="_xlpm.conteos" hidden="1" xlm="1">#NAME?</definedName>
    <definedName name="_xlpm.d" hidden="1" xlm="1">#NAME?</definedName>
    <definedName name="_xlpm.dicc_f" hidden="1" xlm="1">#NAME?</definedName>
    <definedName name="_xlpm.dicc_g" hidden="1" xlm="1">#NAME?</definedName>
    <definedName name="_xlpm.dn" hidden="1" xlm="1">#NAME?</definedName>
    <definedName name="_xlpm.dni_acc" hidden="1" xlm="1">#NAME?</definedName>
    <definedName name="_xlpm.fil" hidden="1" xlm="1">#NAME?</definedName>
    <definedName name="_xlpm.id_h" hidden="1" xlm="1">#NAME?</definedName>
    <definedName name="_xlpm.list" hidden="1" xlm="1">#NAME?</definedName>
    <definedName name="_xlpm.lista" hidden="1" xlm="1">#NAME?</definedName>
    <definedName name="_xlpm.lista_areas" hidden="1" xlm="1">#NAME?</definedName>
    <definedName name="_xlpm.lista_descripciones" hidden="1" xlm="1">#NAME?</definedName>
    <definedName name="_xlpm.lista_dni" hidden="1" xlm="1">#NAME?</definedName>
    <definedName name="_xlpm.lista_mapeada" hidden="1" xlm="1">#NAME?</definedName>
    <definedName name="_xlpm.lista_perfiles" hidden="1" xlm="1">#NAME?</definedName>
    <definedName name="_xlpm.m" hidden="1" xlm="1">#NAME?</definedName>
    <definedName name="_xlpm.mes_num" hidden="1" xlm="1">#NAME?</definedName>
    <definedName name="_xlpm.o" hidden="1" xlm="1">#NAME?</definedName>
    <definedName name="_xlpm.obra_sel" hidden="1" xlm="1">#NAME?</definedName>
    <definedName name="_xlpm.p" hidden="1" xlm="1">#NAME?</definedName>
    <definedName name="_xlpm.perfiles_unicos" hidden="1" xlm="1">#NAME?</definedName>
    <definedName name="_xlpm.resultado" hidden="1" xlm="1">#NAME?</definedName>
    <definedName name="_xlpm.t" hidden="1" xlm="1">#NAME?</definedName>
    <definedName name="_xlpm.tp" hidden="1" xlm="1">#NAME?</definedName>
    <definedName name="_xlpm.u" hidden="1" xlm="1">#NAME?</definedName>
    <definedName name="_xlpm.ultima_fecha" hidden="1" xlm="1">#NAME?</definedName>
    <definedName name="_xlpm.ut" hidden="1" xlm="1">#NAME?</definedName>
    <definedName name="_xlpm.x" hidden="1" xlm="1">#NAME?</definedName>
    <definedName name="MES">ListasAuxiliares!$C:$C</definedName>
    <definedName name="SegmentaciónDeDatos_AÑO">#N/A</definedName>
    <definedName name="SegmentaciónDeDatos_MES">#N/A</definedName>
    <definedName name="SegmentaciónDeDatos_OBRA1">#N/A</definedName>
  </definedNames>
  <calcPr calcId="191028"/>
  <pivotCaches>
    <pivotCache cacheId="3" r:id="rId17"/>
    <pivotCache cacheId="4" r:id="rId18"/>
    <pivotCache cacheId="5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4" i="9" l="1"/>
  <c r="A175" i="9"/>
  <c r="T450" i="1"/>
  <c r="T449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48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4" i="1"/>
  <c r="T265" i="1"/>
  <c r="T266" i="1"/>
  <c r="T267" i="1"/>
  <c r="T268" i="1"/>
  <c r="T269" i="1"/>
  <c r="T271" i="1"/>
  <c r="T272" i="1"/>
  <c r="T274" i="1"/>
  <c r="T276" i="1"/>
  <c r="T279" i="1"/>
  <c r="T280" i="1"/>
  <c r="T281" i="1"/>
  <c r="T282" i="1"/>
  <c r="T286" i="1"/>
  <c r="T287" i="1"/>
  <c r="T288" i="1"/>
  <c r="T290" i="1"/>
  <c r="T291" i="1"/>
  <c r="T292" i="1"/>
  <c r="T293" i="1"/>
  <c r="T294" i="1"/>
  <c r="T295" i="1"/>
  <c r="T296" i="1"/>
  <c r="T297" i="1"/>
  <c r="T298" i="1"/>
  <c r="T300" i="1"/>
  <c r="T301" i="1"/>
  <c r="T302" i="1"/>
  <c r="T303" i="1"/>
  <c r="T304" i="1"/>
  <c r="T306" i="1"/>
  <c r="T307" i="1"/>
  <c r="T308" i="1"/>
  <c r="T309" i="1"/>
  <c r="T311" i="1"/>
  <c r="T313" i="1"/>
  <c r="T314" i="1"/>
  <c r="T315" i="1"/>
  <c r="T317" i="1"/>
  <c r="T318" i="1"/>
  <c r="T319" i="1"/>
  <c r="T320" i="1"/>
  <c r="T321" i="1"/>
  <c r="T322" i="1"/>
  <c r="T324" i="1"/>
  <c r="T325" i="1"/>
  <c r="T327" i="1"/>
  <c r="T328" i="1"/>
  <c r="T329" i="1"/>
  <c r="T330" i="1"/>
  <c r="T331" i="1"/>
  <c r="T335" i="1"/>
  <c r="T337" i="1"/>
  <c r="T338" i="1"/>
  <c r="T340" i="1"/>
  <c r="T341" i="1"/>
  <c r="T343" i="1"/>
  <c r="T345" i="1"/>
  <c r="T346" i="1"/>
  <c r="T347" i="1"/>
  <c r="T348" i="1"/>
  <c r="T350" i="1"/>
  <c r="T351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A14" i="9" l="1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3" i="9"/>
  <c r="A449" i="1"/>
  <c r="A450" i="1"/>
  <c r="E449" i="1"/>
  <c r="E450" i="1"/>
  <c r="M449" i="1" a="1"/>
  <c r="M449" i="1" s="1"/>
  <c r="Q449" i="1" s="1"/>
  <c r="M450" i="1" a="1"/>
  <c r="M450" i="1" s="1"/>
  <c r="Q450" i="1" s="1"/>
  <c r="N449" i="1" a="1"/>
  <c r="N449" i="1" s="1"/>
  <c r="N450" i="1" a="1"/>
  <c r="N450" i="1" s="1"/>
  <c r="P449" i="1" a="1"/>
  <c r="P449" i="1" s="1"/>
  <c r="O449" i="1" s="1"/>
  <c r="P450" i="1" a="1"/>
  <c r="P450" i="1" s="1"/>
  <c r="O450" i="1" s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M249" i="1" a="1"/>
  <c r="M249" i="1" s="1"/>
  <c r="Q249" i="1" s="1"/>
  <c r="M250" i="1" a="1"/>
  <c r="M250" i="1" s="1"/>
  <c r="Q250" i="1" s="1"/>
  <c r="M251" i="1" a="1"/>
  <c r="M251" i="1" s="1"/>
  <c r="Q251" i="1" s="1"/>
  <c r="M252" i="1" a="1"/>
  <c r="M252" i="1" s="1"/>
  <c r="Q252" i="1" s="1"/>
  <c r="M253" i="1" a="1"/>
  <c r="M253" i="1" s="1"/>
  <c r="M254" i="1" a="1"/>
  <c r="M254" i="1" s="1"/>
  <c r="M255" i="1" a="1"/>
  <c r="M255" i="1" s="1"/>
  <c r="Q255" i="1" s="1"/>
  <c r="M256" i="1" a="1"/>
  <c r="M256" i="1" s="1"/>
  <c r="Q256" i="1" s="1"/>
  <c r="M257" i="1" a="1"/>
  <c r="M257" i="1" s="1"/>
  <c r="Q257" i="1" s="1"/>
  <c r="M258" i="1" a="1"/>
  <c r="M258" i="1" s="1"/>
  <c r="Q258" i="1" s="1"/>
  <c r="M259" i="1" a="1"/>
  <c r="M259" i="1" s="1"/>
  <c r="M260" i="1" a="1"/>
  <c r="M260" i="1" s="1"/>
  <c r="Q260" i="1" s="1"/>
  <c r="M261" i="1" a="1"/>
  <c r="M261" i="1" s="1"/>
  <c r="M262" i="1" a="1"/>
  <c r="M262" i="1" s="1"/>
  <c r="M263" i="1" a="1"/>
  <c r="M263" i="1" s="1"/>
  <c r="Q263" i="1" s="1"/>
  <c r="M264" i="1" a="1"/>
  <c r="M264" i="1" s="1"/>
  <c r="Q264" i="1" s="1"/>
  <c r="M265" i="1" a="1"/>
  <c r="M265" i="1" s="1"/>
  <c r="Q265" i="1" s="1"/>
  <c r="M266" i="1" a="1"/>
  <c r="M266" i="1" s="1"/>
  <c r="Q266" i="1" s="1"/>
  <c r="M267" i="1" a="1"/>
  <c r="M267" i="1" s="1"/>
  <c r="Q267" i="1" s="1"/>
  <c r="M268" i="1" a="1"/>
  <c r="M268" i="1" s="1"/>
  <c r="M269" i="1" a="1"/>
  <c r="M269" i="1" s="1"/>
  <c r="M270" i="1" a="1"/>
  <c r="M270" i="1" s="1"/>
  <c r="Q270" i="1" s="1"/>
  <c r="M271" i="1" a="1"/>
  <c r="M271" i="1" s="1"/>
  <c r="Q271" i="1" s="1"/>
  <c r="M272" i="1" a="1"/>
  <c r="M272" i="1" s="1"/>
  <c r="Q272" i="1" s="1"/>
  <c r="M273" i="1" a="1"/>
  <c r="M273" i="1" s="1"/>
  <c r="Q273" i="1" s="1"/>
  <c r="M274" i="1" a="1"/>
  <c r="M274" i="1" s="1"/>
  <c r="M275" i="1" a="1"/>
  <c r="M275" i="1" s="1"/>
  <c r="M276" i="1" a="1"/>
  <c r="M276" i="1" s="1"/>
  <c r="Q276" i="1" s="1"/>
  <c r="M277" i="1" a="1"/>
  <c r="M277" i="1" s="1"/>
  <c r="M278" i="1" a="1"/>
  <c r="M278" i="1" s="1"/>
  <c r="M279" i="1" a="1"/>
  <c r="M279" i="1" s="1"/>
  <c r="Q279" i="1" s="1"/>
  <c r="M280" i="1" a="1"/>
  <c r="M280" i="1" s="1"/>
  <c r="Q280" i="1" s="1"/>
  <c r="M281" i="1" a="1"/>
  <c r="M281" i="1" s="1"/>
  <c r="Q281" i="1" s="1"/>
  <c r="M282" i="1" a="1"/>
  <c r="M282" i="1" s="1"/>
  <c r="Q282" i="1" s="1"/>
  <c r="M283" i="1" a="1"/>
  <c r="M283" i="1" s="1"/>
  <c r="Q283" i="1" s="1"/>
  <c r="M284" i="1" a="1"/>
  <c r="M284" i="1" s="1"/>
  <c r="Q284" i="1" s="1"/>
  <c r="M285" i="1" a="1"/>
  <c r="M285" i="1" s="1"/>
  <c r="M286" i="1" a="1"/>
  <c r="M286" i="1" s="1"/>
  <c r="Q286" i="1" s="1"/>
  <c r="M287" i="1" a="1"/>
  <c r="M287" i="1" s="1"/>
  <c r="M288" i="1" a="1"/>
  <c r="M288" i="1" s="1"/>
  <c r="Q288" i="1" s="1"/>
  <c r="M289" i="1" a="1"/>
  <c r="M289" i="1" s="1"/>
  <c r="Q289" i="1" s="1"/>
  <c r="M290" i="1" a="1"/>
  <c r="M290" i="1" s="1"/>
  <c r="Q290" i="1" s="1"/>
  <c r="M291" i="1" a="1"/>
  <c r="M291" i="1" s="1"/>
  <c r="Q291" i="1" s="1"/>
  <c r="M292" i="1" a="1"/>
  <c r="M292" i="1" s="1"/>
  <c r="Q292" i="1" s="1"/>
  <c r="M293" i="1" a="1"/>
  <c r="M293" i="1" s="1"/>
  <c r="Q293" i="1" s="1"/>
  <c r="M294" i="1" a="1"/>
  <c r="M294" i="1" s="1"/>
  <c r="Q294" i="1" s="1"/>
  <c r="M295" i="1" a="1"/>
  <c r="M295" i="1" s="1"/>
  <c r="Q295" i="1" s="1"/>
  <c r="M296" i="1" a="1"/>
  <c r="M296" i="1" s="1"/>
  <c r="Q296" i="1" s="1"/>
  <c r="M297" i="1" a="1"/>
  <c r="M297" i="1" s="1"/>
  <c r="Q297" i="1" s="1"/>
  <c r="M298" i="1" a="1"/>
  <c r="M298" i="1" s="1"/>
  <c r="Q298" i="1" s="1"/>
  <c r="M299" i="1" a="1"/>
  <c r="M299" i="1" s="1"/>
  <c r="Q299" i="1" s="1"/>
  <c r="M300" i="1" a="1"/>
  <c r="M300" i="1" s="1"/>
  <c r="Q300" i="1" s="1"/>
  <c r="M301" i="1" a="1"/>
  <c r="M301" i="1" s="1"/>
  <c r="M302" i="1" a="1"/>
  <c r="M302" i="1" s="1"/>
  <c r="M303" i="1" a="1"/>
  <c r="M303" i="1" s="1"/>
  <c r="Q303" i="1" s="1"/>
  <c r="M304" i="1" a="1"/>
  <c r="M304" i="1" s="1"/>
  <c r="Q304" i="1" s="1"/>
  <c r="M305" i="1" a="1"/>
  <c r="M305" i="1" s="1"/>
  <c r="Q305" i="1" s="1"/>
  <c r="M306" i="1" a="1"/>
  <c r="M306" i="1" s="1"/>
  <c r="Q306" i="1" s="1"/>
  <c r="M307" i="1" a="1"/>
  <c r="M307" i="1" s="1"/>
  <c r="Q307" i="1" s="1"/>
  <c r="M308" i="1" a="1"/>
  <c r="M308" i="1" s="1"/>
  <c r="M309" i="1" a="1"/>
  <c r="M309" i="1" s="1"/>
  <c r="M310" i="1" a="1"/>
  <c r="M310" i="1" s="1"/>
  <c r="M311" i="1" a="1"/>
  <c r="M311" i="1" s="1"/>
  <c r="Q311" i="1" s="1"/>
  <c r="M312" i="1" a="1"/>
  <c r="M312" i="1" s="1"/>
  <c r="Q312" i="1" s="1"/>
  <c r="M313" i="1" a="1"/>
  <c r="M313" i="1" s="1"/>
  <c r="Q313" i="1" s="1"/>
  <c r="M314" i="1" a="1"/>
  <c r="M314" i="1" s="1"/>
  <c r="Q314" i="1" s="1"/>
  <c r="M315" i="1" a="1"/>
  <c r="M315" i="1" s="1"/>
  <c r="Q315" i="1" s="1"/>
  <c r="M316" i="1" a="1"/>
  <c r="M316" i="1" s="1"/>
  <c r="Q316" i="1" s="1"/>
  <c r="M317" i="1" a="1"/>
  <c r="M317" i="1" s="1"/>
  <c r="M318" i="1" a="1"/>
  <c r="M318" i="1" s="1"/>
  <c r="Q318" i="1" s="1"/>
  <c r="M319" i="1" a="1"/>
  <c r="M319" i="1" s="1"/>
  <c r="Q319" i="1" s="1"/>
  <c r="M320" i="1" a="1"/>
  <c r="M320" i="1" s="1"/>
  <c r="Q320" i="1" s="1"/>
  <c r="M321" i="1" a="1"/>
  <c r="M321" i="1" s="1"/>
  <c r="Q321" i="1" s="1"/>
  <c r="M322" i="1" a="1"/>
  <c r="M322" i="1" s="1"/>
  <c r="Q322" i="1" s="1"/>
  <c r="M323" i="1" a="1"/>
  <c r="M323" i="1" s="1"/>
  <c r="Q323" i="1" s="1"/>
  <c r="M324" i="1" a="1"/>
  <c r="M324" i="1" s="1"/>
  <c r="Q324" i="1" s="1"/>
  <c r="M325" i="1" a="1"/>
  <c r="M325" i="1" s="1"/>
  <c r="Q325" i="1" s="1"/>
  <c r="M326" i="1" a="1"/>
  <c r="M326" i="1" s="1"/>
  <c r="Q326" i="1" s="1"/>
  <c r="M327" i="1" a="1"/>
  <c r="M327" i="1" s="1"/>
  <c r="Q327" i="1" s="1"/>
  <c r="M328" i="1" a="1"/>
  <c r="M328" i="1" s="1"/>
  <c r="Q328" i="1" s="1"/>
  <c r="M329" i="1" a="1"/>
  <c r="M329" i="1" s="1"/>
  <c r="Q329" i="1" s="1"/>
  <c r="M330" i="1" a="1"/>
  <c r="M330" i="1" s="1"/>
  <c r="Q330" i="1" s="1"/>
  <c r="M331" i="1" a="1"/>
  <c r="M331" i="1" s="1"/>
  <c r="Q331" i="1" s="1"/>
  <c r="M332" i="1" a="1"/>
  <c r="M332" i="1" s="1"/>
  <c r="M333" i="1" a="1"/>
  <c r="M333" i="1" s="1"/>
  <c r="M334" i="1" a="1"/>
  <c r="M334" i="1" s="1"/>
  <c r="M335" i="1" a="1"/>
  <c r="M335" i="1" s="1"/>
  <c r="Q335" i="1" s="1"/>
  <c r="M336" i="1" a="1"/>
  <c r="M336" i="1" s="1"/>
  <c r="Q336" i="1" s="1"/>
  <c r="M337" i="1" a="1"/>
  <c r="M337" i="1" s="1"/>
  <c r="Q337" i="1" s="1"/>
  <c r="M338" i="1" a="1"/>
  <c r="M338" i="1" s="1"/>
  <c r="Q338" i="1" s="1"/>
  <c r="M339" i="1" a="1"/>
  <c r="M339" i="1" s="1"/>
  <c r="Q339" i="1" s="1"/>
  <c r="M340" i="1" a="1"/>
  <c r="M340" i="1" s="1"/>
  <c r="Q340" i="1" s="1"/>
  <c r="M341" i="1" a="1"/>
  <c r="M341" i="1" s="1"/>
  <c r="M342" i="1" a="1"/>
  <c r="M342" i="1" s="1"/>
  <c r="Q342" i="1" s="1"/>
  <c r="M343" i="1" a="1"/>
  <c r="M343" i="1" s="1"/>
  <c r="Q343" i="1" s="1"/>
  <c r="M344" i="1" a="1"/>
  <c r="M344" i="1" s="1"/>
  <c r="Q344" i="1" s="1"/>
  <c r="M345" i="1" a="1"/>
  <c r="M345" i="1" s="1"/>
  <c r="Q345" i="1" s="1"/>
  <c r="M346" i="1" a="1"/>
  <c r="M346" i="1" s="1"/>
  <c r="Q346" i="1" s="1"/>
  <c r="M347" i="1" a="1"/>
  <c r="M347" i="1" s="1"/>
  <c r="Q347" i="1" s="1"/>
  <c r="M348" i="1" a="1"/>
  <c r="M348" i="1" s="1"/>
  <c r="M349" i="1" a="1"/>
  <c r="M349" i="1" s="1"/>
  <c r="M350" i="1" a="1"/>
  <c r="M350" i="1" s="1"/>
  <c r="Q350" i="1" s="1"/>
  <c r="M351" i="1" a="1"/>
  <c r="M351" i="1" s="1"/>
  <c r="Q351" i="1" s="1"/>
  <c r="M352" i="1" a="1"/>
  <c r="M352" i="1" s="1"/>
  <c r="Q352" i="1" s="1"/>
  <c r="M353" i="1" a="1"/>
  <c r="M353" i="1" s="1"/>
  <c r="Q353" i="1" s="1"/>
  <c r="M354" i="1" a="1"/>
  <c r="M354" i="1" s="1"/>
  <c r="Q354" i="1" s="1"/>
  <c r="M355" i="1" a="1"/>
  <c r="M355" i="1" s="1"/>
  <c r="Q355" i="1" s="1"/>
  <c r="M356" i="1" a="1"/>
  <c r="M356" i="1" s="1"/>
  <c r="Q356" i="1" s="1"/>
  <c r="M357" i="1" a="1"/>
  <c r="M357" i="1" s="1"/>
  <c r="M358" i="1" a="1"/>
  <c r="M358" i="1" s="1"/>
  <c r="Q358" i="1" s="1"/>
  <c r="M359" i="1" a="1"/>
  <c r="M359" i="1" s="1"/>
  <c r="Q359" i="1" s="1"/>
  <c r="M360" i="1" a="1"/>
  <c r="M360" i="1" s="1"/>
  <c r="Q360" i="1" s="1"/>
  <c r="M361" i="1" a="1"/>
  <c r="M361" i="1" s="1"/>
  <c r="Q361" i="1" s="1"/>
  <c r="M362" i="1" a="1"/>
  <c r="M362" i="1" s="1"/>
  <c r="Q362" i="1" s="1"/>
  <c r="M363" i="1" a="1"/>
  <c r="M363" i="1" s="1"/>
  <c r="Q363" i="1" s="1"/>
  <c r="M364" i="1" a="1"/>
  <c r="M364" i="1" s="1"/>
  <c r="Q364" i="1" s="1"/>
  <c r="M365" i="1" a="1"/>
  <c r="M365" i="1" s="1"/>
  <c r="Q365" i="1" s="1"/>
  <c r="M366" i="1" a="1"/>
  <c r="M366" i="1" s="1"/>
  <c r="Q366" i="1" s="1"/>
  <c r="M367" i="1" a="1"/>
  <c r="M367" i="1" s="1"/>
  <c r="Q367" i="1" s="1"/>
  <c r="M368" i="1" a="1"/>
  <c r="M368" i="1" s="1"/>
  <c r="Q368" i="1" s="1"/>
  <c r="M369" i="1" a="1"/>
  <c r="M369" i="1" s="1"/>
  <c r="Q369" i="1" s="1"/>
  <c r="M370" i="1" a="1"/>
  <c r="M370" i="1" s="1"/>
  <c r="Q370" i="1" s="1"/>
  <c r="M371" i="1" a="1"/>
  <c r="M371" i="1" s="1"/>
  <c r="Q371" i="1" s="1"/>
  <c r="M372" i="1" a="1"/>
  <c r="M372" i="1" s="1"/>
  <c r="M373" i="1" a="1"/>
  <c r="M373" i="1" s="1"/>
  <c r="Q373" i="1" s="1"/>
  <c r="M374" i="1" a="1"/>
  <c r="M374" i="1" s="1"/>
  <c r="Q374" i="1" s="1"/>
  <c r="M375" i="1" a="1"/>
  <c r="M375" i="1" s="1"/>
  <c r="Q375" i="1" s="1"/>
  <c r="M376" i="1" a="1"/>
  <c r="M376" i="1" s="1"/>
  <c r="Q376" i="1" s="1"/>
  <c r="M377" i="1" a="1"/>
  <c r="M377" i="1" s="1"/>
  <c r="Q377" i="1" s="1"/>
  <c r="M378" i="1" a="1"/>
  <c r="M378" i="1" s="1"/>
  <c r="Q378" i="1" s="1"/>
  <c r="M379" i="1" a="1"/>
  <c r="M379" i="1" s="1"/>
  <c r="Q379" i="1" s="1"/>
  <c r="M380" i="1" a="1"/>
  <c r="M380" i="1" s="1"/>
  <c r="Q380" i="1" s="1"/>
  <c r="M381" i="1" a="1"/>
  <c r="M381" i="1" s="1"/>
  <c r="M382" i="1" a="1"/>
  <c r="M382" i="1" s="1"/>
  <c r="Q382" i="1" s="1"/>
  <c r="M383" i="1" a="1"/>
  <c r="M383" i="1" s="1"/>
  <c r="M384" i="1" a="1"/>
  <c r="M384" i="1" s="1"/>
  <c r="Q384" i="1" s="1"/>
  <c r="M385" i="1" a="1"/>
  <c r="M385" i="1" s="1"/>
  <c r="Q385" i="1" s="1"/>
  <c r="M386" i="1" a="1"/>
  <c r="M386" i="1" s="1"/>
  <c r="Q386" i="1" s="1"/>
  <c r="M387" i="1" a="1"/>
  <c r="M387" i="1" s="1"/>
  <c r="Q387" i="1" s="1"/>
  <c r="M388" i="1" a="1"/>
  <c r="M388" i="1" s="1"/>
  <c r="Q388" i="1" s="1"/>
  <c r="M389" i="1" a="1"/>
  <c r="M389" i="1" s="1"/>
  <c r="M390" i="1" a="1"/>
  <c r="M390" i="1" s="1"/>
  <c r="Q390" i="1" s="1"/>
  <c r="M391" i="1" a="1"/>
  <c r="M391" i="1" s="1"/>
  <c r="Q391" i="1" s="1"/>
  <c r="M392" i="1" a="1"/>
  <c r="M392" i="1" s="1"/>
  <c r="M393" i="1" a="1"/>
  <c r="M393" i="1" s="1"/>
  <c r="M394" i="1" a="1"/>
  <c r="M394" i="1" s="1"/>
  <c r="Q394" i="1" s="1"/>
  <c r="M395" i="1" a="1"/>
  <c r="M395" i="1" s="1"/>
  <c r="Q395" i="1" s="1"/>
  <c r="M396" i="1" a="1"/>
  <c r="M396" i="1" s="1"/>
  <c r="Q396" i="1" s="1"/>
  <c r="M397" i="1" a="1"/>
  <c r="M397" i="1" s="1"/>
  <c r="M398" i="1" a="1"/>
  <c r="M398" i="1" s="1"/>
  <c r="Q398" i="1" s="1"/>
  <c r="M399" i="1" a="1"/>
  <c r="M399" i="1" s="1"/>
  <c r="Q399" i="1" s="1"/>
  <c r="M400" i="1" a="1"/>
  <c r="M400" i="1" s="1"/>
  <c r="Q400" i="1" s="1"/>
  <c r="M401" i="1" a="1"/>
  <c r="M401" i="1" s="1"/>
  <c r="Q401" i="1" s="1"/>
  <c r="M402" i="1" a="1"/>
  <c r="M402" i="1" s="1"/>
  <c r="Q402" i="1" s="1"/>
  <c r="M403" i="1" a="1"/>
  <c r="M403" i="1" s="1"/>
  <c r="Q403" i="1" s="1"/>
  <c r="M404" i="1" a="1"/>
  <c r="M404" i="1" s="1"/>
  <c r="Q404" i="1" s="1"/>
  <c r="M405" i="1" a="1"/>
  <c r="M405" i="1" s="1"/>
  <c r="M406" i="1" a="1"/>
  <c r="M406" i="1" s="1"/>
  <c r="Q406" i="1" s="1"/>
  <c r="M407" i="1" a="1"/>
  <c r="M407" i="1" s="1"/>
  <c r="M408" i="1" a="1"/>
  <c r="M408" i="1" s="1"/>
  <c r="Q408" i="1" s="1"/>
  <c r="M409" i="1" a="1"/>
  <c r="M409" i="1" s="1"/>
  <c r="Q409" i="1" s="1"/>
  <c r="M410" i="1" a="1"/>
  <c r="M410" i="1" s="1"/>
  <c r="Q410" i="1" s="1"/>
  <c r="M411" i="1" a="1"/>
  <c r="M411" i="1" s="1"/>
  <c r="Q411" i="1" s="1"/>
  <c r="M412" i="1" a="1"/>
  <c r="M412" i="1" s="1"/>
  <c r="Q412" i="1" s="1"/>
  <c r="M413" i="1" a="1"/>
  <c r="M413" i="1" s="1"/>
  <c r="Q413" i="1" s="1"/>
  <c r="M414" i="1" a="1"/>
  <c r="M414" i="1" s="1"/>
  <c r="Q414" i="1" s="1"/>
  <c r="M415" i="1" a="1"/>
  <c r="M415" i="1" s="1"/>
  <c r="Q415" i="1" s="1"/>
  <c r="M416" i="1" a="1"/>
  <c r="M416" i="1" s="1"/>
  <c r="Q416" i="1" s="1"/>
  <c r="M417" i="1" a="1"/>
  <c r="M417" i="1" s="1"/>
  <c r="Q417" i="1" s="1"/>
  <c r="M418" i="1" a="1"/>
  <c r="M418" i="1" s="1"/>
  <c r="Q418" i="1" s="1"/>
  <c r="M419" i="1" a="1"/>
  <c r="M419" i="1" s="1"/>
  <c r="Q419" i="1" s="1"/>
  <c r="M420" i="1" a="1"/>
  <c r="M420" i="1" s="1"/>
  <c r="Q420" i="1" s="1"/>
  <c r="M421" i="1" a="1"/>
  <c r="M421" i="1" s="1"/>
  <c r="Q421" i="1" s="1"/>
  <c r="M422" i="1" a="1"/>
  <c r="M422" i="1" s="1"/>
  <c r="Q422" i="1" s="1"/>
  <c r="M423" i="1" a="1"/>
  <c r="M423" i="1" s="1"/>
  <c r="Q423" i="1" s="1"/>
  <c r="M424" i="1" a="1"/>
  <c r="M424" i="1" s="1"/>
  <c r="Q424" i="1" s="1"/>
  <c r="M425" i="1" a="1"/>
  <c r="M425" i="1" s="1"/>
  <c r="Q425" i="1" s="1"/>
  <c r="M426" i="1" a="1"/>
  <c r="M426" i="1" s="1"/>
  <c r="Q426" i="1" s="1"/>
  <c r="M427" i="1" a="1"/>
  <c r="M427" i="1" s="1"/>
  <c r="Q427" i="1" s="1"/>
  <c r="M428" i="1" a="1"/>
  <c r="M428" i="1" s="1"/>
  <c r="Q428" i="1" s="1"/>
  <c r="M429" i="1" a="1"/>
  <c r="M429" i="1" s="1"/>
  <c r="Q429" i="1" s="1"/>
  <c r="M430" i="1" a="1"/>
  <c r="M430" i="1" s="1"/>
  <c r="Q430" i="1" s="1"/>
  <c r="M431" i="1" a="1"/>
  <c r="M431" i="1" s="1"/>
  <c r="Q431" i="1" s="1"/>
  <c r="M432" i="1" a="1"/>
  <c r="M432" i="1" s="1"/>
  <c r="Q432" i="1" s="1"/>
  <c r="M433" i="1" a="1"/>
  <c r="M433" i="1" s="1"/>
  <c r="Q433" i="1" s="1"/>
  <c r="M434" i="1" a="1"/>
  <c r="M434" i="1" s="1"/>
  <c r="Q434" i="1" s="1"/>
  <c r="M435" i="1" a="1"/>
  <c r="M435" i="1" s="1"/>
  <c r="Q435" i="1" s="1"/>
  <c r="M436" i="1" a="1"/>
  <c r="M436" i="1" s="1"/>
  <c r="Q436" i="1" s="1"/>
  <c r="M437" i="1" a="1"/>
  <c r="M437" i="1" s="1"/>
  <c r="Q437" i="1" s="1"/>
  <c r="M438" i="1" a="1"/>
  <c r="M438" i="1" s="1"/>
  <c r="Q438" i="1" s="1"/>
  <c r="M439" i="1" a="1"/>
  <c r="M439" i="1" s="1"/>
  <c r="Q439" i="1" s="1"/>
  <c r="M440" i="1" a="1"/>
  <c r="M440" i="1" s="1"/>
  <c r="Q440" i="1" s="1"/>
  <c r="M441" i="1" a="1"/>
  <c r="M441" i="1" s="1"/>
  <c r="Q441" i="1" s="1"/>
  <c r="M442" i="1" a="1"/>
  <c r="M442" i="1" s="1"/>
  <c r="Q442" i="1" s="1"/>
  <c r="M443" i="1" a="1"/>
  <c r="M443" i="1" s="1"/>
  <c r="M444" i="1" a="1"/>
  <c r="M444" i="1" s="1"/>
  <c r="M445" i="1" a="1"/>
  <c r="M445" i="1" s="1"/>
  <c r="Q445" i="1" s="1"/>
  <c r="M446" i="1" a="1"/>
  <c r="M446" i="1" s="1"/>
  <c r="Q446" i="1" s="1"/>
  <c r="M447" i="1" a="1"/>
  <c r="M447" i="1" s="1"/>
  <c r="Q447" i="1" s="1"/>
  <c r="M448" i="1" a="1"/>
  <c r="M448" i="1" s="1"/>
  <c r="Q448" i="1" s="1"/>
  <c r="N249" i="1" a="1"/>
  <c r="N249" i="1" s="1"/>
  <c r="N250" i="1" a="1"/>
  <c r="N250" i="1" s="1"/>
  <c r="N251" i="1" a="1"/>
  <c r="N251" i="1" s="1"/>
  <c r="N252" i="1" a="1"/>
  <c r="N252" i="1" s="1"/>
  <c r="N253" i="1" a="1"/>
  <c r="N253" i="1" s="1"/>
  <c r="N254" i="1" a="1"/>
  <c r="N254" i="1" s="1"/>
  <c r="N255" i="1" a="1"/>
  <c r="N255" i="1" s="1"/>
  <c r="N256" i="1" a="1"/>
  <c r="N256" i="1" s="1"/>
  <c r="N257" i="1" a="1"/>
  <c r="N257" i="1" s="1"/>
  <c r="N258" i="1" a="1"/>
  <c r="N258" i="1" s="1"/>
  <c r="N259" i="1" a="1"/>
  <c r="N259" i="1" s="1"/>
  <c r="N260" i="1" a="1"/>
  <c r="N260" i="1" s="1"/>
  <c r="N261" i="1" a="1"/>
  <c r="N261" i="1" s="1"/>
  <c r="N262" i="1" a="1"/>
  <c r="N262" i="1" s="1"/>
  <c r="N263" i="1" a="1"/>
  <c r="N263" i="1" s="1"/>
  <c r="N264" i="1" a="1"/>
  <c r="N264" i="1" s="1"/>
  <c r="N265" i="1" a="1"/>
  <c r="N265" i="1" s="1"/>
  <c r="N266" i="1" a="1"/>
  <c r="N266" i="1" s="1"/>
  <c r="N267" i="1" a="1"/>
  <c r="N267" i="1" s="1"/>
  <c r="N268" i="1" a="1"/>
  <c r="N268" i="1" s="1"/>
  <c r="N269" i="1" a="1"/>
  <c r="N269" i="1" s="1"/>
  <c r="N270" i="1" a="1"/>
  <c r="N270" i="1" s="1"/>
  <c r="N271" i="1" a="1"/>
  <c r="N271" i="1" s="1"/>
  <c r="N272" i="1" a="1"/>
  <c r="N272" i="1" s="1"/>
  <c r="N273" i="1" a="1"/>
  <c r="N273" i="1" s="1"/>
  <c r="N274" i="1" a="1"/>
  <c r="N274" i="1" s="1"/>
  <c r="N275" i="1" a="1"/>
  <c r="N275" i="1" s="1"/>
  <c r="N276" i="1" a="1"/>
  <c r="N276" i="1" s="1"/>
  <c r="N277" i="1" a="1"/>
  <c r="N277" i="1" s="1"/>
  <c r="N278" i="1" a="1"/>
  <c r="N278" i="1" s="1"/>
  <c r="N279" i="1" a="1"/>
  <c r="N279" i="1" s="1"/>
  <c r="N280" i="1" a="1"/>
  <c r="N280" i="1" s="1"/>
  <c r="N281" i="1" a="1"/>
  <c r="N281" i="1" s="1"/>
  <c r="N282" i="1" a="1"/>
  <c r="N282" i="1" s="1"/>
  <c r="N283" i="1" a="1"/>
  <c r="N283" i="1" s="1"/>
  <c r="N284" i="1" a="1"/>
  <c r="N284" i="1" s="1"/>
  <c r="N285" i="1" a="1"/>
  <c r="N285" i="1" s="1"/>
  <c r="N286" i="1" a="1"/>
  <c r="N286" i="1" s="1"/>
  <c r="N287" i="1" a="1"/>
  <c r="N287" i="1" s="1"/>
  <c r="N288" i="1" a="1"/>
  <c r="N288" i="1" s="1"/>
  <c r="N289" i="1" a="1"/>
  <c r="N289" i="1" s="1"/>
  <c r="N290" i="1" a="1"/>
  <c r="N290" i="1" s="1"/>
  <c r="N291" i="1" a="1"/>
  <c r="N291" i="1" s="1"/>
  <c r="N292" i="1" a="1"/>
  <c r="N292" i="1" s="1"/>
  <c r="N293" i="1" a="1"/>
  <c r="N293" i="1" s="1"/>
  <c r="N294" i="1" a="1"/>
  <c r="N294" i="1" s="1"/>
  <c r="N295" i="1" a="1"/>
  <c r="N295" i="1" s="1"/>
  <c r="N296" i="1" a="1"/>
  <c r="N296" i="1" s="1"/>
  <c r="N297" i="1" a="1"/>
  <c r="N297" i="1" s="1"/>
  <c r="N298" i="1" a="1"/>
  <c r="N298" i="1" s="1"/>
  <c r="N299" i="1" a="1"/>
  <c r="N299" i="1" s="1"/>
  <c r="N300" i="1" a="1"/>
  <c r="N300" i="1" s="1"/>
  <c r="N301" i="1" a="1"/>
  <c r="N301" i="1" s="1"/>
  <c r="N302" i="1" a="1"/>
  <c r="N302" i="1" s="1"/>
  <c r="N303" i="1" a="1"/>
  <c r="N303" i="1" s="1"/>
  <c r="N304" i="1" a="1"/>
  <c r="N304" i="1" s="1"/>
  <c r="N305" i="1" a="1"/>
  <c r="N305" i="1" s="1"/>
  <c r="N306" i="1" a="1"/>
  <c r="N306" i="1" s="1"/>
  <c r="N307" i="1" a="1"/>
  <c r="N307" i="1" s="1"/>
  <c r="N308" i="1" a="1"/>
  <c r="N308" i="1" s="1"/>
  <c r="N309" i="1" a="1"/>
  <c r="N309" i="1" s="1"/>
  <c r="N310" i="1" a="1"/>
  <c r="N310" i="1" s="1"/>
  <c r="N311" i="1" a="1"/>
  <c r="N311" i="1" s="1"/>
  <c r="N312" i="1" a="1"/>
  <c r="N312" i="1" s="1"/>
  <c r="N313" i="1" a="1"/>
  <c r="N313" i="1" s="1"/>
  <c r="N314" i="1" a="1"/>
  <c r="N314" i="1" s="1"/>
  <c r="N315" i="1" a="1"/>
  <c r="N315" i="1" s="1"/>
  <c r="N316" i="1" a="1"/>
  <c r="N316" i="1" s="1"/>
  <c r="N317" i="1" a="1"/>
  <c r="N317" i="1" s="1"/>
  <c r="N318" i="1" a="1"/>
  <c r="N318" i="1" s="1"/>
  <c r="N319" i="1" a="1"/>
  <c r="N319" i="1" s="1"/>
  <c r="N320" i="1" a="1"/>
  <c r="N320" i="1" s="1"/>
  <c r="N321" i="1" a="1"/>
  <c r="N321" i="1" s="1"/>
  <c r="N322" i="1" a="1"/>
  <c r="N322" i="1" s="1"/>
  <c r="N323" i="1" a="1"/>
  <c r="N323" i="1" s="1"/>
  <c r="N324" i="1" a="1"/>
  <c r="N324" i="1" s="1"/>
  <c r="N325" i="1" a="1"/>
  <c r="N325" i="1" s="1"/>
  <c r="N326" i="1" a="1"/>
  <c r="N326" i="1" s="1"/>
  <c r="N327" i="1" a="1"/>
  <c r="N327" i="1" s="1"/>
  <c r="N328" i="1" a="1"/>
  <c r="N328" i="1" s="1"/>
  <c r="N329" i="1" a="1"/>
  <c r="N329" i="1" s="1"/>
  <c r="N330" i="1" a="1"/>
  <c r="N330" i="1" s="1"/>
  <c r="N331" i="1" a="1"/>
  <c r="N331" i="1" s="1"/>
  <c r="N332" i="1" a="1"/>
  <c r="N332" i="1" s="1"/>
  <c r="N333" i="1" a="1"/>
  <c r="N333" i="1" s="1"/>
  <c r="N334" i="1" a="1"/>
  <c r="N334" i="1" s="1"/>
  <c r="N335" i="1" a="1"/>
  <c r="N335" i="1" s="1"/>
  <c r="N336" i="1" a="1"/>
  <c r="N336" i="1" s="1"/>
  <c r="N337" i="1" a="1"/>
  <c r="N337" i="1" s="1"/>
  <c r="N338" i="1" a="1"/>
  <c r="N338" i="1" s="1"/>
  <c r="N339" i="1" a="1"/>
  <c r="N339" i="1" s="1"/>
  <c r="N340" i="1" a="1"/>
  <c r="N340" i="1" s="1"/>
  <c r="N341" i="1" a="1"/>
  <c r="N341" i="1" s="1"/>
  <c r="N342" i="1" a="1"/>
  <c r="N342" i="1" s="1"/>
  <c r="N343" i="1" a="1"/>
  <c r="N343" i="1" s="1"/>
  <c r="N344" i="1" a="1"/>
  <c r="N344" i="1" s="1"/>
  <c r="N345" i="1" a="1"/>
  <c r="N345" i="1" s="1"/>
  <c r="N346" i="1" a="1"/>
  <c r="N346" i="1" s="1"/>
  <c r="N347" i="1" a="1"/>
  <c r="N347" i="1" s="1"/>
  <c r="N348" i="1" a="1"/>
  <c r="N348" i="1" s="1"/>
  <c r="N349" i="1" a="1"/>
  <c r="N349" i="1" s="1"/>
  <c r="N350" i="1" a="1"/>
  <c r="N350" i="1" s="1"/>
  <c r="N351" i="1" a="1"/>
  <c r="N351" i="1" s="1"/>
  <c r="N352" i="1" a="1"/>
  <c r="N352" i="1" s="1"/>
  <c r="N353" i="1" a="1"/>
  <c r="N353" i="1" s="1"/>
  <c r="N354" i="1" a="1"/>
  <c r="N354" i="1" s="1"/>
  <c r="N355" i="1" a="1"/>
  <c r="N355" i="1" s="1"/>
  <c r="N356" i="1" a="1"/>
  <c r="N356" i="1" s="1"/>
  <c r="N357" i="1" a="1"/>
  <c r="N357" i="1" s="1"/>
  <c r="N358" i="1" a="1"/>
  <c r="N358" i="1" s="1"/>
  <c r="N359" i="1" a="1"/>
  <c r="N359" i="1" s="1"/>
  <c r="N360" i="1" a="1"/>
  <c r="N360" i="1" s="1"/>
  <c r="N361" i="1" a="1"/>
  <c r="N361" i="1" s="1"/>
  <c r="N362" i="1" a="1"/>
  <c r="N362" i="1" s="1"/>
  <c r="N363" i="1" a="1"/>
  <c r="N363" i="1" s="1"/>
  <c r="N364" i="1" a="1"/>
  <c r="N364" i="1" s="1"/>
  <c r="N365" i="1" a="1"/>
  <c r="N365" i="1" s="1"/>
  <c r="N366" i="1" a="1"/>
  <c r="N366" i="1" s="1"/>
  <c r="N367" i="1" a="1"/>
  <c r="N367" i="1" s="1"/>
  <c r="N368" i="1" a="1"/>
  <c r="N368" i="1" s="1"/>
  <c r="N369" i="1" a="1"/>
  <c r="N369" i="1" s="1"/>
  <c r="N370" i="1" a="1"/>
  <c r="N370" i="1" s="1"/>
  <c r="N371" i="1" a="1"/>
  <c r="N371" i="1" s="1"/>
  <c r="N372" i="1" a="1"/>
  <c r="N372" i="1" s="1"/>
  <c r="N373" i="1" a="1"/>
  <c r="N373" i="1" s="1"/>
  <c r="N374" i="1" a="1"/>
  <c r="N374" i="1" s="1"/>
  <c r="N375" i="1" a="1"/>
  <c r="N375" i="1" s="1"/>
  <c r="N376" i="1" a="1"/>
  <c r="N376" i="1" s="1"/>
  <c r="N377" i="1" a="1"/>
  <c r="N377" i="1" s="1"/>
  <c r="N378" i="1" a="1"/>
  <c r="N378" i="1" s="1"/>
  <c r="N379" i="1" a="1"/>
  <c r="N379" i="1" s="1"/>
  <c r="N380" i="1" a="1"/>
  <c r="N380" i="1" s="1"/>
  <c r="N381" i="1" a="1"/>
  <c r="N381" i="1" s="1"/>
  <c r="N382" i="1" a="1"/>
  <c r="N382" i="1" s="1"/>
  <c r="N383" i="1" a="1"/>
  <c r="N383" i="1" s="1"/>
  <c r="N384" i="1" a="1"/>
  <c r="N384" i="1" s="1"/>
  <c r="N385" i="1" a="1"/>
  <c r="N385" i="1" s="1"/>
  <c r="N386" i="1" a="1"/>
  <c r="N386" i="1" s="1"/>
  <c r="N387" i="1" a="1"/>
  <c r="N387" i="1" s="1"/>
  <c r="N388" i="1" a="1"/>
  <c r="N388" i="1" s="1"/>
  <c r="N389" i="1" a="1"/>
  <c r="N389" i="1" s="1"/>
  <c r="N390" i="1" a="1"/>
  <c r="N390" i="1" s="1"/>
  <c r="N391" i="1" a="1"/>
  <c r="N391" i="1" s="1"/>
  <c r="N392" i="1" a="1"/>
  <c r="N392" i="1" s="1"/>
  <c r="N393" i="1" a="1"/>
  <c r="N393" i="1" s="1"/>
  <c r="N394" i="1" a="1"/>
  <c r="N394" i="1" s="1"/>
  <c r="N395" i="1" a="1"/>
  <c r="N395" i="1" s="1"/>
  <c r="N396" i="1" a="1"/>
  <c r="N396" i="1" s="1"/>
  <c r="N397" i="1" a="1"/>
  <c r="N397" i="1" s="1"/>
  <c r="N398" i="1" a="1"/>
  <c r="N398" i="1" s="1"/>
  <c r="N399" i="1" a="1"/>
  <c r="N399" i="1" s="1"/>
  <c r="N400" i="1" a="1"/>
  <c r="N400" i="1" s="1"/>
  <c r="N401" i="1" a="1"/>
  <c r="N401" i="1" s="1"/>
  <c r="N402" i="1" a="1"/>
  <c r="N402" i="1" s="1"/>
  <c r="N403" i="1" a="1"/>
  <c r="N403" i="1" s="1"/>
  <c r="N404" i="1" a="1"/>
  <c r="N404" i="1" s="1"/>
  <c r="N405" i="1" a="1"/>
  <c r="N405" i="1" s="1"/>
  <c r="N406" i="1" a="1"/>
  <c r="N406" i="1" s="1"/>
  <c r="N407" i="1" a="1"/>
  <c r="N407" i="1" s="1"/>
  <c r="N408" i="1" a="1"/>
  <c r="N408" i="1" s="1"/>
  <c r="N409" i="1" a="1"/>
  <c r="N409" i="1" s="1"/>
  <c r="N410" i="1" a="1"/>
  <c r="N410" i="1" s="1"/>
  <c r="N411" i="1" a="1"/>
  <c r="N411" i="1" s="1"/>
  <c r="N412" i="1" a="1"/>
  <c r="N412" i="1" s="1"/>
  <c r="N413" i="1" a="1"/>
  <c r="N413" i="1" s="1"/>
  <c r="N414" i="1" a="1"/>
  <c r="N414" i="1" s="1"/>
  <c r="N415" i="1" a="1"/>
  <c r="N415" i="1" s="1"/>
  <c r="N416" i="1" a="1"/>
  <c r="N416" i="1" s="1"/>
  <c r="N417" i="1" a="1"/>
  <c r="N417" i="1" s="1"/>
  <c r="N418" i="1" a="1"/>
  <c r="N418" i="1" s="1"/>
  <c r="N419" i="1" a="1"/>
  <c r="N419" i="1" s="1"/>
  <c r="N420" i="1" a="1"/>
  <c r="N420" i="1" s="1"/>
  <c r="N421" i="1" a="1"/>
  <c r="N421" i="1" s="1"/>
  <c r="N422" i="1" a="1"/>
  <c r="N422" i="1" s="1"/>
  <c r="N423" i="1" a="1"/>
  <c r="N423" i="1" s="1"/>
  <c r="N424" i="1" a="1"/>
  <c r="N424" i="1" s="1"/>
  <c r="N425" i="1" a="1"/>
  <c r="N425" i="1" s="1"/>
  <c r="N426" i="1" a="1"/>
  <c r="N426" i="1" s="1"/>
  <c r="N427" i="1" a="1"/>
  <c r="N427" i="1" s="1"/>
  <c r="N428" i="1" a="1"/>
  <c r="N428" i="1" s="1"/>
  <c r="N429" i="1" a="1"/>
  <c r="N429" i="1" s="1"/>
  <c r="N430" i="1" a="1"/>
  <c r="N430" i="1" s="1"/>
  <c r="N431" i="1" a="1"/>
  <c r="N431" i="1" s="1"/>
  <c r="N432" i="1" a="1"/>
  <c r="N432" i="1" s="1"/>
  <c r="N433" i="1" a="1"/>
  <c r="N433" i="1" s="1"/>
  <c r="N434" i="1" a="1"/>
  <c r="N434" i="1" s="1"/>
  <c r="N435" i="1" a="1"/>
  <c r="N435" i="1" s="1"/>
  <c r="N436" i="1" a="1"/>
  <c r="N436" i="1" s="1"/>
  <c r="N437" i="1" a="1"/>
  <c r="N437" i="1" s="1"/>
  <c r="N438" i="1" a="1"/>
  <c r="N438" i="1" s="1"/>
  <c r="N439" i="1" a="1"/>
  <c r="N439" i="1" s="1"/>
  <c r="N440" i="1" a="1"/>
  <c r="N440" i="1" s="1"/>
  <c r="N441" i="1" a="1"/>
  <c r="N441" i="1" s="1"/>
  <c r="N442" i="1" a="1"/>
  <c r="N442" i="1" s="1"/>
  <c r="N443" i="1" a="1"/>
  <c r="N443" i="1" s="1"/>
  <c r="N444" i="1" a="1"/>
  <c r="N444" i="1" s="1"/>
  <c r="N445" i="1" a="1"/>
  <c r="N445" i="1" s="1"/>
  <c r="N446" i="1" a="1"/>
  <c r="N446" i="1" s="1"/>
  <c r="N447" i="1" a="1"/>
  <c r="N447" i="1" s="1"/>
  <c r="N448" i="1" a="1"/>
  <c r="N448" i="1" s="1"/>
  <c r="P249" i="1" a="1"/>
  <c r="P249" i="1" s="1"/>
  <c r="O249" i="1" s="1"/>
  <c r="P250" i="1" a="1"/>
  <c r="P250" i="1" s="1"/>
  <c r="O250" i="1" s="1"/>
  <c r="P251" i="1" a="1"/>
  <c r="P251" i="1" s="1"/>
  <c r="O251" i="1" s="1"/>
  <c r="P252" i="1" a="1"/>
  <c r="P252" i="1" s="1"/>
  <c r="O252" i="1" s="1"/>
  <c r="P253" i="1" a="1"/>
  <c r="P253" i="1" s="1"/>
  <c r="O253" i="1" s="1"/>
  <c r="P254" i="1" a="1"/>
  <c r="P254" i="1" s="1"/>
  <c r="O254" i="1" s="1"/>
  <c r="P255" i="1" a="1"/>
  <c r="P255" i="1" s="1"/>
  <c r="O255" i="1" s="1"/>
  <c r="P256" i="1" a="1"/>
  <c r="P256" i="1" s="1"/>
  <c r="O256" i="1" s="1"/>
  <c r="P257" i="1" a="1"/>
  <c r="P257" i="1" s="1"/>
  <c r="O257" i="1" s="1"/>
  <c r="P258" i="1" a="1"/>
  <c r="P258" i="1" s="1"/>
  <c r="O258" i="1" s="1"/>
  <c r="P259" i="1" a="1"/>
  <c r="P259" i="1" s="1"/>
  <c r="O259" i="1" s="1"/>
  <c r="P260" i="1" a="1"/>
  <c r="P260" i="1" s="1"/>
  <c r="O260" i="1" s="1"/>
  <c r="P261" i="1" a="1"/>
  <c r="P261" i="1" s="1"/>
  <c r="O261" i="1" s="1"/>
  <c r="P262" i="1" a="1"/>
  <c r="P262" i="1" s="1"/>
  <c r="O262" i="1" s="1"/>
  <c r="P263" i="1" a="1"/>
  <c r="P263" i="1" s="1"/>
  <c r="O263" i="1" s="1"/>
  <c r="P264" i="1" a="1"/>
  <c r="P264" i="1" s="1"/>
  <c r="O264" i="1" s="1"/>
  <c r="P265" i="1" a="1"/>
  <c r="P265" i="1" s="1"/>
  <c r="O265" i="1" s="1"/>
  <c r="P266" i="1" a="1"/>
  <c r="P266" i="1" s="1"/>
  <c r="O266" i="1" s="1"/>
  <c r="P267" i="1" a="1"/>
  <c r="P267" i="1" s="1"/>
  <c r="O267" i="1" s="1"/>
  <c r="P268" i="1" a="1"/>
  <c r="P268" i="1" s="1"/>
  <c r="O268" i="1" s="1"/>
  <c r="P269" i="1" a="1"/>
  <c r="P269" i="1" s="1"/>
  <c r="O269" i="1" s="1"/>
  <c r="P270" i="1" a="1"/>
  <c r="P270" i="1" s="1"/>
  <c r="O270" i="1" s="1"/>
  <c r="P271" i="1" a="1"/>
  <c r="P271" i="1" s="1"/>
  <c r="O271" i="1" s="1"/>
  <c r="P272" i="1" a="1"/>
  <c r="P272" i="1" s="1"/>
  <c r="O272" i="1" s="1"/>
  <c r="P273" i="1" a="1"/>
  <c r="P273" i="1" s="1"/>
  <c r="O273" i="1" s="1"/>
  <c r="P274" i="1" a="1"/>
  <c r="P274" i="1" s="1"/>
  <c r="O274" i="1" s="1"/>
  <c r="P275" i="1" a="1"/>
  <c r="P275" i="1" s="1"/>
  <c r="O275" i="1" s="1"/>
  <c r="P276" i="1" a="1"/>
  <c r="P276" i="1" s="1"/>
  <c r="O276" i="1" s="1"/>
  <c r="P277" i="1" a="1"/>
  <c r="P277" i="1" s="1"/>
  <c r="O277" i="1" s="1"/>
  <c r="P278" i="1" a="1"/>
  <c r="P278" i="1" s="1"/>
  <c r="O278" i="1" s="1"/>
  <c r="P279" i="1" a="1"/>
  <c r="P279" i="1" s="1"/>
  <c r="O279" i="1" s="1"/>
  <c r="P280" i="1" a="1"/>
  <c r="P280" i="1" s="1"/>
  <c r="O280" i="1" s="1"/>
  <c r="P281" i="1" a="1"/>
  <c r="P281" i="1" s="1"/>
  <c r="O281" i="1" s="1"/>
  <c r="P282" i="1" a="1"/>
  <c r="P282" i="1" s="1"/>
  <c r="O282" i="1" s="1"/>
  <c r="P283" i="1" a="1"/>
  <c r="P283" i="1" s="1"/>
  <c r="O283" i="1" s="1"/>
  <c r="P284" i="1" a="1"/>
  <c r="P284" i="1" s="1"/>
  <c r="O284" i="1" s="1"/>
  <c r="P285" i="1" a="1"/>
  <c r="P285" i="1" s="1"/>
  <c r="O285" i="1" s="1"/>
  <c r="P286" i="1" a="1"/>
  <c r="P286" i="1" s="1"/>
  <c r="O286" i="1" s="1"/>
  <c r="P287" i="1" a="1"/>
  <c r="P287" i="1" s="1"/>
  <c r="O287" i="1" s="1"/>
  <c r="P288" i="1" a="1"/>
  <c r="P288" i="1" s="1"/>
  <c r="O288" i="1" s="1"/>
  <c r="P289" i="1" a="1"/>
  <c r="P289" i="1" s="1"/>
  <c r="O289" i="1" s="1"/>
  <c r="P290" i="1" a="1"/>
  <c r="P290" i="1" s="1"/>
  <c r="O290" i="1" s="1"/>
  <c r="P291" i="1" a="1"/>
  <c r="P291" i="1" s="1"/>
  <c r="O291" i="1" s="1"/>
  <c r="P292" i="1" a="1"/>
  <c r="P292" i="1" s="1"/>
  <c r="O292" i="1" s="1"/>
  <c r="P293" i="1" a="1"/>
  <c r="P293" i="1" s="1"/>
  <c r="O293" i="1" s="1"/>
  <c r="P294" i="1" a="1"/>
  <c r="P294" i="1" s="1"/>
  <c r="O294" i="1" s="1"/>
  <c r="P295" i="1" a="1"/>
  <c r="P295" i="1" s="1"/>
  <c r="O295" i="1" s="1"/>
  <c r="P296" i="1" a="1"/>
  <c r="P296" i="1" s="1"/>
  <c r="O296" i="1" s="1"/>
  <c r="P297" i="1" a="1"/>
  <c r="P297" i="1" s="1"/>
  <c r="O297" i="1" s="1"/>
  <c r="P298" i="1" a="1"/>
  <c r="P298" i="1" s="1"/>
  <c r="O298" i="1" s="1"/>
  <c r="P299" i="1" a="1"/>
  <c r="P299" i="1" s="1"/>
  <c r="O299" i="1" s="1"/>
  <c r="P300" i="1" a="1"/>
  <c r="P300" i="1" s="1"/>
  <c r="O300" i="1" s="1"/>
  <c r="P301" i="1" a="1"/>
  <c r="P301" i="1" s="1"/>
  <c r="O301" i="1" s="1"/>
  <c r="P302" i="1" a="1"/>
  <c r="P302" i="1" s="1"/>
  <c r="O302" i="1" s="1"/>
  <c r="P303" i="1" a="1"/>
  <c r="P303" i="1" s="1"/>
  <c r="O303" i="1" s="1"/>
  <c r="P304" i="1" a="1"/>
  <c r="P304" i="1" s="1"/>
  <c r="O304" i="1" s="1"/>
  <c r="P305" i="1" a="1"/>
  <c r="P305" i="1" s="1"/>
  <c r="O305" i="1" s="1"/>
  <c r="P306" i="1" a="1"/>
  <c r="P306" i="1" s="1"/>
  <c r="O306" i="1" s="1"/>
  <c r="P307" i="1" a="1"/>
  <c r="P307" i="1" s="1"/>
  <c r="O307" i="1" s="1"/>
  <c r="P308" i="1" a="1"/>
  <c r="P308" i="1" s="1"/>
  <c r="O308" i="1" s="1"/>
  <c r="P309" i="1" a="1"/>
  <c r="P309" i="1" s="1"/>
  <c r="O309" i="1" s="1"/>
  <c r="P310" i="1" a="1"/>
  <c r="P310" i="1" s="1"/>
  <c r="O310" i="1" s="1"/>
  <c r="P311" i="1" a="1"/>
  <c r="P311" i="1" s="1"/>
  <c r="O311" i="1" s="1"/>
  <c r="P312" i="1" a="1"/>
  <c r="P312" i="1" s="1"/>
  <c r="O312" i="1" s="1"/>
  <c r="P313" i="1" a="1"/>
  <c r="P313" i="1" s="1"/>
  <c r="O313" i="1" s="1"/>
  <c r="P314" i="1" a="1"/>
  <c r="P314" i="1" s="1"/>
  <c r="O314" i="1" s="1"/>
  <c r="P315" i="1" a="1"/>
  <c r="P315" i="1" s="1"/>
  <c r="O315" i="1" s="1"/>
  <c r="P316" i="1" a="1"/>
  <c r="P316" i="1" s="1"/>
  <c r="O316" i="1" s="1"/>
  <c r="P317" i="1" a="1"/>
  <c r="P317" i="1" s="1"/>
  <c r="O317" i="1" s="1"/>
  <c r="P318" i="1" a="1"/>
  <c r="P318" i="1" s="1"/>
  <c r="O318" i="1" s="1"/>
  <c r="P319" i="1" a="1"/>
  <c r="P319" i="1" s="1"/>
  <c r="O319" i="1" s="1"/>
  <c r="P320" i="1" a="1"/>
  <c r="P320" i="1" s="1"/>
  <c r="O320" i="1" s="1"/>
  <c r="P321" i="1" a="1"/>
  <c r="P321" i="1" s="1"/>
  <c r="O321" i="1" s="1"/>
  <c r="P322" i="1" a="1"/>
  <c r="P322" i="1" s="1"/>
  <c r="O322" i="1" s="1"/>
  <c r="P323" i="1" a="1"/>
  <c r="P323" i="1" s="1"/>
  <c r="O323" i="1" s="1"/>
  <c r="P324" i="1" a="1"/>
  <c r="P324" i="1" s="1"/>
  <c r="O324" i="1" s="1"/>
  <c r="P325" i="1" a="1"/>
  <c r="P325" i="1" s="1"/>
  <c r="O325" i="1" s="1"/>
  <c r="P326" i="1" a="1"/>
  <c r="P326" i="1" s="1"/>
  <c r="O326" i="1" s="1"/>
  <c r="P327" i="1" a="1"/>
  <c r="P327" i="1" s="1"/>
  <c r="O327" i="1" s="1"/>
  <c r="P328" i="1" a="1"/>
  <c r="P328" i="1" s="1"/>
  <c r="O328" i="1" s="1"/>
  <c r="P329" i="1" a="1"/>
  <c r="P329" i="1" s="1"/>
  <c r="O329" i="1" s="1"/>
  <c r="P330" i="1" a="1"/>
  <c r="P330" i="1" s="1"/>
  <c r="O330" i="1" s="1"/>
  <c r="P331" i="1" a="1"/>
  <c r="P331" i="1" s="1"/>
  <c r="O331" i="1" s="1"/>
  <c r="P332" i="1" a="1"/>
  <c r="P332" i="1" s="1"/>
  <c r="O332" i="1" s="1"/>
  <c r="P333" i="1" a="1"/>
  <c r="P333" i="1" s="1"/>
  <c r="O333" i="1" s="1"/>
  <c r="P334" i="1" a="1"/>
  <c r="P334" i="1" s="1"/>
  <c r="O334" i="1" s="1"/>
  <c r="P335" i="1" a="1"/>
  <c r="P335" i="1" s="1"/>
  <c r="O335" i="1" s="1"/>
  <c r="P336" i="1" a="1"/>
  <c r="P336" i="1" s="1"/>
  <c r="O336" i="1" s="1"/>
  <c r="P337" i="1" a="1"/>
  <c r="P337" i="1" s="1"/>
  <c r="O337" i="1" s="1"/>
  <c r="P338" i="1" a="1"/>
  <c r="P338" i="1" s="1"/>
  <c r="O338" i="1" s="1"/>
  <c r="P339" i="1" a="1"/>
  <c r="P339" i="1" s="1"/>
  <c r="O339" i="1" s="1"/>
  <c r="P340" i="1" a="1"/>
  <c r="P340" i="1" s="1"/>
  <c r="O340" i="1" s="1"/>
  <c r="P341" i="1" a="1"/>
  <c r="P341" i="1" s="1"/>
  <c r="O341" i="1" s="1"/>
  <c r="P342" i="1" a="1"/>
  <c r="P342" i="1" s="1"/>
  <c r="O342" i="1" s="1"/>
  <c r="P343" i="1" a="1"/>
  <c r="P343" i="1" s="1"/>
  <c r="O343" i="1" s="1"/>
  <c r="P344" i="1" a="1"/>
  <c r="P344" i="1" s="1"/>
  <c r="O344" i="1" s="1"/>
  <c r="P345" i="1" a="1"/>
  <c r="P345" i="1" s="1"/>
  <c r="O345" i="1" s="1"/>
  <c r="P346" i="1" a="1"/>
  <c r="P346" i="1" s="1"/>
  <c r="O346" i="1" s="1"/>
  <c r="P347" i="1" a="1"/>
  <c r="P347" i="1" s="1"/>
  <c r="O347" i="1" s="1"/>
  <c r="P348" i="1" a="1"/>
  <c r="P348" i="1" s="1"/>
  <c r="O348" i="1" s="1"/>
  <c r="P349" i="1" a="1"/>
  <c r="P349" i="1" s="1"/>
  <c r="O349" i="1" s="1"/>
  <c r="P350" i="1" a="1"/>
  <c r="P350" i="1" s="1"/>
  <c r="O350" i="1" s="1"/>
  <c r="P351" i="1" a="1"/>
  <c r="P351" i="1" s="1"/>
  <c r="O351" i="1" s="1"/>
  <c r="P352" i="1" a="1"/>
  <c r="P352" i="1" s="1"/>
  <c r="O352" i="1" s="1"/>
  <c r="P353" i="1" a="1"/>
  <c r="P353" i="1" s="1"/>
  <c r="O353" i="1" s="1"/>
  <c r="P354" i="1" a="1"/>
  <c r="P354" i="1" s="1"/>
  <c r="O354" i="1" s="1"/>
  <c r="P355" i="1" a="1"/>
  <c r="P355" i="1" s="1"/>
  <c r="O355" i="1" s="1"/>
  <c r="P356" i="1" a="1"/>
  <c r="P356" i="1" s="1"/>
  <c r="O356" i="1" s="1"/>
  <c r="P357" i="1" a="1"/>
  <c r="P357" i="1" s="1"/>
  <c r="O357" i="1" s="1"/>
  <c r="P358" i="1" a="1"/>
  <c r="P358" i="1" s="1"/>
  <c r="O358" i="1" s="1"/>
  <c r="P359" i="1" a="1"/>
  <c r="P359" i="1" s="1"/>
  <c r="O359" i="1" s="1"/>
  <c r="P360" i="1" a="1"/>
  <c r="P360" i="1" s="1"/>
  <c r="O360" i="1" s="1"/>
  <c r="P361" i="1" a="1"/>
  <c r="P361" i="1" s="1"/>
  <c r="O361" i="1" s="1"/>
  <c r="P362" i="1" a="1"/>
  <c r="P362" i="1" s="1"/>
  <c r="O362" i="1" s="1"/>
  <c r="P363" i="1" a="1"/>
  <c r="P363" i="1" s="1"/>
  <c r="O363" i="1" s="1"/>
  <c r="P364" i="1" a="1"/>
  <c r="P364" i="1" s="1"/>
  <c r="O364" i="1" s="1"/>
  <c r="P365" i="1" a="1"/>
  <c r="P365" i="1" s="1"/>
  <c r="O365" i="1" s="1"/>
  <c r="P366" i="1" a="1"/>
  <c r="P366" i="1" s="1"/>
  <c r="O366" i="1" s="1"/>
  <c r="P367" i="1" a="1"/>
  <c r="P367" i="1" s="1"/>
  <c r="O367" i="1" s="1"/>
  <c r="P368" i="1" a="1"/>
  <c r="P368" i="1" s="1"/>
  <c r="O368" i="1" s="1"/>
  <c r="P369" i="1" a="1"/>
  <c r="P369" i="1" s="1"/>
  <c r="O369" i="1" s="1"/>
  <c r="P370" i="1" a="1"/>
  <c r="P370" i="1" s="1"/>
  <c r="O370" i="1" s="1"/>
  <c r="P371" i="1" a="1"/>
  <c r="P371" i="1" s="1"/>
  <c r="O371" i="1" s="1"/>
  <c r="P372" i="1" a="1"/>
  <c r="P372" i="1" s="1"/>
  <c r="O372" i="1" s="1"/>
  <c r="P373" i="1" a="1"/>
  <c r="P373" i="1" s="1"/>
  <c r="O373" i="1" s="1"/>
  <c r="P374" i="1" a="1"/>
  <c r="P374" i="1" s="1"/>
  <c r="O374" i="1" s="1"/>
  <c r="P375" i="1" a="1"/>
  <c r="P375" i="1" s="1"/>
  <c r="O375" i="1" s="1"/>
  <c r="P376" i="1" a="1"/>
  <c r="P376" i="1" s="1"/>
  <c r="O376" i="1" s="1"/>
  <c r="P377" i="1" a="1"/>
  <c r="P377" i="1" s="1"/>
  <c r="O377" i="1" s="1"/>
  <c r="P378" i="1" a="1"/>
  <c r="P378" i="1" s="1"/>
  <c r="O378" i="1" s="1"/>
  <c r="P379" i="1" a="1"/>
  <c r="P379" i="1" s="1"/>
  <c r="O379" i="1" s="1"/>
  <c r="P380" i="1" a="1"/>
  <c r="P380" i="1" s="1"/>
  <c r="O380" i="1" s="1"/>
  <c r="P381" i="1" a="1"/>
  <c r="P381" i="1" s="1"/>
  <c r="O381" i="1" s="1"/>
  <c r="P382" i="1" a="1"/>
  <c r="P382" i="1" s="1"/>
  <c r="O382" i="1" s="1"/>
  <c r="P383" i="1" a="1"/>
  <c r="P383" i="1" s="1"/>
  <c r="O383" i="1" s="1"/>
  <c r="P384" i="1" a="1"/>
  <c r="P384" i="1" s="1"/>
  <c r="O384" i="1" s="1"/>
  <c r="P385" i="1" a="1"/>
  <c r="P385" i="1" s="1"/>
  <c r="O385" i="1" s="1"/>
  <c r="P386" i="1" a="1"/>
  <c r="P386" i="1" s="1"/>
  <c r="O386" i="1" s="1"/>
  <c r="P387" i="1" a="1"/>
  <c r="P387" i="1" s="1"/>
  <c r="O387" i="1" s="1"/>
  <c r="P388" i="1" a="1"/>
  <c r="P388" i="1" s="1"/>
  <c r="O388" i="1" s="1"/>
  <c r="P389" i="1" a="1"/>
  <c r="P389" i="1" s="1"/>
  <c r="O389" i="1" s="1"/>
  <c r="P390" i="1" a="1"/>
  <c r="P390" i="1" s="1"/>
  <c r="O390" i="1" s="1"/>
  <c r="P391" i="1" a="1"/>
  <c r="P391" i="1" s="1"/>
  <c r="O391" i="1" s="1"/>
  <c r="P392" i="1" a="1"/>
  <c r="P392" i="1" s="1"/>
  <c r="O392" i="1" s="1"/>
  <c r="P393" i="1" a="1"/>
  <c r="P393" i="1" s="1"/>
  <c r="O393" i="1" s="1"/>
  <c r="P394" i="1" a="1"/>
  <c r="P394" i="1" s="1"/>
  <c r="O394" i="1" s="1"/>
  <c r="P395" i="1" a="1"/>
  <c r="P395" i="1" s="1"/>
  <c r="O395" i="1" s="1"/>
  <c r="P396" i="1" a="1"/>
  <c r="P396" i="1" s="1"/>
  <c r="O396" i="1" s="1"/>
  <c r="P397" i="1" a="1"/>
  <c r="P397" i="1" s="1"/>
  <c r="O397" i="1" s="1"/>
  <c r="P398" i="1" a="1"/>
  <c r="P398" i="1" s="1"/>
  <c r="O398" i="1" s="1"/>
  <c r="P399" i="1" a="1"/>
  <c r="P399" i="1" s="1"/>
  <c r="O399" i="1" s="1"/>
  <c r="P400" i="1" a="1"/>
  <c r="P400" i="1" s="1"/>
  <c r="O400" i="1" s="1"/>
  <c r="P401" i="1" a="1"/>
  <c r="P401" i="1" s="1"/>
  <c r="O401" i="1" s="1"/>
  <c r="P402" i="1" a="1"/>
  <c r="P402" i="1" s="1"/>
  <c r="O402" i="1" s="1"/>
  <c r="P403" i="1" a="1"/>
  <c r="P403" i="1" s="1"/>
  <c r="O403" i="1" s="1"/>
  <c r="P404" i="1" a="1"/>
  <c r="P404" i="1" s="1"/>
  <c r="O404" i="1" s="1"/>
  <c r="P405" i="1" a="1"/>
  <c r="P405" i="1" s="1"/>
  <c r="O405" i="1" s="1"/>
  <c r="P406" i="1" a="1"/>
  <c r="P406" i="1" s="1"/>
  <c r="O406" i="1" s="1"/>
  <c r="P407" i="1" a="1"/>
  <c r="P407" i="1" s="1"/>
  <c r="O407" i="1" s="1"/>
  <c r="P408" i="1" a="1"/>
  <c r="P408" i="1" s="1"/>
  <c r="O408" i="1" s="1"/>
  <c r="P409" i="1" a="1"/>
  <c r="P409" i="1" s="1"/>
  <c r="O409" i="1" s="1"/>
  <c r="P410" i="1" a="1"/>
  <c r="P410" i="1" s="1"/>
  <c r="O410" i="1" s="1"/>
  <c r="P411" i="1" a="1"/>
  <c r="P411" i="1" s="1"/>
  <c r="O411" i="1" s="1"/>
  <c r="P412" i="1" a="1"/>
  <c r="P412" i="1" s="1"/>
  <c r="O412" i="1" s="1"/>
  <c r="P413" i="1" a="1"/>
  <c r="P413" i="1" s="1"/>
  <c r="O413" i="1" s="1"/>
  <c r="P414" i="1" a="1"/>
  <c r="P414" i="1" s="1"/>
  <c r="O414" i="1" s="1"/>
  <c r="P415" i="1" a="1"/>
  <c r="P415" i="1" s="1"/>
  <c r="O415" i="1" s="1"/>
  <c r="P416" i="1" a="1"/>
  <c r="P416" i="1" s="1"/>
  <c r="O416" i="1" s="1"/>
  <c r="P417" i="1" a="1"/>
  <c r="P417" i="1" s="1"/>
  <c r="O417" i="1" s="1"/>
  <c r="P418" i="1" a="1"/>
  <c r="P418" i="1" s="1"/>
  <c r="O418" i="1" s="1"/>
  <c r="P419" i="1" a="1"/>
  <c r="P419" i="1" s="1"/>
  <c r="O419" i="1" s="1"/>
  <c r="P420" i="1" a="1"/>
  <c r="P420" i="1" s="1"/>
  <c r="O420" i="1" s="1"/>
  <c r="P421" i="1" a="1"/>
  <c r="P421" i="1" s="1"/>
  <c r="O421" i="1" s="1"/>
  <c r="P422" i="1" a="1"/>
  <c r="P422" i="1" s="1"/>
  <c r="O422" i="1" s="1"/>
  <c r="P423" i="1" a="1"/>
  <c r="P423" i="1" s="1"/>
  <c r="O423" i="1" s="1"/>
  <c r="P424" i="1" a="1"/>
  <c r="P424" i="1" s="1"/>
  <c r="O424" i="1" s="1"/>
  <c r="P425" i="1" a="1"/>
  <c r="P425" i="1" s="1"/>
  <c r="O425" i="1" s="1"/>
  <c r="P426" i="1" a="1"/>
  <c r="P426" i="1" s="1"/>
  <c r="O426" i="1" s="1"/>
  <c r="P427" i="1" a="1"/>
  <c r="P427" i="1" s="1"/>
  <c r="O427" i="1" s="1"/>
  <c r="P428" i="1" a="1"/>
  <c r="P428" i="1" s="1"/>
  <c r="O428" i="1" s="1"/>
  <c r="P429" i="1" a="1"/>
  <c r="P429" i="1" s="1"/>
  <c r="O429" i="1" s="1"/>
  <c r="P430" i="1" a="1"/>
  <c r="P430" i="1" s="1"/>
  <c r="O430" i="1" s="1"/>
  <c r="P431" i="1" a="1"/>
  <c r="P431" i="1" s="1"/>
  <c r="O431" i="1" s="1"/>
  <c r="P432" i="1" a="1"/>
  <c r="P432" i="1" s="1"/>
  <c r="O432" i="1" s="1"/>
  <c r="P433" i="1" a="1"/>
  <c r="P433" i="1" s="1"/>
  <c r="O433" i="1" s="1"/>
  <c r="P434" i="1" a="1"/>
  <c r="P434" i="1" s="1"/>
  <c r="O434" i="1" s="1"/>
  <c r="P435" i="1" a="1"/>
  <c r="P435" i="1" s="1"/>
  <c r="O435" i="1" s="1"/>
  <c r="P436" i="1" a="1"/>
  <c r="P436" i="1" s="1"/>
  <c r="O436" i="1" s="1"/>
  <c r="P437" i="1" a="1"/>
  <c r="P437" i="1" s="1"/>
  <c r="O437" i="1" s="1"/>
  <c r="P438" i="1" a="1"/>
  <c r="P438" i="1" s="1"/>
  <c r="O438" i="1" s="1"/>
  <c r="P439" i="1" a="1"/>
  <c r="P439" i="1" s="1"/>
  <c r="O439" i="1" s="1"/>
  <c r="P440" i="1" a="1"/>
  <c r="P440" i="1" s="1"/>
  <c r="O440" i="1" s="1"/>
  <c r="P441" i="1" a="1"/>
  <c r="P441" i="1" s="1"/>
  <c r="O441" i="1" s="1"/>
  <c r="P442" i="1" a="1"/>
  <c r="P442" i="1" s="1"/>
  <c r="O442" i="1" s="1"/>
  <c r="P443" i="1" a="1"/>
  <c r="P443" i="1" s="1"/>
  <c r="O443" i="1" s="1"/>
  <c r="P444" i="1" a="1"/>
  <c r="P444" i="1" s="1"/>
  <c r="O444" i="1" s="1"/>
  <c r="P445" i="1" a="1"/>
  <c r="P445" i="1" s="1"/>
  <c r="O445" i="1" s="1"/>
  <c r="P446" i="1" a="1"/>
  <c r="P446" i="1" s="1"/>
  <c r="O446" i="1" s="1"/>
  <c r="P447" i="1" a="1"/>
  <c r="P447" i="1" s="1"/>
  <c r="O447" i="1" s="1"/>
  <c r="P448" i="1" a="1"/>
  <c r="P448" i="1" s="1"/>
  <c r="O448" i="1" s="1"/>
  <c r="Q253" i="1"/>
  <c r="Q254" i="1"/>
  <c r="Q259" i="1"/>
  <c r="Q261" i="1"/>
  <c r="Q262" i="1"/>
  <c r="Q268" i="1"/>
  <c r="Q269" i="1"/>
  <c r="Q274" i="1"/>
  <c r="Q275" i="1"/>
  <c r="Q277" i="1"/>
  <c r="Q278" i="1"/>
  <c r="Q285" i="1"/>
  <c r="Q287" i="1"/>
  <c r="Q301" i="1"/>
  <c r="Q302" i="1"/>
  <c r="Q308" i="1"/>
  <c r="Q309" i="1"/>
  <c r="Q310" i="1"/>
  <c r="Q317" i="1"/>
  <c r="Q332" i="1"/>
  <c r="Q333" i="1"/>
  <c r="Q334" i="1"/>
  <c r="Q341" i="1"/>
  <c r="Q348" i="1"/>
  <c r="Q349" i="1"/>
  <c r="Q357" i="1"/>
  <c r="Q372" i="1"/>
  <c r="Q381" i="1"/>
  <c r="Q383" i="1"/>
  <c r="Q389" i="1"/>
  <c r="Q392" i="1"/>
  <c r="Q393" i="1"/>
  <c r="Q397" i="1"/>
  <c r="Q405" i="1"/>
  <c r="Q407" i="1"/>
  <c r="Q443" i="1"/>
  <c r="Q444" i="1"/>
  <c r="E248" i="1"/>
  <c r="M248" i="1" a="1"/>
  <c r="M248" i="1" s="1"/>
  <c r="Q248" i="1" s="1"/>
  <c r="N248" i="1" a="1"/>
  <c r="N248" i="1" s="1"/>
  <c r="P248" i="1" a="1"/>
  <c r="P248" i="1" s="1"/>
  <c r="O248" i="1" s="1"/>
  <c r="A24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M3" i="1" a="1"/>
  <c r="M3" i="1" s="1"/>
  <c r="Q3" i="1" s="1"/>
  <c r="M4" i="1" a="1"/>
  <c r="M4" i="1" s="1"/>
  <c r="Q4" i="1" s="1"/>
  <c r="M5" i="1" a="1"/>
  <c r="M5" i="1" s="1"/>
  <c r="Q5" i="1" s="1"/>
  <c r="M6" i="1" a="1"/>
  <c r="M6" i="1" s="1"/>
  <c r="Q6" i="1" s="1"/>
  <c r="M7" i="1" a="1"/>
  <c r="M7" i="1" s="1"/>
  <c r="Q7" i="1" s="1"/>
  <c r="M8" i="1" a="1"/>
  <c r="M8" i="1" s="1"/>
  <c r="Q8" i="1" s="1"/>
  <c r="M9" i="1" a="1"/>
  <c r="M9" i="1" s="1"/>
  <c r="Q9" i="1" s="1"/>
  <c r="M10" i="1" a="1"/>
  <c r="M10" i="1" s="1"/>
  <c r="Q10" i="1" s="1"/>
  <c r="M11" i="1" a="1"/>
  <c r="M11" i="1" s="1"/>
  <c r="M12" i="1" a="1"/>
  <c r="M12" i="1" s="1"/>
  <c r="M13" i="1" a="1"/>
  <c r="M13" i="1" s="1"/>
  <c r="M14" i="1" a="1"/>
  <c r="M14" i="1" s="1"/>
  <c r="Q14" i="1" s="1"/>
  <c r="M15" i="1" a="1"/>
  <c r="M15" i="1" s="1"/>
  <c r="Q15" i="1" s="1"/>
  <c r="M16" i="1" a="1"/>
  <c r="M16" i="1" s="1"/>
  <c r="Q16" i="1" s="1"/>
  <c r="M17" i="1" a="1"/>
  <c r="M17" i="1" s="1"/>
  <c r="M18" i="1" a="1"/>
  <c r="M18" i="1" s="1"/>
  <c r="Q18" i="1" s="1"/>
  <c r="M19" i="1" a="1"/>
  <c r="M19" i="1" s="1"/>
  <c r="Q19" i="1" s="1"/>
  <c r="M20" i="1" a="1"/>
  <c r="M20" i="1" s="1"/>
  <c r="M21" i="1" a="1"/>
  <c r="M21" i="1" s="1"/>
  <c r="M22" i="1" a="1"/>
  <c r="M22" i="1" s="1"/>
  <c r="M23" i="1" a="1"/>
  <c r="M23" i="1" s="1"/>
  <c r="Q23" i="1" s="1"/>
  <c r="M24" i="1" a="1"/>
  <c r="M24" i="1" s="1"/>
  <c r="Q24" i="1" s="1"/>
  <c r="M25" i="1" a="1"/>
  <c r="M25" i="1" s="1"/>
  <c r="Q25" i="1" s="1"/>
  <c r="M26" i="1" a="1"/>
  <c r="M26" i="1" s="1"/>
  <c r="Q26" i="1" s="1"/>
  <c r="M27" i="1" a="1"/>
  <c r="M27" i="1" s="1"/>
  <c r="Q27" i="1" s="1"/>
  <c r="M28" i="1" a="1"/>
  <c r="M28" i="1" s="1"/>
  <c r="Q28" i="1" s="1"/>
  <c r="M29" i="1" a="1"/>
  <c r="M29" i="1" s="1"/>
  <c r="Q29" i="1" s="1"/>
  <c r="M30" i="1" a="1"/>
  <c r="M30" i="1" s="1"/>
  <c r="Q30" i="1" s="1"/>
  <c r="M31" i="1" a="1"/>
  <c r="M31" i="1" s="1"/>
  <c r="Q31" i="1" s="1"/>
  <c r="M32" i="1" a="1"/>
  <c r="M32" i="1" s="1"/>
  <c r="M33" i="1" a="1"/>
  <c r="M33" i="1" s="1"/>
  <c r="Q33" i="1" s="1"/>
  <c r="M34" i="1" a="1"/>
  <c r="M34" i="1" s="1"/>
  <c r="M35" i="1" a="1"/>
  <c r="M35" i="1" s="1"/>
  <c r="Q35" i="1" s="1"/>
  <c r="M36" i="1" a="1"/>
  <c r="M36" i="1" s="1"/>
  <c r="M37" i="1" a="1"/>
  <c r="M37" i="1" s="1"/>
  <c r="M38" i="1" a="1"/>
  <c r="M38" i="1" s="1"/>
  <c r="Q38" i="1" s="1"/>
  <c r="M39" i="1" a="1"/>
  <c r="M39" i="1" s="1"/>
  <c r="Q39" i="1" s="1"/>
  <c r="M40" i="1" a="1"/>
  <c r="M40" i="1" s="1"/>
  <c r="Q40" i="1" s="1"/>
  <c r="M41" i="1" a="1"/>
  <c r="M41" i="1" s="1"/>
  <c r="Q41" i="1" s="1"/>
  <c r="M42" i="1" a="1"/>
  <c r="M42" i="1" s="1"/>
  <c r="Q42" i="1" s="1"/>
  <c r="M43" i="1" a="1"/>
  <c r="M43" i="1" s="1"/>
  <c r="Q43" i="1" s="1"/>
  <c r="M44" i="1" a="1"/>
  <c r="M44" i="1" s="1"/>
  <c r="Q44" i="1" s="1"/>
  <c r="M45" i="1" a="1"/>
  <c r="M45" i="1" s="1"/>
  <c r="M46" i="1" a="1"/>
  <c r="M46" i="1" s="1"/>
  <c r="M47" i="1" a="1"/>
  <c r="M47" i="1" s="1"/>
  <c r="Q47" i="1" s="1"/>
  <c r="M48" i="1" a="1"/>
  <c r="M48" i="1" s="1"/>
  <c r="M49" i="1" a="1"/>
  <c r="M49" i="1" s="1"/>
  <c r="Q49" i="1" s="1"/>
  <c r="M50" i="1" a="1"/>
  <c r="M50" i="1" s="1"/>
  <c r="Q50" i="1" s="1"/>
  <c r="M51" i="1" a="1"/>
  <c r="M51" i="1" s="1"/>
  <c r="Q51" i="1" s="1"/>
  <c r="M52" i="1" a="1"/>
  <c r="M52" i="1" s="1"/>
  <c r="Q52" i="1" s="1"/>
  <c r="M53" i="1" a="1"/>
  <c r="M53" i="1" s="1"/>
  <c r="M54" i="1" a="1"/>
  <c r="M54" i="1" s="1"/>
  <c r="Q54" i="1" s="1"/>
  <c r="M55" i="1" a="1"/>
  <c r="M55" i="1" s="1"/>
  <c r="Q55" i="1" s="1"/>
  <c r="M56" i="1" a="1"/>
  <c r="M56" i="1" s="1"/>
  <c r="Q56" i="1" s="1"/>
  <c r="M57" i="1" a="1"/>
  <c r="M57" i="1" s="1"/>
  <c r="Q57" i="1" s="1"/>
  <c r="M58" i="1" a="1"/>
  <c r="M58" i="1" s="1"/>
  <c r="Q58" i="1" s="1"/>
  <c r="M59" i="1" a="1"/>
  <c r="M59" i="1" s="1"/>
  <c r="Q59" i="1" s="1"/>
  <c r="M60" i="1" a="1"/>
  <c r="M60" i="1" s="1"/>
  <c r="Q60" i="1" s="1"/>
  <c r="M61" i="1" a="1"/>
  <c r="M61" i="1" s="1"/>
  <c r="Q61" i="1" s="1"/>
  <c r="M62" i="1" a="1"/>
  <c r="M62" i="1" s="1"/>
  <c r="Q62" i="1" s="1"/>
  <c r="M63" i="1" a="1"/>
  <c r="M63" i="1" s="1"/>
  <c r="Q63" i="1" s="1"/>
  <c r="M64" i="1" a="1"/>
  <c r="M64" i="1" s="1"/>
  <c r="Q64" i="1" s="1"/>
  <c r="M65" i="1" a="1"/>
  <c r="M65" i="1" s="1"/>
  <c r="Q65" i="1" s="1"/>
  <c r="M66" i="1" a="1"/>
  <c r="M66" i="1" s="1"/>
  <c r="Q66" i="1" s="1"/>
  <c r="M67" i="1" a="1"/>
  <c r="M67" i="1" s="1"/>
  <c r="Q67" i="1" s="1"/>
  <c r="M68" i="1" a="1"/>
  <c r="M68" i="1" s="1"/>
  <c r="M69" i="1" a="1"/>
  <c r="M69" i="1" s="1"/>
  <c r="Q69" i="1" s="1"/>
  <c r="M70" i="1" a="1"/>
  <c r="M70" i="1" s="1"/>
  <c r="Q70" i="1" s="1"/>
  <c r="M71" i="1" a="1"/>
  <c r="M71" i="1" s="1"/>
  <c r="M72" i="1" a="1"/>
  <c r="M72" i="1" s="1"/>
  <c r="Q72" i="1" s="1"/>
  <c r="M73" i="1" a="1"/>
  <c r="M73" i="1" s="1"/>
  <c r="Q73" i="1" s="1"/>
  <c r="M74" i="1" a="1"/>
  <c r="M74" i="1" s="1"/>
  <c r="Q74" i="1" s="1"/>
  <c r="M75" i="1" a="1"/>
  <c r="M75" i="1" s="1"/>
  <c r="Q75" i="1" s="1"/>
  <c r="M76" i="1" a="1"/>
  <c r="M76" i="1" s="1"/>
  <c r="M77" i="1" a="1"/>
  <c r="M77" i="1" s="1"/>
  <c r="Q77" i="1" s="1"/>
  <c r="M78" i="1" a="1"/>
  <c r="M78" i="1" s="1"/>
  <c r="Q78" i="1" s="1"/>
  <c r="M79" i="1" a="1"/>
  <c r="M79" i="1" s="1"/>
  <c r="Q79" i="1" s="1"/>
  <c r="M80" i="1" a="1"/>
  <c r="M80" i="1" s="1"/>
  <c r="M81" i="1" a="1"/>
  <c r="M81" i="1" s="1"/>
  <c r="Q81" i="1" s="1"/>
  <c r="M82" i="1" a="1"/>
  <c r="M82" i="1" s="1"/>
  <c r="Q82" i="1" s="1"/>
  <c r="M83" i="1" a="1"/>
  <c r="M83" i="1" s="1"/>
  <c r="Q83" i="1" s="1"/>
  <c r="M84" i="1" a="1"/>
  <c r="M84" i="1" s="1"/>
  <c r="Q84" i="1" s="1"/>
  <c r="M85" i="1" a="1"/>
  <c r="M85" i="1" s="1"/>
  <c r="M86" i="1" a="1"/>
  <c r="M86" i="1" s="1"/>
  <c r="Q86" i="1" s="1"/>
  <c r="M87" i="1" a="1"/>
  <c r="M87" i="1" s="1"/>
  <c r="Q87" i="1" s="1"/>
  <c r="M88" i="1" a="1"/>
  <c r="M88" i="1" s="1"/>
  <c r="Q88" i="1" s="1"/>
  <c r="M89" i="1" a="1"/>
  <c r="M89" i="1" s="1"/>
  <c r="Q89" i="1" s="1"/>
  <c r="M90" i="1" a="1"/>
  <c r="M90" i="1" s="1"/>
  <c r="Q90" i="1" s="1"/>
  <c r="M91" i="1" a="1"/>
  <c r="M91" i="1" s="1"/>
  <c r="Q91" i="1" s="1"/>
  <c r="M92" i="1" a="1"/>
  <c r="M92" i="1" s="1"/>
  <c r="Q92" i="1" s="1"/>
  <c r="M93" i="1" a="1"/>
  <c r="M93" i="1" s="1"/>
  <c r="Q93" i="1" s="1"/>
  <c r="M94" i="1" a="1"/>
  <c r="M94" i="1" s="1"/>
  <c r="M95" i="1" a="1"/>
  <c r="M95" i="1" s="1"/>
  <c r="Q95" i="1" s="1"/>
  <c r="M96" i="1" a="1"/>
  <c r="M96" i="1" s="1"/>
  <c r="Q96" i="1" s="1"/>
  <c r="M97" i="1" a="1"/>
  <c r="M97" i="1" s="1"/>
  <c r="Q97" i="1" s="1"/>
  <c r="M98" i="1" a="1"/>
  <c r="M98" i="1" s="1"/>
  <c r="Q98" i="1" s="1"/>
  <c r="M99" i="1" a="1"/>
  <c r="M99" i="1" s="1"/>
  <c r="Q99" i="1" s="1"/>
  <c r="M100" i="1" a="1"/>
  <c r="M100" i="1" s="1"/>
  <c r="Q100" i="1" s="1"/>
  <c r="M101" i="1" a="1"/>
  <c r="M101" i="1" s="1"/>
  <c r="Q101" i="1" s="1"/>
  <c r="M102" i="1" a="1"/>
  <c r="M102" i="1" s="1"/>
  <c r="Q102" i="1" s="1"/>
  <c r="M103" i="1" a="1"/>
  <c r="M103" i="1" s="1"/>
  <c r="Q103" i="1" s="1"/>
  <c r="M104" i="1" a="1"/>
  <c r="M104" i="1" s="1"/>
  <c r="Q104" i="1" s="1"/>
  <c r="M105" i="1" a="1"/>
  <c r="M105" i="1" s="1"/>
  <c r="Q105" i="1" s="1"/>
  <c r="M106" i="1" a="1"/>
  <c r="M106" i="1" s="1"/>
  <c r="Q106" i="1" s="1"/>
  <c r="M107" i="1" a="1"/>
  <c r="M107" i="1" s="1"/>
  <c r="Q107" i="1" s="1"/>
  <c r="M108" i="1" a="1"/>
  <c r="M108" i="1" s="1"/>
  <c r="M109" i="1" a="1"/>
  <c r="M109" i="1" s="1"/>
  <c r="M110" i="1" a="1"/>
  <c r="M110" i="1" s="1"/>
  <c r="Q110" i="1" s="1"/>
  <c r="M111" i="1" a="1"/>
  <c r="M111" i="1" s="1"/>
  <c r="Q111" i="1" s="1"/>
  <c r="M112" i="1" a="1"/>
  <c r="M112" i="1" s="1"/>
  <c r="Q112" i="1" s="1"/>
  <c r="M113" i="1" a="1"/>
  <c r="M113" i="1" s="1"/>
  <c r="Q113" i="1" s="1"/>
  <c r="M114" i="1" a="1"/>
  <c r="M114" i="1" s="1"/>
  <c r="Q114" i="1" s="1"/>
  <c r="M115" i="1" a="1"/>
  <c r="M115" i="1" s="1"/>
  <c r="Q115" i="1" s="1"/>
  <c r="M116" i="1" a="1"/>
  <c r="M116" i="1" s="1"/>
  <c r="Q116" i="1" s="1"/>
  <c r="M117" i="1" a="1"/>
  <c r="M117" i="1" s="1"/>
  <c r="Q117" i="1" s="1"/>
  <c r="M118" i="1" a="1"/>
  <c r="M118" i="1" s="1"/>
  <c r="Q118" i="1" s="1"/>
  <c r="M119" i="1" a="1"/>
  <c r="M119" i="1" s="1"/>
  <c r="Q119" i="1" s="1"/>
  <c r="M120" i="1" a="1"/>
  <c r="M120" i="1" s="1"/>
  <c r="Q120" i="1" s="1"/>
  <c r="M121" i="1" a="1"/>
  <c r="M121" i="1" s="1"/>
  <c r="Q121" i="1" s="1"/>
  <c r="M122" i="1" a="1"/>
  <c r="M122" i="1" s="1"/>
  <c r="Q122" i="1" s="1"/>
  <c r="M123" i="1" a="1"/>
  <c r="M123" i="1" s="1"/>
  <c r="M124" i="1" a="1"/>
  <c r="M124" i="1" s="1"/>
  <c r="Q124" i="1" s="1"/>
  <c r="M125" i="1" a="1"/>
  <c r="M125" i="1" s="1"/>
  <c r="Q125" i="1" s="1"/>
  <c r="M126" i="1" a="1"/>
  <c r="M126" i="1" s="1"/>
  <c r="Q126" i="1" s="1"/>
  <c r="M127" i="1" a="1"/>
  <c r="M127" i="1" s="1"/>
  <c r="M128" i="1" a="1"/>
  <c r="M128" i="1" s="1"/>
  <c r="M129" i="1" a="1"/>
  <c r="M129" i="1" s="1"/>
  <c r="M130" i="1" a="1"/>
  <c r="M130" i="1" s="1"/>
  <c r="Q130" i="1" s="1"/>
  <c r="M131" i="1" a="1"/>
  <c r="M131" i="1" s="1"/>
  <c r="Q131" i="1" s="1"/>
  <c r="M132" i="1" a="1"/>
  <c r="M132" i="1" s="1"/>
  <c r="Q132" i="1" s="1"/>
  <c r="M133" i="1" a="1"/>
  <c r="M133" i="1" s="1"/>
  <c r="Q133" i="1" s="1"/>
  <c r="M134" i="1" a="1"/>
  <c r="M134" i="1" s="1"/>
  <c r="Q134" i="1" s="1"/>
  <c r="M135" i="1" a="1"/>
  <c r="M135" i="1" s="1"/>
  <c r="Q135" i="1" s="1"/>
  <c r="M136" i="1" a="1"/>
  <c r="M136" i="1" s="1"/>
  <c r="Q136" i="1" s="1"/>
  <c r="M137" i="1" a="1"/>
  <c r="M137" i="1" s="1"/>
  <c r="Q137" i="1" s="1"/>
  <c r="M138" i="1" a="1"/>
  <c r="M138" i="1" s="1"/>
  <c r="Q138" i="1" s="1"/>
  <c r="M139" i="1" a="1"/>
  <c r="M139" i="1" s="1"/>
  <c r="Q139" i="1" s="1"/>
  <c r="M140" i="1" a="1"/>
  <c r="M140" i="1" s="1"/>
  <c r="M141" i="1" a="1"/>
  <c r="M141" i="1" s="1"/>
  <c r="M142" i="1" a="1"/>
  <c r="M142" i="1" s="1"/>
  <c r="Q142" i="1" s="1"/>
  <c r="M143" i="1" a="1"/>
  <c r="M143" i="1" s="1"/>
  <c r="Q143" i="1" s="1"/>
  <c r="M144" i="1" a="1"/>
  <c r="M144" i="1" s="1"/>
  <c r="Q144" i="1" s="1"/>
  <c r="M145" i="1" a="1"/>
  <c r="M145" i="1" s="1"/>
  <c r="Q145" i="1" s="1"/>
  <c r="M146" i="1" a="1"/>
  <c r="M146" i="1" s="1"/>
  <c r="M147" i="1" a="1"/>
  <c r="M147" i="1" s="1"/>
  <c r="M148" i="1" a="1"/>
  <c r="M148" i="1" s="1"/>
  <c r="Q148" i="1" s="1"/>
  <c r="M149" i="1" a="1"/>
  <c r="M149" i="1" s="1"/>
  <c r="Q149" i="1" s="1"/>
  <c r="M150" i="1" a="1"/>
  <c r="M150" i="1" s="1"/>
  <c r="Q150" i="1" s="1"/>
  <c r="M151" i="1" a="1"/>
  <c r="M151" i="1" s="1"/>
  <c r="Q151" i="1" s="1"/>
  <c r="M152" i="1" a="1"/>
  <c r="M152" i="1" s="1"/>
  <c r="Q152" i="1" s="1"/>
  <c r="M153" i="1" a="1"/>
  <c r="M153" i="1" s="1"/>
  <c r="Q153" i="1" s="1"/>
  <c r="M154" i="1" a="1"/>
  <c r="M154" i="1" s="1"/>
  <c r="Q154" i="1" s="1"/>
  <c r="M155" i="1" a="1"/>
  <c r="M155" i="1" s="1"/>
  <c r="Q155" i="1" s="1"/>
  <c r="M156" i="1" a="1"/>
  <c r="M156" i="1" s="1"/>
  <c r="Q156" i="1" s="1"/>
  <c r="M157" i="1" a="1"/>
  <c r="M157" i="1" s="1"/>
  <c r="Q157" i="1" s="1"/>
  <c r="M158" i="1" a="1"/>
  <c r="M158" i="1" s="1"/>
  <c r="Q158" i="1" s="1"/>
  <c r="M159" i="1" a="1"/>
  <c r="M159" i="1" s="1"/>
  <c r="Q159" i="1" s="1"/>
  <c r="M160" i="1" a="1"/>
  <c r="M160" i="1" s="1"/>
  <c r="Q160" i="1" s="1"/>
  <c r="M161" i="1" a="1"/>
  <c r="M161" i="1" s="1"/>
  <c r="Q161" i="1" s="1"/>
  <c r="M162" i="1" a="1"/>
  <c r="M162" i="1" s="1"/>
  <c r="Q162" i="1" s="1"/>
  <c r="M163" i="1" a="1"/>
  <c r="M163" i="1" s="1"/>
  <c r="Q163" i="1" s="1"/>
  <c r="M164" i="1" a="1"/>
  <c r="M164" i="1" s="1"/>
  <c r="Q164" i="1" s="1"/>
  <c r="M165" i="1" a="1"/>
  <c r="M165" i="1" s="1"/>
  <c r="Q165" i="1" s="1"/>
  <c r="M166" i="1" a="1"/>
  <c r="M166" i="1" s="1"/>
  <c r="Q166" i="1" s="1"/>
  <c r="M167" i="1" a="1"/>
  <c r="M167" i="1" s="1"/>
  <c r="Q167" i="1" s="1"/>
  <c r="M168" i="1" a="1"/>
  <c r="M168" i="1" s="1"/>
  <c r="Q168" i="1" s="1"/>
  <c r="M169" i="1" a="1"/>
  <c r="M169" i="1" s="1"/>
  <c r="M170" i="1" a="1"/>
  <c r="M170" i="1" s="1"/>
  <c r="M171" i="1" a="1"/>
  <c r="M171" i="1" s="1"/>
  <c r="Q171" i="1" s="1"/>
  <c r="M172" i="1" a="1"/>
  <c r="M172" i="1" s="1"/>
  <c r="M173" i="1" a="1"/>
  <c r="M173" i="1" s="1"/>
  <c r="Q173" i="1" s="1"/>
  <c r="M174" i="1" a="1"/>
  <c r="M174" i="1" s="1"/>
  <c r="Q174" i="1" s="1"/>
  <c r="M175" i="1" a="1"/>
  <c r="M175" i="1" s="1"/>
  <c r="Q175" i="1" s="1"/>
  <c r="M176" i="1" a="1"/>
  <c r="M176" i="1" s="1"/>
  <c r="Q176" i="1" s="1"/>
  <c r="M177" i="1" a="1"/>
  <c r="M177" i="1" s="1"/>
  <c r="Q177" i="1" s="1"/>
  <c r="M178" i="1" a="1"/>
  <c r="M178" i="1" s="1"/>
  <c r="Q178" i="1" s="1"/>
  <c r="M179" i="1" a="1"/>
  <c r="M179" i="1" s="1"/>
  <c r="Q179" i="1" s="1"/>
  <c r="M180" i="1" a="1"/>
  <c r="M180" i="1" s="1"/>
  <c r="Q180" i="1" s="1"/>
  <c r="M181" i="1" a="1"/>
  <c r="M181" i="1" s="1"/>
  <c r="Q181" i="1" s="1"/>
  <c r="M182" i="1" a="1"/>
  <c r="M182" i="1" s="1"/>
  <c r="Q182" i="1" s="1"/>
  <c r="M183" i="1" a="1"/>
  <c r="M183" i="1" s="1"/>
  <c r="Q183" i="1" s="1"/>
  <c r="M184" i="1" a="1"/>
  <c r="M184" i="1" s="1"/>
  <c r="M185" i="1" a="1"/>
  <c r="M185" i="1" s="1"/>
  <c r="M186" i="1" a="1"/>
  <c r="M186" i="1" s="1"/>
  <c r="Q186" i="1" s="1"/>
  <c r="M187" i="1" a="1"/>
  <c r="M187" i="1" s="1"/>
  <c r="M188" i="1" a="1"/>
  <c r="M188" i="1" s="1"/>
  <c r="Q188" i="1" s="1"/>
  <c r="M189" i="1" a="1"/>
  <c r="M189" i="1" s="1"/>
  <c r="Q189" i="1" s="1"/>
  <c r="M190" i="1" a="1"/>
  <c r="M190" i="1" s="1"/>
  <c r="Q190" i="1" s="1"/>
  <c r="M191" i="1" a="1"/>
  <c r="M191" i="1" s="1"/>
  <c r="Q191" i="1" s="1"/>
  <c r="M192" i="1" a="1"/>
  <c r="M192" i="1" s="1"/>
  <c r="Q192" i="1" s="1"/>
  <c r="M193" i="1" a="1"/>
  <c r="M193" i="1" s="1"/>
  <c r="Q193" i="1" s="1"/>
  <c r="M194" i="1" a="1"/>
  <c r="M194" i="1" s="1"/>
  <c r="Q194" i="1" s="1"/>
  <c r="M195" i="1" a="1"/>
  <c r="M195" i="1" s="1"/>
  <c r="Q195" i="1" s="1"/>
  <c r="M196" i="1" a="1"/>
  <c r="M196" i="1" s="1"/>
  <c r="Q196" i="1" s="1"/>
  <c r="M197" i="1" a="1"/>
  <c r="M197" i="1" s="1"/>
  <c r="Q197" i="1" s="1"/>
  <c r="M198" i="1" a="1"/>
  <c r="M198" i="1" s="1"/>
  <c r="Q198" i="1" s="1"/>
  <c r="M199" i="1" a="1"/>
  <c r="M199" i="1" s="1"/>
  <c r="Q199" i="1" s="1"/>
  <c r="M200" i="1" a="1"/>
  <c r="M200" i="1" s="1"/>
  <c r="Q200" i="1" s="1"/>
  <c r="M201" i="1" a="1"/>
  <c r="M201" i="1" s="1"/>
  <c r="Q201" i="1" s="1"/>
  <c r="M202" i="1" a="1"/>
  <c r="M202" i="1" s="1"/>
  <c r="Q202" i="1" s="1"/>
  <c r="M203" i="1" a="1"/>
  <c r="M203" i="1" s="1"/>
  <c r="Q203" i="1" s="1"/>
  <c r="M204" i="1" a="1"/>
  <c r="M204" i="1" s="1"/>
  <c r="Q204" i="1" s="1"/>
  <c r="M205" i="1" a="1"/>
  <c r="M205" i="1" s="1"/>
  <c r="Q205" i="1" s="1"/>
  <c r="M206" i="1" a="1"/>
  <c r="M206" i="1" s="1"/>
  <c r="Q206" i="1" s="1"/>
  <c r="M207" i="1" a="1"/>
  <c r="M207" i="1" s="1"/>
  <c r="Q207" i="1" s="1"/>
  <c r="M208" i="1" a="1"/>
  <c r="M208" i="1" s="1"/>
  <c r="Q208" i="1" s="1"/>
  <c r="M209" i="1" a="1"/>
  <c r="M209" i="1" s="1"/>
  <c r="Q209" i="1" s="1"/>
  <c r="M210" i="1" a="1"/>
  <c r="M210" i="1" s="1"/>
  <c r="Q210" i="1" s="1"/>
  <c r="M211" i="1" a="1"/>
  <c r="M211" i="1" s="1"/>
  <c r="Q211" i="1" s="1"/>
  <c r="M212" i="1" a="1"/>
  <c r="M212" i="1" s="1"/>
  <c r="Q212" i="1" s="1"/>
  <c r="M213" i="1" a="1"/>
  <c r="M213" i="1" s="1"/>
  <c r="Q213" i="1" s="1"/>
  <c r="M214" i="1" a="1"/>
  <c r="M214" i="1" s="1"/>
  <c r="Q214" i="1" s="1"/>
  <c r="M215" i="1" a="1"/>
  <c r="M215" i="1" s="1"/>
  <c r="Q215" i="1" s="1"/>
  <c r="M216" i="1" a="1"/>
  <c r="M216" i="1" s="1"/>
  <c r="Q216" i="1" s="1"/>
  <c r="M217" i="1" a="1"/>
  <c r="M217" i="1" s="1"/>
  <c r="Q217" i="1" s="1"/>
  <c r="M218" i="1" a="1"/>
  <c r="M218" i="1" s="1"/>
  <c r="Q218" i="1" s="1"/>
  <c r="M219" i="1" a="1"/>
  <c r="M219" i="1" s="1"/>
  <c r="Q219" i="1" s="1"/>
  <c r="M220" i="1" a="1"/>
  <c r="M220" i="1" s="1"/>
  <c r="Q220" i="1" s="1"/>
  <c r="M221" i="1" a="1"/>
  <c r="M221" i="1" s="1"/>
  <c r="Q221" i="1" s="1"/>
  <c r="M222" i="1" a="1"/>
  <c r="M222" i="1" s="1"/>
  <c r="Q222" i="1" s="1"/>
  <c r="M223" i="1" a="1"/>
  <c r="M223" i="1" s="1"/>
  <c r="Q223" i="1" s="1"/>
  <c r="M224" i="1" a="1"/>
  <c r="M224" i="1" s="1"/>
  <c r="Q224" i="1" s="1"/>
  <c r="M225" i="1" a="1"/>
  <c r="M225" i="1" s="1"/>
  <c r="Q225" i="1" s="1"/>
  <c r="M226" i="1" a="1"/>
  <c r="M226" i="1" s="1"/>
  <c r="Q226" i="1" s="1"/>
  <c r="M227" i="1" a="1"/>
  <c r="M227" i="1" s="1"/>
  <c r="Q227" i="1" s="1"/>
  <c r="M228" i="1" a="1"/>
  <c r="M228" i="1" s="1"/>
  <c r="Q228" i="1" s="1"/>
  <c r="M229" i="1" a="1"/>
  <c r="M229" i="1" s="1"/>
  <c r="Q229" i="1" s="1"/>
  <c r="M230" i="1" a="1"/>
  <c r="M230" i="1" s="1"/>
  <c r="Q230" i="1" s="1"/>
  <c r="M231" i="1" a="1"/>
  <c r="M231" i="1" s="1"/>
  <c r="Q231" i="1" s="1"/>
  <c r="M232" i="1" a="1"/>
  <c r="M232" i="1" s="1"/>
  <c r="Q232" i="1" s="1"/>
  <c r="M233" i="1" a="1"/>
  <c r="M233" i="1" s="1"/>
  <c r="Q233" i="1" s="1"/>
  <c r="M234" i="1" a="1"/>
  <c r="M234" i="1" s="1"/>
  <c r="Q234" i="1" s="1"/>
  <c r="M235" i="1" a="1"/>
  <c r="M235" i="1" s="1"/>
  <c r="Q235" i="1" s="1"/>
  <c r="M236" i="1" a="1"/>
  <c r="M236" i="1" s="1"/>
  <c r="Q236" i="1" s="1"/>
  <c r="M237" i="1" a="1"/>
  <c r="M237" i="1" s="1"/>
  <c r="Q237" i="1" s="1"/>
  <c r="M238" i="1" a="1"/>
  <c r="M238" i="1" s="1"/>
  <c r="Q238" i="1" s="1"/>
  <c r="M239" i="1" a="1"/>
  <c r="M239" i="1" s="1"/>
  <c r="Q239" i="1" s="1"/>
  <c r="M240" i="1" a="1"/>
  <c r="M240" i="1" s="1"/>
  <c r="Q240" i="1" s="1"/>
  <c r="M241" i="1" a="1"/>
  <c r="M241" i="1" s="1"/>
  <c r="Q241" i="1" s="1"/>
  <c r="M242" i="1" a="1"/>
  <c r="M242" i="1" s="1"/>
  <c r="Q242" i="1" s="1"/>
  <c r="M243" i="1" a="1"/>
  <c r="M243" i="1" s="1"/>
  <c r="Q243" i="1" s="1"/>
  <c r="M244" i="1" a="1"/>
  <c r="M244" i="1" s="1"/>
  <c r="Q244" i="1" s="1"/>
  <c r="M245" i="1" a="1"/>
  <c r="M245" i="1" s="1"/>
  <c r="Q245" i="1" s="1"/>
  <c r="M246" i="1" a="1"/>
  <c r="M246" i="1" s="1"/>
  <c r="Q246" i="1" s="1"/>
  <c r="M247" i="1" a="1"/>
  <c r="M247" i="1" s="1"/>
  <c r="Q247" i="1" s="1"/>
  <c r="N3" i="1" a="1"/>
  <c r="N3" i="1" s="1"/>
  <c r="N4" i="1" a="1"/>
  <c r="N4" i="1" s="1"/>
  <c r="N5" i="1" a="1"/>
  <c r="N5" i="1" s="1"/>
  <c r="N6" i="1" a="1"/>
  <c r="N6" i="1" s="1"/>
  <c r="N7" i="1" a="1"/>
  <c r="N7" i="1" s="1"/>
  <c r="N8" i="1" a="1"/>
  <c r="N8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N14" i="1" a="1"/>
  <c r="N14" i="1" s="1"/>
  <c r="N15" i="1" a="1"/>
  <c r="N15" i="1" s="1"/>
  <c r="N16" i="1" a="1"/>
  <c r="N16" i="1" s="1"/>
  <c r="N17" i="1" a="1"/>
  <c r="N17" i="1" s="1"/>
  <c r="N18" i="1" a="1"/>
  <c r="N18" i="1" s="1"/>
  <c r="N19" i="1" a="1"/>
  <c r="N19" i="1" s="1"/>
  <c r="N20" i="1" a="1"/>
  <c r="N20" i="1" s="1"/>
  <c r="N21" i="1" a="1"/>
  <c r="N21" i="1" s="1"/>
  <c r="N22" i="1" a="1"/>
  <c r="N22" i="1" s="1"/>
  <c r="N23" i="1" a="1"/>
  <c r="N23" i="1" s="1"/>
  <c r="N24" i="1" a="1"/>
  <c r="N24" i="1" s="1"/>
  <c r="N25" i="1" a="1"/>
  <c r="N25" i="1" s="1"/>
  <c r="N26" i="1" a="1"/>
  <c r="N26" i="1" s="1"/>
  <c r="N27" i="1" a="1"/>
  <c r="N27" i="1" s="1"/>
  <c r="N28" i="1" a="1"/>
  <c r="N28" i="1" s="1"/>
  <c r="N29" i="1" a="1"/>
  <c r="N29" i="1" s="1"/>
  <c r="N30" i="1" a="1"/>
  <c r="N30" i="1" s="1"/>
  <c r="N31" i="1" a="1"/>
  <c r="N31" i="1" s="1"/>
  <c r="N32" i="1" a="1"/>
  <c r="N32" i="1" s="1"/>
  <c r="N33" i="1" a="1"/>
  <c r="N33" i="1" s="1"/>
  <c r="N34" i="1" a="1"/>
  <c r="N34" i="1" s="1"/>
  <c r="N35" i="1" a="1"/>
  <c r="N35" i="1" s="1"/>
  <c r="N36" i="1" a="1"/>
  <c r="N36" i="1" s="1"/>
  <c r="N37" i="1" a="1"/>
  <c r="N37" i="1" s="1"/>
  <c r="N38" i="1" a="1"/>
  <c r="N38" i="1" s="1"/>
  <c r="N39" i="1" a="1"/>
  <c r="N39" i="1" s="1"/>
  <c r="N40" i="1" a="1"/>
  <c r="N40" i="1" s="1"/>
  <c r="N41" i="1" a="1"/>
  <c r="N41" i="1" s="1"/>
  <c r="N42" i="1" a="1"/>
  <c r="N42" i="1" s="1"/>
  <c r="N43" i="1" a="1"/>
  <c r="N43" i="1" s="1"/>
  <c r="N44" i="1" a="1"/>
  <c r="N44" i="1" s="1"/>
  <c r="N45" i="1" a="1"/>
  <c r="N45" i="1" s="1"/>
  <c r="N46" i="1" a="1"/>
  <c r="N46" i="1" s="1"/>
  <c r="N47" i="1" a="1"/>
  <c r="N47" i="1" s="1"/>
  <c r="N48" i="1" a="1"/>
  <c r="N48" i="1" s="1"/>
  <c r="N49" i="1" a="1"/>
  <c r="N49" i="1" s="1"/>
  <c r="N50" i="1" a="1"/>
  <c r="N50" i="1" s="1"/>
  <c r="N51" i="1" a="1"/>
  <c r="N51" i="1" s="1"/>
  <c r="N52" i="1" a="1"/>
  <c r="N52" i="1" s="1"/>
  <c r="N53" i="1" a="1"/>
  <c r="N53" i="1" s="1"/>
  <c r="N54" i="1" a="1"/>
  <c r="N54" i="1" s="1"/>
  <c r="N55" i="1" a="1"/>
  <c r="N55" i="1" s="1"/>
  <c r="N56" i="1" a="1"/>
  <c r="N56" i="1" s="1"/>
  <c r="N57" i="1" a="1"/>
  <c r="N57" i="1" s="1"/>
  <c r="N58" i="1" a="1"/>
  <c r="N58" i="1" s="1"/>
  <c r="N59" i="1" a="1"/>
  <c r="N59" i="1" s="1"/>
  <c r="N60" i="1" a="1"/>
  <c r="N60" i="1" s="1"/>
  <c r="N61" i="1" a="1"/>
  <c r="N61" i="1" s="1"/>
  <c r="N62" i="1" a="1"/>
  <c r="N62" i="1" s="1"/>
  <c r="N63" i="1" a="1"/>
  <c r="N63" i="1" s="1"/>
  <c r="N64" i="1" a="1"/>
  <c r="N64" i="1" s="1"/>
  <c r="N65" i="1" a="1"/>
  <c r="N65" i="1" s="1"/>
  <c r="N66" i="1" a="1"/>
  <c r="N66" i="1" s="1"/>
  <c r="N67" i="1" a="1"/>
  <c r="N67" i="1" s="1"/>
  <c r="N68" i="1" a="1"/>
  <c r="N68" i="1" s="1"/>
  <c r="N69" i="1" a="1"/>
  <c r="N69" i="1" s="1"/>
  <c r="N70" i="1" a="1"/>
  <c r="N70" i="1" s="1"/>
  <c r="N71" i="1" a="1"/>
  <c r="N71" i="1" s="1"/>
  <c r="N72" i="1" a="1"/>
  <c r="N72" i="1" s="1"/>
  <c r="N73" i="1" a="1"/>
  <c r="N73" i="1" s="1"/>
  <c r="N74" i="1" a="1"/>
  <c r="N74" i="1" s="1"/>
  <c r="N75" i="1" a="1"/>
  <c r="N75" i="1" s="1"/>
  <c r="N76" i="1" a="1"/>
  <c r="N76" i="1" s="1"/>
  <c r="N77" i="1" a="1"/>
  <c r="N77" i="1" s="1"/>
  <c r="N78" i="1" a="1"/>
  <c r="N78" i="1" s="1"/>
  <c r="N79" i="1" a="1"/>
  <c r="N79" i="1" s="1"/>
  <c r="N80" i="1" a="1"/>
  <c r="N80" i="1" s="1"/>
  <c r="N81" i="1" a="1"/>
  <c r="N81" i="1" s="1"/>
  <c r="N82" i="1" a="1"/>
  <c r="N82" i="1" s="1"/>
  <c r="N83" i="1" a="1"/>
  <c r="N83" i="1" s="1"/>
  <c r="N84" i="1" a="1"/>
  <c r="N84" i="1" s="1"/>
  <c r="N85" i="1" a="1"/>
  <c r="N85" i="1" s="1"/>
  <c r="N86" i="1" a="1"/>
  <c r="N86" i="1" s="1"/>
  <c r="N87" i="1" a="1"/>
  <c r="N87" i="1" s="1"/>
  <c r="N88" i="1" a="1"/>
  <c r="N88" i="1" s="1"/>
  <c r="N89" i="1" a="1"/>
  <c r="N89" i="1" s="1"/>
  <c r="N90" i="1" a="1"/>
  <c r="N90" i="1" s="1"/>
  <c r="N91" i="1" a="1"/>
  <c r="N91" i="1" s="1"/>
  <c r="N92" i="1" a="1"/>
  <c r="N92" i="1" s="1"/>
  <c r="N93" i="1" a="1"/>
  <c r="N93" i="1" s="1"/>
  <c r="N94" i="1" a="1"/>
  <c r="N94" i="1" s="1"/>
  <c r="N95" i="1" a="1"/>
  <c r="N95" i="1" s="1"/>
  <c r="N96" i="1" a="1"/>
  <c r="N96" i="1" s="1"/>
  <c r="N97" i="1" a="1"/>
  <c r="N97" i="1" s="1"/>
  <c r="N98" i="1" a="1"/>
  <c r="N98" i="1" s="1"/>
  <c r="N99" i="1" a="1"/>
  <c r="N99" i="1" s="1"/>
  <c r="N100" i="1" a="1"/>
  <c r="N100" i="1" s="1"/>
  <c r="N101" i="1" a="1"/>
  <c r="N101" i="1" s="1"/>
  <c r="N102" i="1" a="1"/>
  <c r="N102" i="1" s="1"/>
  <c r="N103" i="1" a="1"/>
  <c r="N103" i="1" s="1"/>
  <c r="N104" i="1" a="1"/>
  <c r="N104" i="1" s="1"/>
  <c r="N105" i="1" a="1"/>
  <c r="N105" i="1" s="1"/>
  <c r="N106" i="1" a="1"/>
  <c r="N106" i="1" s="1"/>
  <c r="N107" i="1" a="1"/>
  <c r="N107" i="1" s="1"/>
  <c r="N108" i="1" a="1"/>
  <c r="N108" i="1" s="1"/>
  <c r="N109" i="1" a="1"/>
  <c r="N109" i="1" s="1"/>
  <c r="N110" i="1" a="1"/>
  <c r="N110" i="1" s="1"/>
  <c r="N111" i="1" a="1"/>
  <c r="N111" i="1" s="1"/>
  <c r="N112" i="1" a="1"/>
  <c r="N112" i="1" s="1"/>
  <c r="N113" i="1" a="1"/>
  <c r="N113" i="1" s="1"/>
  <c r="N114" i="1" a="1"/>
  <c r="N114" i="1" s="1"/>
  <c r="N115" i="1" a="1"/>
  <c r="N115" i="1" s="1"/>
  <c r="N116" i="1" a="1"/>
  <c r="N116" i="1" s="1"/>
  <c r="N117" i="1" a="1"/>
  <c r="N117" i="1" s="1"/>
  <c r="N118" i="1" a="1"/>
  <c r="N118" i="1" s="1"/>
  <c r="N119" i="1" a="1"/>
  <c r="N119" i="1" s="1"/>
  <c r="N120" i="1" a="1"/>
  <c r="N120" i="1" s="1"/>
  <c r="N121" i="1" a="1"/>
  <c r="N121" i="1" s="1"/>
  <c r="N122" i="1" a="1"/>
  <c r="N122" i="1" s="1"/>
  <c r="N123" i="1" a="1"/>
  <c r="N123" i="1" s="1"/>
  <c r="N124" i="1" a="1"/>
  <c r="N124" i="1" s="1"/>
  <c r="N125" i="1" a="1"/>
  <c r="N125" i="1" s="1"/>
  <c r="N126" i="1" a="1"/>
  <c r="N126" i="1" s="1"/>
  <c r="N127" i="1" a="1"/>
  <c r="N127" i="1" s="1"/>
  <c r="N128" i="1" a="1"/>
  <c r="N128" i="1" s="1"/>
  <c r="N129" i="1" a="1"/>
  <c r="N129" i="1" s="1"/>
  <c r="N130" i="1" a="1"/>
  <c r="N130" i="1" s="1"/>
  <c r="N131" i="1" a="1"/>
  <c r="N131" i="1" s="1"/>
  <c r="N132" i="1" a="1"/>
  <c r="N132" i="1" s="1"/>
  <c r="N133" i="1" a="1"/>
  <c r="N133" i="1" s="1"/>
  <c r="N134" i="1" a="1"/>
  <c r="N134" i="1" s="1"/>
  <c r="N135" i="1" a="1"/>
  <c r="N135" i="1" s="1"/>
  <c r="N136" i="1" a="1"/>
  <c r="N136" i="1" s="1"/>
  <c r="N137" i="1" a="1"/>
  <c r="N137" i="1" s="1"/>
  <c r="N138" i="1" a="1"/>
  <c r="N138" i="1" s="1"/>
  <c r="N139" i="1" a="1"/>
  <c r="N139" i="1" s="1"/>
  <c r="N140" i="1" a="1"/>
  <c r="N140" i="1" s="1"/>
  <c r="N141" i="1" a="1"/>
  <c r="N141" i="1" s="1"/>
  <c r="N142" i="1" a="1"/>
  <c r="N142" i="1" s="1"/>
  <c r="N143" i="1" a="1"/>
  <c r="N143" i="1" s="1"/>
  <c r="N144" i="1" a="1"/>
  <c r="N144" i="1" s="1"/>
  <c r="N145" i="1" a="1"/>
  <c r="N145" i="1" s="1"/>
  <c r="N146" i="1" a="1"/>
  <c r="N146" i="1" s="1"/>
  <c r="N147" i="1" a="1"/>
  <c r="N147" i="1" s="1"/>
  <c r="N148" i="1" a="1"/>
  <c r="N148" i="1" s="1"/>
  <c r="N149" i="1" a="1"/>
  <c r="N149" i="1" s="1"/>
  <c r="N150" i="1" a="1"/>
  <c r="N150" i="1" s="1"/>
  <c r="N151" i="1" a="1"/>
  <c r="N151" i="1" s="1"/>
  <c r="N152" i="1" a="1"/>
  <c r="N152" i="1" s="1"/>
  <c r="N153" i="1" a="1"/>
  <c r="N153" i="1" s="1"/>
  <c r="N154" i="1" a="1"/>
  <c r="N154" i="1" s="1"/>
  <c r="N155" i="1" a="1"/>
  <c r="N155" i="1" s="1"/>
  <c r="N156" i="1" a="1"/>
  <c r="N156" i="1" s="1"/>
  <c r="N157" i="1" a="1"/>
  <c r="N157" i="1" s="1"/>
  <c r="N158" i="1" a="1"/>
  <c r="N158" i="1" s="1"/>
  <c r="N159" i="1" a="1"/>
  <c r="N159" i="1" s="1"/>
  <c r="N160" i="1" a="1"/>
  <c r="N160" i="1" s="1"/>
  <c r="N161" i="1" a="1"/>
  <c r="N161" i="1" s="1"/>
  <c r="N162" i="1" a="1"/>
  <c r="N162" i="1" s="1"/>
  <c r="N163" i="1" a="1"/>
  <c r="N163" i="1" s="1"/>
  <c r="N164" i="1" a="1"/>
  <c r="N164" i="1" s="1"/>
  <c r="N165" i="1" a="1"/>
  <c r="N165" i="1" s="1"/>
  <c r="N166" i="1" a="1"/>
  <c r="N166" i="1" s="1"/>
  <c r="N167" i="1" a="1"/>
  <c r="N167" i="1" s="1"/>
  <c r="N168" i="1" a="1"/>
  <c r="N168" i="1" s="1"/>
  <c r="N169" i="1" a="1"/>
  <c r="N169" i="1" s="1"/>
  <c r="N170" i="1" a="1"/>
  <c r="N170" i="1" s="1"/>
  <c r="N171" i="1" a="1"/>
  <c r="N171" i="1" s="1"/>
  <c r="N172" i="1" a="1"/>
  <c r="N172" i="1" s="1"/>
  <c r="N173" i="1" a="1"/>
  <c r="N173" i="1" s="1"/>
  <c r="N174" i="1" a="1"/>
  <c r="N174" i="1" s="1"/>
  <c r="N175" i="1" a="1"/>
  <c r="N175" i="1" s="1"/>
  <c r="N176" i="1" a="1"/>
  <c r="N176" i="1" s="1"/>
  <c r="N177" i="1" a="1"/>
  <c r="N177" i="1" s="1"/>
  <c r="N178" i="1" a="1"/>
  <c r="N178" i="1" s="1"/>
  <c r="N179" i="1" a="1"/>
  <c r="N179" i="1" s="1"/>
  <c r="N180" i="1" a="1"/>
  <c r="N180" i="1" s="1"/>
  <c r="N181" i="1" a="1"/>
  <c r="N181" i="1" s="1"/>
  <c r="N182" i="1" a="1"/>
  <c r="N182" i="1" s="1"/>
  <c r="N183" i="1" a="1"/>
  <c r="N183" i="1" s="1"/>
  <c r="N184" i="1" a="1"/>
  <c r="N184" i="1" s="1"/>
  <c r="N185" i="1" a="1"/>
  <c r="N185" i="1" s="1"/>
  <c r="N186" i="1" a="1"/>
  <c r="N186" i="1" s="1"/>
  <c r="N187" i="1" a="1"/>
  <c r="N187" i="1" s="1"/>
  <c r="N188" i="1" a="1"/>
  <c r="N188" i="1" s="1"/>
  <c r="N189" i="1" a="1"/>
  <c r="N189" i="1" s="1"/>
  <c r="N190" i="1" a="1"/>
  <c r="N190" i="1" s="1"/>
  <c r="N191" i="1" a="1"/>
  <c r="N191" i="1" s="1"/>
  <c r="N192" i="1" a="1"/>
  <c r="N192" i="1" s="1"/>
  <c r="N193" i="1" a="1"/>
  <c r="N193" i="1" s="1"/>
  <c r="N194" i="1" a="1"/>
  <c r="N194" i="1" s="1"/>
  <c r="N195" i="1" a="1"/>
  <c r="N195" i="1" s="1"/>
  <c r="N196" i="1" a="1"/>
  <c r="N196" i="1" s="1"/>
  <c r="N197" i="1" a="1"/>
  <c r="N197" i="1" s="1"/>
  <c r="N198" i="1" a="1"/>
  <c r="N198" i="1" s="1"/>
  <c r="N199" i="1" a="1"/>
  <c r="N199" i="1" s="1"/>
  <c r="N200" i="1" a="1"/>
  <c r="N200" i="1" s="1"/>
  <c r="N201" i="1" a="1"/>
  <c r="N201" i="1" s="1"/>
  <c r="N202" i="1" a="1"/>
  <c r="N202" i="1" s="1"/>
  <c r="N203" i="1" a="1"/>
  <c r="N203" i="1" s="1"/>
  <c r="N204" i="1" a="1"/>
  <c r="N204" i="1" s="1"/>
  <c r="N205" i="1" a="1"/>
  <c r="N205" i="1" s="1"/>
  <c r="N206" i="1" a="1"/>
  <c r="N206" i="1" s="1"/>
  <c r="N207" i="1" a="1"/>
  <c r="N207" i="1" s="1"/>
  <c r="N208" i="1" a="1"/>
  <c r="N208" i="1" s="1"/>
  <c r="N209" i="1" a="1"/>
  <c r="N209" i="1" s="1"/>
  <c r="N210" i="1" a="1"/>
  <c r="N210" i="1" s="1"/>
  <c r="N211" i="1" a="1"/>
  <c r="N211" i="1" s="1"/>
  <c r="N212" i="1" a="1"/>
  <c r="N212" i="1" s="1"/>
  <c r="N213" i="1" a="1"/>
  <c r="N213" i="1" s="1"/>
  <c r="N214" i="1" a="1"/>
  <c r="N214" i="1" s="1"/>
  <c r="N215" i="1" a="1"/>
  <c r="N215" i="1" s="1"/>
  <c r="N216" i="1" a="1"/>
  <c r="N216" i="1" s="1"/>
  <c r="N217" i="1" a="1"/>
  <c r="N217" i="1" s="1"/>
  <c r="N218" i="1" a="1"/>
  <c r="N218" i="1" s="1"/>
  <c r="N219" i="1" a="1"/>
  <c r="N219" i="1" s="1"/>
  <c r="N220" i="1" a="1"/>
  <c r="N220" i="1" s="1"/>
  <c r="N221" i="1" a="1"/>
  <c r="N221" i="1" s="1"/>
  <c r="N222" i="1" a="1"/>
  <c r="N222" i="1" s="1"/>
  <c r="N223" i="1" a="1"/>
  <c r="N223" i="1" s="1"/>
  <c r="N224" i="1" a="1"/>
  <c r="N224" i="1" s="1"/>
  <c r="N225" i="1" a="1"/>
  <c r="N225" i="1" s="1"/>
  <c r="N226" i="1" a="1"/>
  <c r="N226" i="1" s="1"/>
  <c r="N227" i="1" a="1"/>
  <c r="N227" i="1" s="1"/>
  <c r="N228" i="1" a="1"/>
  <c r="N228" i="1" s="1"/>
  <c r="N229" i="1" a="1"/>
  <c r="N229" i="1" s="1"/>
  <c r="N230" i="1" a="1"/>
  <c r="N230" i="1" s="1"/>
  <c r="N231" i="1" a="1"/>
  <c r="N231" i="1" s="1"/>
  <c r="N232" i="1" a="1"/>
  <c r="N232" i="1" s="1"/>
  <c r="N233" i="1" a="1"/>
  <c r="N233" i="1" s="1"/>
  <c r="N234" i="1" a="1"/>
  <c r="N234" i="1" s="1"/>
  <c r="N235" i="1" a="1"/>
  <c r="N235" i="1" s="1"/>
  <c r="N236" i="1" a="1"/>
  <c r="N236" i="1" s="1"/>
  <c r="N237" i="1" a="1"/>
  <c r="N237" i="1" s="1"/>
  <c r="N238" i="1" a="1"/>
  <c r="N238" i="1" s="1"/>
  <c r="N239" i="1" a="1"/>
  <c r="N239" i="1" s="1"/>
  <c r="N240" i="1" a="1"/>
  <c r="N240" i="1" s="1"/>
  <c r="N241" i="1" a="1"/>
  <c r="N241" i="1" s="1"/>
  <c r="N242" i="1" a="1"/>
  <c r="N242" i="1" s="1"/>
  <c r="N243" i="1" a="1"/>
  <c r="N243" i="1" s="1"/>
  <c r="N244" i="1" a="1"/>
  <c r="N244" i="1" s="1"/>
  <c r="N245" i="1" a="1"/>
  <c r="N245" i="1" s="1"/>
  <c r="N246" i="1" a="1"/>
  <c r="N246" i="1" s="1"/>
  <c r="N247" i="1" a="1"/>
  <c r="N247" i="1" s="1"/>
  <c r="P3" i="1" a="1"/>
  <c r="P3" i="1" s="1"/>
  <c r="O3" i="1" s="1"/>
  <c r="P4" i="1" a="1"/>
  <c r="P4" i="1" s="1"/>
  <c r="O4" i="1" s="1"/>
  <c r="P5" i="1" a="1"/>
  <c r="P5" i="1" s="1"/>
  <c r="O5" i="1" s="1"/>
  <c r="P6" i="1" a="1"/>
  <c r="P6" i="1" s="1"/>
  <c r="O6" i="1" s="1"/>
  <c r="P7" i="1" a="1"/>
  <c r="P7" i="1" s="1"/>
  <c r="O7" i="1" s="1"/>
  <c r="P8" i="1" a="1"/>
  <c r="P8" i="1" s="1"/>
  <c r="O8" i="1" s="1"/>
  <c r="P9" i="1" a="1"/>
  <c r="P9" i="1" s="1"/>
  <c r="O9" i="1" s="1"/>
  <c r="P10" i="1" a="1"/>
  <c r="P10" i="1" s="1"/>
  <c r="O10" i="1" s="1"/>
  <c r="P11" i="1" a="1"/>
  <c r="P11" i="1" s="1"/>
  <c r="O11" i="1" s="1"/>
  <c r="P12" i="1" a="1"/>
  <c r="P12" i="1" s="1"/>
  <c r="O12" i="1" s="1"/>
  <c r="P13" i="1" a="1"/>
  <c r="P13" i="1" s="1"/>
  <c r="O13" i="1" s="1"/>
  <c r="P14" i="1" a="1"/>
  <c r="P14" i="1" s="1"/>
  <c r="O14" i="1" s="1"/>
  <c r="P15" i="1" a="1"/>
  <c r="P15" i="1" s="1"/>
  <c r="O15" i="1" s="1"/>
  <c r="P16" i="1" a="1"/>
  <c r="P16" i="1" s="1"/>
  <c r="O16" i="1" s="1"/>
  <c r="P17" i="1" a="1"/>
  <c r="P17" i="1" s="1"/>
  <c r="O17" i="1" s="1"/>
  <c r="P18" i="1" a="1"/>
  <c r="P18" i="1" s="1"/>
  <c r="O18" i="1" s="1"/>
  <c r="P19" i="1" a="1"/>
  <c r="P19" i="1" s="1"/>
  <c r="O19" i="1" s="1"/>
  <c r="P20" i="1" a="1"/>
  <c r="P20" i="1" s="1"/>
  <c r="O20" i="1" s="1"/>
  <c r="P21" i="1" a="1"/>
  <c r="P21" i="1" s="1"/>
  <c r="O21" i="1" s="1"/>
  <c r="P22" i="1" a="1"/>
  <c r="P22" i="1" s="1"/>
  <c r="O22" i="1" s="1"/>
  <c r="P23" i="1" a="1"/>
  <c r="P23" i="1" s="1"/>
  <c r="O23" i="1" s="1"/>
  <c r="P24" i="1" a="1"/>
  <c r="P24" i="1" s="1"/>
  <c r="O24" i="1" s="1"/>
  <c r="P25" i="1" a="1"/>
  <c r="P25" i="1" s="1"/>
  <c r="O25" i="1" s="1"/>
  <c r="P26" i="1" a="1"/>
  <c r="P26" i="1" s="1"/>
  <c r="O26" i="1" s="1"/>
  <c r="P27" i="1" a="1"/>
  <c r="P27" i="1" s="1"/>
  <c r="O27" i="1" s="1"/>
  <c r="P28" i="1" a="1"/>
  <c r="P28" i="1" s="1"/>
  <c r="O28" i="1" s="1"/>
  <c r="P29" i="1" a="1"/>
  <c r="P29" i="1" s="1"/>
  <c r="O29" i="1" s="1"/>
  <c r="P30" i="1" a="1"/>
  <c r="P30" i="1" s="1"/>
  <c r="O30" i="1" s="1"/>
  <c r="P31" i="1" a="1"/>
  <c r="P31" i="1" s="1"/>
  <c r="O31" i="1" s="1"/>
  <c r="P32" i="1" a="1"/>
  <c r="P32" i="1" s="1"/>
  <c r="O32" i="1" s="1"/>
  <c r="P33" i="1" a="1"/>
  <c r="P33" i="1" s="1"/>
  <c r="O33" i="1" s="1"/>
  <c r="P34" i="1" a="1"/>
  <c r="P34" i="1" s="1"/>
  <c r="O34" i="1" s="1"/>
  <c r="P35" i="1" a="1"/>
  <c r="P35" i="1" s="1"/>
  <c r="O35" i="1" s="1"/>
  <c r="P36" i="1" a="1"/>
  <c r="P36" i="1" s="1"/>
  <c r="O36" i="1" s="1"/>
  <c r="P37" i="1" a="1"/>
  <c r="P37" i="1" s="1"/>
  <c r="O37" i="1" s="1"/>
  <c r="P38" i="1" a="1"/>
  <c r="P38" i="1" s="1"/>
  <c r="O38" i="1" s="1"/>
  <c r="P39" i="1" a="1"/>
  <c r="P39" i="1" s="1"/>
  <c r="O39" i="1" s="1"/>
  <c r="P40" i="1" a="1"/>
  <c r="P40" i="1" s="1"/>
  <c r="O40" i="1" s="1"/>
  <c r="P41" i="1" a="1"/>
  <c r="P41" i="1" s="1"/>
  <c r="O41" i="1" s="1"/>
  <c r="P42" i="1" a="1"/>
  <c r="P42" i="1" s="1"/>
  <c r="O42" i="1" s="1"/>
  <c r="P43" i="1" a="1"/>
  <c r="P43" i="1" s="1"/>
  <c r="O43" i="1" s="1"/>
  <c r="P44" i="1" a="1"/>
  <c r="P44" i="1" s="1"/>
  <c r="O44" i="1" s="1"/>
  <c r="P45" i="1" a="1"/>
  <c r="P45" i="1" s="1"/>
  <c r="O45" i="1" s="1"/>
  <c r="P46" i="1" a="1"/>
  <c r="P46" i="1" s="1"/>
  <c r="O46" i="1" s="1"/>
  <c r="P47" i="1" a="1"/>
  <c r="P47" i="1" s="1"/>
  <c r="O47" i="1" s="1"/>
  <c r="P48" i="1" a="1"/>
  <c r="P48" i="1" s="1"/>
  <c r="O48" i="1" s="1"/>
  <c r="P49" i="1" a="1"/>
  <c r="P49" i="1" s="1"/>
  <c r="O49" i="1" s="1"/>
  <c r="P50" i="1" a="1"/>
  <c r="P50" i="1" s="1"/>
  <c r="O50" i="1" s="1"/>
  <c r="P51" i="1" a="1"/>
  <c r="P51" i="1" s="1"/>
  <c r="O51" i="1" s="1"/>
  <c r="P52" i="1" a="1"/>
  <c r="P52" i="1" s="1"/>
  <c r="O52" i="1" s="1"/>
  <c r="P53" i="1" a="1"/>
  <c r="P53" i="1" s="1"/>
  <c r="O53" i="1" s="1"/>
  <c r="P54" i="1" a="1"/>
  <c r="P54" i="1" s="1"/>
  <c r="O54" i="1" s="1"/>
  <c r="P55" i="1" a="1"/>
  <c r="P55" i="1" s="1"/>
  <c r="O55" i="1" s="1"/>
  <c r="P56" i="1" a="1"/>
  <c r="P56" i="1" s="1"/>
  <c r="O56" i="1" s="1"/>
  <c r="P57" i="1" a="1"/>
  <c r="P57" i="1" s="1"/>
  <c r="O57" i="1" s="1"/>
  <c r="P58" i="1" a="1"/>
  <c r="P58" i="1" s="1"/>
  <c r="O58" i="1" s="1"/>
  <c r="P59" i="1" a="1"/>
  <c r="P59" i="1" s="1"/>
  <c r="O59" i="1" s="1"/>
  <c r="P60" i="1" a="1"/>
  <c r="P60" i="1" s="1"/>
  <c r="O60" i="1" s="1"/>
  <c r="P61" i="1" a="1"/>
  <c r="P61" i="1" s="1"/>
  <c r="O61" i="1" s="1"/>
  <c r="P62" i="1" a="1"/>
  <c r="P62" i="1" s="1"/>
  <c r="O62" i="1" s="1"/>
  <c r="P63" i="1" a="1"/>
  <c r="P63" i="1" s="1"/>
  <c r="O63" i="1" s="1"/>
  <c r="P64" i="1" a="1"/>
  <c r="P64" i="1" s="1"/>
  <c r="O64" i="1" s="1"/>
  <c r="P65" i="1" a="1"/>
  <c r="P65" i="1" s="1"/>
  <c r="O65" i="1" s="1"/>
  <c r="P66" i="1" a="1"/>
  <c r="P66" i="1" s="1"/>
  <c r="O66" i="1" s="1"/>
  <c r="P67" i="1" a="1"/>
  <c r="P67" i="1" s="1"/>
  <c r="O67" i="1" s="1"/>
  <c r="P68" i="1" a="1"/>
  <c r="P68" i="1" s="1"/>
  <c r="O68" i="1" s="1"/>
  <c r="P69" i="1" a="1"/>
  <c r="P69" i="1" s="1"/>
  <c r="O69" i="1" s="1"/>
  <c r="P70" i="1" a="1"/>
  <c r="P70" i="1" s="1"/>
  <c r="O70" i="1" s="1"/>
  <c r="P71" i="1" a="1"/>
  <c r="P71" i="1" s="1"/>
  <c r="O71" i="1" s="1"/>
  <c r="P72" i="1" a="1"/>
  <c r="P72" i="1" s="1"/>
  <c r="O72" i="1" s="1"/>
  <c r="P73" i="1" a="1"/>
  <c r="P73" i="1" s="1"/>
  <c r="O73" i="1" s="1"/>
  <c r="P74" i="1" a="1"/>
  <c r="P74" i="1" s="1"/>
  <c r="O74" i="1" s="1"/>
  <c r="P75" i="1" a="1"/>
  <c r="P75" i="1" s="1"/>
  <c r="O75" i="1" s="1"/>
  <c r="P76" i="1" a="1"/>
  <c r="P76" i="1" s="1"/>
  <c r="O76" i="1" s="1"/>
  <c r="P77" i="1" a="1"/>
  <c r="P77" i="1" s="1"/>
  <c r="O77" i="1" s="1"/>
  <c r="P78" i="1" a="1"/>
  <c r="P78" i="1" s="1"/>
  <c r="O78" i="1" s="1"/>
  <c r="P79" i="1" a="1"/>
  <c r="P79" i="1" s="1"/>
  <c r="O79" i="1" s="1"/>
  <c r="P80" i="1" a="1"/>
  <c r="P80" i="1" s="1"/>
  <c r="O80" i="1" s="1"/>
  <c r="P81" i="1" a="1"/>
  <c r="P81" i="1" s="1"/>
  <c r="O81" i="1" s="1"/>
  <c r="P82" i="1" a="1"/>
  <c r="P82" i="1" s="1"/>
  <c r="O82" i="1" s="1"/>
  <c r="P83" i="1" a="1"/>
  <c r="P83" i="1" s="1"/>
  <c r="O83" i="1" s="1"/>
  <c r="P84" i="1" a="1"/>
  <c r="P84" i="1" s="1"/>
  <c r="O84" i="1" s="1"/>
  <c r="P85" i="1" a="1"/>
  <c r="P85" i="1" s="1"/>
  <c r="O85" i="1" s="1"/>
  <c r="P86" i="1" a="1"/>
  <c r="P86" i="1" s="1"/>
  <c r="O86" i="1" s="1"/>
  <c r="P87" i="1" a="1"/>
  <c r="P87" i="1" s="1"/>
  <c r="O87" i="1" s="1"/>
  <c r="P88" i="1" a="1"/>
  <c r="P88" i="1" s="1"/>
  <c r="O88" i="1" s="1"/>
  <c r="P89" i="1" a="1"/>
  <c r="P89" i="1" s="1"/>
  <c r="O89" i="1" s="1"/>
  <c r="P90" i="1" a="1"/>
  <c r="P90" i="1" s="1"/>
  <c r="O90" i="1" s="1"/>
  <c r="P91" i="1" a="1"/>
  <c r="P91" i="1" s="1"/>
  <c r="O91" i="1" s="1"/>
  <c r="P92" i="1" a="1"/>
  <c r="P92" i="1" s="1"/>
  <c r="O92" i="1" s="1"/>
  <c r="P93" i="1" a="1"/>
  <c r="P93" i="1" s="1"/>
  <c r="O93" i="1" s="1"/>
  <c r="P94" i="1" a="1"/>
  <c r="P94" i="1" s="1"/>
  <c r="O94" i="1" s="1"/>
  <c r="P95" i="1" a="1"/>
  <c r="P95" i="1" s="1"/>
  <c r="O95" i="1" s="1"/>
  <c r="P96" i="1" a="1"/>
  <c r="P96" i="1" s="1"/>
  <c r="O96" i="1" s="1"/>
  <c r="P97" i="1" a="1"/>
  <c r="P97" i="1" s="1"/>
  <c r="O97" i="1" s="1"/>
  <c r="P98" i="1" a="1"/>
  <c r="P98" i="1" s="1"/>
  <c r="O98" i="1" s="1"/>
  <c r="P99" i="1" a="1"/>
  <c r="P99" i="1" s="1"/>
  <c r="O99" i="1" s="1"/>
  <c r="P100" i="1" a="1"/>
  <c r="P100" i="1" s="1"/>
  <c r="O100" i="1" s="1"/>
  <c r="P101" i="1" a="1"/>
  <c r="P101" i="1" s="1"/>
  <c r="O101" i="1" s="1"/>
  <c r="P102" i="1" a="1"/>
  <c r="P102" i="1" s="1"/>
  <c r="O102" i="1" s="1"/>
  <c r="P103" i="1" a="1"/>
  <c r="P103" i="1" s="1"/>
  <c r="O103" i="1" s="1"/>
  <c r="P104" i="1" a="1"/>
  <c r="P104" i="1" s="1"/>
  <c r="O104" i="1" s="1"/>
  <c r="P105" i="1" a="1"/>
  <c r="P105" i="1" s="1"/>
  <c r="O105" i="1" s="1"/>
  <c r="P106" i="1" a="1"/>
  <c r="P106" i="1" s="1"/>
  <c r="O106" i="1" s="1"/>
  <c r="P107" i="1" a="1"/>
  <c r="P107" i="1" s="1"/>
  <c r="O107" i="1" s="1"/>
  <c r="P108" i="1" a="1"/>
  <c r="P108" i="1" s="1"/>
  <c r="O108" i="1" s="1"/>
  <c r="P109" i="1" a="1"/>
  <c r="P109" i="1" s="1"/>
  <c r="O109" i="1" s="1"/>
  <c r="P110" i="1" a="1"/>
  <c r="P110" i="1" s="1"/>
  <c r="O110" i="1" s="1"/>
  <c r="P111" i="1" a="1"/>
  <c r="P111" i="1" s="1"/>
  <c r="O111" i="1" s="1"/>
  <c r="P112" i="1" a="1"/>
  <c r="P112" i="1" s="1"/>
  <c r="O112" i="1" s="1"/>
  <c r="P113" i="1" a="1"/>
  <c r="P113" i="1" s="1"/>
  <c r="O113" i="1" s="1"/>
  <c r="P114" i="1" a="1"/>
  <c r="P114" i="1" s="1"/>
  <c r="O114" i="1" s="1"/>
  <c r="P115" i="1" a="1"/>
  <c r="P115" i="1" s="1"/>
  <c r="O115" i="1" s="1"/>
  <c r="P116" i="1" a="1"/>
  <c r="P116" i="1" s="1"/>
  <c r="O116" i="1" s="1"/>
  <c r="P117" i="1" a="1"/>
  <c r="P117" i="1" s="1"/>
  <c r="O117" i="1" s="1"/>
  <c r="P118" i="1" a="1"/>
  <c r="P118" i="1" s="1"/>
  <c r="O118" i="1" s="1"/>
  <c r="P119" i="1" a="1"/>
  <c r="P119" i="1" s="1"/>
  <c r="O119" i="1" s="1"/>
  <c r="P120" i="1" a="1"/>
  <c r="P120" i="1" s="1"/>
  <c r="O120" i="1" s="1"/>
  <c r="P121" i="1" a="1"/>
  <c r="P121" i="1" s="1"/>
  <c r="O121" i="1" s="1"/>
  <c r="P122" i="1" a="1"/>
  <c r="P122" i="1" s="1"/>
  <c r="O122" i="1" s="1"/>
  <c r="P123" i="1" a="1"/>
  <c r="P123" i="1" s="1"/>
  <c r="O123" i="1" s="1"/>
  <c r="P124" i="1" a="1"/>
  <c r="P124" i="1" s="1"/>
  <c r="O124" i="1" s="1"/>
  <c r="P125" i="1" a="1"/>
  <c r="P125" i="1" s="1"/>
  <c r="O125" i="1" s="1"/>
  <c r="P126" i="1" a="1"/>
  <c r="P126" i="1" s="1"/>
  <c r="O126" i="1" s="1"/>
  <c r="P127" i="1" a="1"/>
  <c r="P127" i="1" s="1"/>
  <c r="O127" i="1" s="1"/>
  <c r="P128" i="1" a="1"/>
  <c r="P128" i="1" s="1"/>
  <c r="O128" i="1" s="1"/>
  <c r="P129" i="1" a="1"/>
  <c r="P129" i="1" s="1"/>
  <c r="O129" i="1" s="1"/>
  <c r="P130" i="1" a="1"/>
  <c r="P130" i="1" s="1"/>
  <c r="O130" i="1" s="1"/>
  <c r="P131" i="1" a="1"/>
  <c r="P131" i="1" s="1"/>
  <c r="O131" i="1" s="1"/>
  <c r="P132" i="1" a="1"/>
  <c r="P132" i="1" s="1"/>
  <c r="O132" i="1" s="1"/>
  <c r="P133" i="1" a="1"/>
  <c r="P133" i="1" s="1"/>
  <c r="O133" i="1" s="1"/>
  <c r="P134" i="1" a="1"/>
  <c r="P134" i="1" s="1"/>
  <c r="O134" i="1" s="1"/>
  <c r="P135" i="1" a="1"/>
  <c r="P135" i="1" s="1"/>
  <c r="O135" i="1" s="1"/>
  <c r="P136" i="1" a="1"/>
  <c r="P136" i="1" s="1"/>
  <c r="O136" i="1" s="1"/>
  <c r="P137" i="1" a="1"/>
  <c r="P137" i="1" s="1"/>
  <c r="O137" i="1" s="1"/>
  <c r="P138" i="1" a="1"/>
  <c r="P138" i="1" s="1"/>
  <c r="O138" i="1" s="1"/>
  <c r="P139" i="1" a="1"/>
  <c r="P139" i="1" s="1"/>
  <c r="O139" i="1" s="1"/>
  <c r="P140" i="1" a="1"/>
  <c r="P140" i="1" s="1"/>
  <c r="O140" i="1" s="1"/>
  <c r="P141" i="1" a="1"/>
  <c r="P141" i="1" s="1"/>
  <c r="O141" i="1" s="1"/>
  <c r="P142" i="1" a="1"/>
  <c r="P142" i="1" s="1"/>
  <c r="O142" i="1" s="1"/>
  <c r="P143" i="1" a="1"/>
  <c r="P143" i="1" s="1"/>
  <c r="O143" i="1" s="1"/>
  <c r="P144" i="1" a="1"/>
  <c r="P144" i="1" s="1"/>
  <c r="O144" i="1" s="1"/>
  <c r="P145" i="1" a="1"/>
  <c r="P145" i="1" s="1"/>
  <c r="O145" i="1" s="1"/>
  <c r="P146" i="1" a="1"/>
  <c r="P146" i="1" s="1"/>
  <c r="O146" i="1" s="1"/>
  <c r="P147" i="1" a="1"/>
  <c r="P147" i="1" s="1"/>
  <c r="O147" i="1" s="1"/>
  <c r="P148" i="1" a="1"/>
  <c r="P148" i="1" s="1"/>
  <c r="O148" i="1" s="1"/>
  <c r="P149" i="1" a="1"/>
  <c r="P149" i="1" s="1"/>
  <c r="O149" i="1" s="1"/>
  <c r="P150" i="1" a="1"/>
  <c r="P150" i="1" s="1"/>
  <c r="O150" i="1" s="1"/>
  <c r="P151" i="1" a="1"/>
  <c r="P151" i="1" s="1"/>
  <c r="O151" i="1" s="1"/>
  <c r="P152" i="1" a="1"/>
  <c r="P152" i="1" s="1"/>
  <c r="O152" i="1" s="1"/>
  <c r="P153" i="1" a="1"/>
  <c r="P153" i="1" s="1"/>
  <c r="O153" i="1" s="1"/>
  <c r="P154" i="1" a="1"/>
  <c r="P154" i="1" s="1"/>
  <c r="O154" i="1" s="1"/>
  <c r="P155" i="1" a="1"/>
  <c r="P155" i="1" s="1"/>
  <c r="O155" i="1" s="1"/>
  <c r="P156" i="1" a="1"/>
  <c r="P156" i="1" s="1"/>
  <c r="O156" i="1" s="1"/>
  <c r="P157" i="1" a="1"/>
  <c r="P157" i="1" s="1"/>
  <c r="O157" i="1" s="1"/>
  <c r="P158" i="1" a="1"/>
  <c r="P158" i="1" s="1"/>
  <c r="O158" i="1" s="1"/>
  <c r="P159" i="1" a="1"/>
  <c r="P159" i="1" s="1"/>
  <c r="O159" i="1" s="1"/>
  <c r="P160" i="1" a="1"/>
  <c r="P160" i="1" s="1"/>
  <c r="O160" i="1" s="1"/>
  <c r="P161" i="1" a="1"/>
  <c r="P161" i="1" s="1"/>
  <c r="O161" i="1" s="1"/>
  <c r="P162" i="1" a="1"/>
  <c r="P162" i="1" s="1"/>
  <c r="O162" i="1" s="1"/>
  <c r="P163" i="1" a="1"/>
  <c r="P163" i="1" s="1"/>
  <c r="O163" i="1" s="1"/>
  <c r="P164" i="1" a="1"/>
  <c r="P164" i="1" s="1"/>
  <c r="O164" i="1" s="1"/>
  <c r="P165" i="1" a="1"/>
  <c r="P165" i="1" s="1"/>
  <c r="O165" i="1" s="1"/>
  <c r="P166" i="1" a="1"/>
  <c r="P166" i="1" s="1"/>
  <c r="O166" i="1" s="1"/>
  <c r="P167" i="1" a="1"/>
  <c r="P167" i="1" s="1"/>
  <c r="O167" i="1" s="1"/>
  <c r="P168" i="1" a="1"/>
  <c r="P168" i="1" s="1"/>
  <c r="O168" i="1" s="1"/>
  <c r="P169" i="1" a="1"/>
  <c r="P169" i="1" s="1"/>
  <c r="O169" i="1" s="1"/>
  <c r="P170" i="1" a="1"/>
  <c r="P170" i="1" s="1"/>
  <c r="O170" i="1" s="1"/>
  <c r="P171" i="1" a="1"/>
  <c r="P171" i="1" s="1"/>
  <c r="O171" i="1" s="1"/>
  <c r="P172" i="1" a="1"/>
  <c r="P172" i="1" s="1"/>
  <c r="O172" i="1" s="1"/>
  <c r="P173" i="1" a="1"/>
  <c r="P173" i="1" s="1"/>
  <c r="O173" i="1" s="1"/>
  <c r="P174" i="1" a="1"/>
  <c r="P174" i="1" s="1"/>
  <c r="O174" i="1" s="1"/>
  <c r="P175" i="1" a="1"/>
  <c r="P175" i="1" s="1"/>
  <c r="O175" i="1" s="1"/>
  <c r="P176" i="1" a="1"/>
  <c r="P176" i="1" s="1"/>
  <c r="O176" i="1" s="1"/>
  <c r="P177" i="1" a="1"/>
  <c r="P177" i="1" s="1"/>
  <c r="O177" i="1" s="1"/>
  <c r="P178" i="1" a="1"/>
  <c r="P178" i="1" s="1"/>
  <c r="O178" i="1" s="1"/>
  <c r="P179" i="1" a="1"/>
  <c r="P179" i="1" s="1"/>
  <c r="O179" i="1" s="1"/>
  <c r="P180" i="1" a="1"/>
  <c r="P180" i="1" s="1"/>
  <c r="O180" i="1" s="1"/>
  <c r="P181" i="1" a="1"/>
  <c r="P181" i="1" s="1"/>
  <c r="O181" i="1" s="1"/>
  <c r="P182" i="1" a="1"/>
  <c r="P182" i="1" s="1"/>
  <c r="O182" i="1" s="1"/>
  <c r="P183" i="1" a="1"/>
  <c r="P183" i="1" s="1"/>
  <c r="O183" i="1" s="1"/>
  <c r="P184" i="1" a="1"/>
  <c r="P184" i="1" s="1"/>
  <c r="O184" i="1" s="1"/>
  <c r="P185" i="1" a="1"/>
  <c r="P185" i="1" s="1"/>
  <c r="O185" i="1" s="1"/>
  <c r="P186" i="1" a="1"/>
  <c r="P186" i="1" s="1"/>
  <c r="O186" i="1" s="1"/>
  <c r="P187" i="1" a="1"/>
  <c r="P187" i="1" s="1"/>
  <c r="O187" i="1" s="1"/>
  <c r="P188" i="1" a="1"/>
  <c r="P188" i="1" s="1"/>
  <c r="O188" i="1" s="1"/>
  <c r="P189" i="1" a="1"/>
  <c r="P189" i="1" s="1"/>
  <c r="O189" i="1" s="1"/>
  <c r="P190" i="1" a="1"/>
  <c r="P190" i="1" s="1"/>
  <c r="O190" i="1" s="1"/>
  <c r="P191" i="1" a="1"/>
  <c r="P191" i="1" s="1"/>
  <c r="O191" i="1" s="1"/>
  <c r="P192" i="1" a="1"/>
  <c r="P192" i="1" s="1"/>
  <c r="O192" i="1" s="1"/>
  <c r="P193" i="1" a="1"/>
  <c r="P193" i="1" s="1"/>
  <c r="O193" i="1" s="1"/>
  <c r="P194" i="1" a="1"/>
  <c r="P194" i="1" s="1"/>
  <c r="O194" i="1" s="1"/>
  <c r="P195" i="1" a="1"/>
  <c r="P195" i="1" s="1"/>
  <c r="O195" i="1" s="1"/>
  <c r="P196" i="1" a="1"/>
  <c r="P196" i="1" s="1"/>
  <c r="O196" i="1" s="1"/>
  <c r="P197" i="1" a="1"/>
  <c r="P197" i="1" s="1"/>
  <c r="O197" i="1" s="1"/>
  <c r="P198" i="1" a="1"/>
  <c r="P198" i="1" s="1"/>
  <c r="O198" i="1" s="1"/>
  <c r="P199" i="1" a="1"/>
  <c r="P199" i="1" s="1"/>
  <c r="O199" i="1" s="1"/>
  <c r="P200" i="1" a="1"/>
  <c r="P200" i="1" s="1"/>
  <c r="O200" i="1" s="1"/>
  <c r="P201" i="1" a="1"/>
  <c r="P201" i="1" s="1"/>
  <c r="O201" i="1" s="1"/>
  <c r="P202" i="1" a="1"/>
  <c r="P202" i="1" s="1"/>
  <c r="O202" i="1" s="1"/>
  <c r="P203" i="1" a="1"/>
  <c r="P203" i="1" s="1"/>
  <c r="O203" i="1" s="1"/>
  <c r="P204" i="1" a="1"/>
  <c r="P204" i="1" s="1"/>
  <c r="O204" i="1" s="1"/>
  <c r="P205" i="1" a="1"/>
  <c r="P205" i="1" s="1"/>
  <c r="O205" i="1" s="1"/>
  <c r="P206" i="1" a="1"/>
  <c r="P206" i="1" s="1"/>
  <c r="O206" i="1" s="1"/>
  <c r="P207" i="1" a="1"/>
  <c r="P207" i="1" s="1"/>
  <c r="O207" i="1" s="1"/>
  <c r="P208" i="1" a="1"/>
  <c r="P208" i="1" s="1"/>
  <c r="O208" i="1" s="1"/>
  <c r="P209" i="1" a="1"/>
  <c r="P209" i="1" s="1"/>
  <c r="O209" i="1" s="1"/>
  <c r="P210" i="1" a="1"/>
  <c r="P210" i="1" s="1"/>
  <c r="O210" i="1" s="1"/>
  <c r="P211" i="1" a="1"/>
  <c r="P211" i="1" s="1"/>
  <c r="O211" i="1" s="1"/>
  <c r="P212" i="1" a="1"/>
  <c r="P212" i="1" s="1"/>
  <c r="O212" i="1" s="1"/>
  <c r="P213" i="1" a="1"/>
  <c r="P213" i="1" s="1"/>
  <c r="O213" i="1" s="1"/>
  <c r="P214" i="1" a="1"/>
  <c r="P214" i="1" s="1"/>
  <c r="O214" i="1" s="1"/>
  <c r="P215" i="1" a="1"/>
  <c r="P215" i="1" s="1"/>
  <c r="O215" i="1" s="1"/>
  <c r="P216" i="1" a="1"/>
  <c r="P216" i="1" s="1"/>
  <c r="O216" i="1" s="1"/>
  <c r="P217" i="1" a="1"/>
  <c r="P217" i="1" s="1"/>
  <c r="O217" i="1" s="1"/>
  <c r="P218" i="1" a="1"/>
  <c r="P218" i="1" s="1"/>
  <c r="O218" i="1" s="1"/>
  <c r="P219" i="1" a="1"/>
  <c r="P219" i="1" s="1"/>
  <c r="O219" i="1" s="1"/>
  <c r="P220" i="1" a="1"/>
  <c r="P220" i="1" s="1"/>
  <c r="O220" i="1" s="1"/>
  <c r="P221" i="1" a="1"/>
  <c r="P221" i="1" s="1"/>
  <c r="O221" i="1" s="1"/>
  <c r="P222" i="1" a="1"/>
  <c r="P222" i="1" s="1"/>
  <c r="O222" i="1" s="1"/>
  <c r="P223" i="1" a="1"/>
  <c r="P223" i="1" s="1"/>
  <c r="O223" i="1" s="1"/>
  <c r="P224" i="1" a="1"/>
  <c r="P224" i="1" s="1"/>
  <c r="O224" i="1" s="1"/>
  <c r="P225" i="1" a="1"/>
  <c r="P225" i="1" s="1"/>
  <c r="O225" i="1" s="1"/>
  <c r="P226" i="1" a="1"/>
  <c r="P226" i="1" s="1"/>
  <c r="O226" i="1" s="1"/>
  <c r="P227" i="1" a="1"/>
  <c r="P227" i="1" s="1"/>
  <c r="O227" i="1" s="1"/>
  <c r="P228" i="1" a="1"/>
  <c r="P228" i="1" s="1"/>
  <c r="O228" i="1" s="1"/>
  <c r="P229" i="1" a="1"/>
  <c r="P229" i="1" s="1"/>
  <c r="O229" i="1" s="1"/>
  <c r="P230" i="1" a="1"/>
  <c r="P230" i="1" s="1"/>
  <c r="O230" i="1" s="1"/>
  <c r="P231" i="1" a="1"/>
  <c r="P231" i="1" s="1"/>
  <c r="O231" i="1" s="1"/>
  <c r="P232" i="1" a="1"/>
  <c r="P232" i="1" s="1"/>
  <c r="O232" i="1" s="1"/>
  <c r="P233" i="1" a="1"/>
  <c r="P233" i="1" s="1"/>
  <c r="O233" i="1" s="1"/>
  <c r="P234" i="1" a="1"/>
  <c r="P234" i="1" s="1"/>
  <c r="O234" i="1" s="1"/>
  <c r="P235" i="1" a="1"/>
  <c r="P235" i="1" s="1"/>
  <c r="O235" i="1" s="1"/>
  <c r="P236" i="1" a="1"/>
  <c r="P236" i="1" s="1"/>
  <c r="O236" i="1" s="1"/>
  <c r="P237" i="1" a="1"/>
  <c r="P237" i="1" s="1"/>
  <c r="O237" i="1" s="1"/>
  <c r="P238" i="1" a="1"/>
  <c r="P238" i="1" s="1"/>
  <c r="O238" i="1" s="1"/>
  <c r="P239" i="1" a="1"/>
  <c r="P239" i="1" s="1"/>
  <c r="O239" i="1" s="1"/>
  <c r="P240" i="1" a="1"/>
  <c r="P240" i="1" s="1"/>
  <c r="O240" i="1" s="1"/>
  <c r="P241" i="1" a="1"/>
  <c r="P241" i="1" s="1"/>
  <c r="O241" i="1" s="1"/>
  <c r="P242" i="1" a="1"/>
  <c r="P242" i="1" s="1"/>
  <c r="O242" i="1" s="1"/>
  <c r="P243" i="1" a="1"/>
  <c r="P243" i="1" s="1"/>
  <c r="O243" i="1" s="1"/>
  <c r="P244" i="1" a="1"/>
  <c r="P244" i="1" s="1"/>
  <c r="O244" i="1" s="1"/>
  <c r="P245" i="1" a="1"/>
  <c r="P245" i="1" s="1"/>
  <c r="O245" i="1" s="1"/>
  <c r="P246" i="1" a="1"/>
  <c r="P246" i="1" s="1"/>
  <c r="O246" i="1" s="1"/>
  <c r="P247" i="1" a="1"/>
  <c r="P247" i="1" s="1"/>
  <c r="O247" i="1" s="1"/>
  <c r="Q11" i="1"/>
  <c r="Q12" i="1"/>
  <c r="Q13" i="1"/>
  <c r="Q17" i="1"/>
  <c r="Q20" i="1"/>
  <c r="Q21" i="1"/>
  <c r="Q22" i="1"/>
  <c r="Q32" i="1"/>
  <c r="Q34" i="1"/>
  <c r="Q36" i="1"/>
  <c r="Q37" i="1"/>
  <c r="Q45" i="1"/>
  <c r="Q46" i="1"/>
  <c r="Q48" i="1"/>
  <c r="Q53" i="1"/>
  <c r="Q68" i="1"/>
  <c r="Q71" i="1"/>
  <c r="Q76" i="1"/>
  <c r="Q80" i="1"/>
  <c r="Q85" i="1"/>
  <c r="Q94" i="1"/>
  <c r="Q108" i="1"/>
  <c r="Q109" i="1"/>
  <c r="Q123" i="1"/>
  <c r="Q127" i="1"/>
  <c r="Q128" i="1"/>
  <c r="Q129" i="1"/>
  <c r="Q140" i="1"/>
  <c r="Q141" i="1"/>
  <c r="Q146" i="1"/>
  <c r="Q147" i="1"/>
  <c r="Q169" i="1"/>
  <c r="Q170" i="1"/>
  <c r="Q172" i="1"/>
  <c r="Q184" i="1"/>
  <c r="Q185" i="1"/>
  <c r="Q187" i="1"/>
  <c r="E2" i="1"/>
  <c r="A4" i="2" l="1"/>
  <c r="A3" i="2"/>
  <c r="G8" i="16"/>
  <c r="P2" i="1" l="1" a="1"/>
  <c r="P2" i="1" s="1"/>
  <c r="O2" i="1" l="1"/>
  <c r="A2" i="1"/>
  <c r="I2" i="11" l="1"/>
  <c r="M2" i="1" l="1" a="1"/>
  <c r="M2" i="1" s="1"/>
  <c r="N2" i="1" a="1"/>
  <c r="N2" i="1" s="1"/>
  <c r="I7" i="16" l="1" a="1"/>
  <c r="I7" i="16" s="1"/>
  <c r="D6" i="16" a="1"/>
  <c r="D6" i="16" s="1"/>
  <c r="D13" i="16" a="1"/>
  <c r="D13" i="16" s="1"/>
  <c r="D12" i="16" a="1"/>
  <c r="D12" i="16" s="1"/>
  <c r="D11" i="16" a="1"/>
  <c r="D11" i="16" s="1"/>
  <c r="D10" i="16" a="1"/>
  <c r="D10" i="16" s="1"/>
  <c r="D9" i="16" a="1"/>
  <c r="D9" i="16" s="1"/>
  <c r="Q2" i="1"/>
  <c r="H8" i="16"/>
  <c r="I1" i="13" a="1"/>
  <c r="I1" i="13" s="1"/>
  <c r="A1" i="16"/>
  <c r="E1" i="13" a="1"/>
  <c r="E1" i="13" s="1"/>
  <c r="J7" i="16" l="1" a="1"/>
  <c r="J7" i="16" s="1"/>
  <c r="K7" i="16" s="1"/>
  <c r="L7" i="16" a="1"/>
  <c r="L7" i="16" s="1"/>
  <c r="F16" i="16" a="1"/>
  <c r="F16" i="16" s="1"/>
  <c r="F12" i="16" a="1"/>
  <c r="F12" i="16" s="1"/>
  <c r="F7" i="16" a="1"/>
  <c r="F7" i="16" s="1"/>
  <c r="F15" i="16" a="1"/>
  <c r="F15" i="16" s="1"/>
  <c r="F9" i="16" a="1"/>
  <c r="F9" i="16" s="1"/>
  <c r="F6" i="16" a="1"/>
  <c r="F6" i="16" s="1"/>
  <c r="F8" i="16" a="1"/>
  <c r="F8" i="16" s="1"/>
  <c r="F14" i="16" a="1"/>
  <c r="F14" i="16" s="1"/>
  <c r="F10" i="16" a="1"/>
  <c r="F10" i="16" s="1"/>
  <c r="F5" i="16" a="1"/>
  <c r="F5" i="16" s="1"/>
  <c r="F11" i="16" a="1"/>
  <c r="F11" i="16" s="1"/>
  <c r="F13" i="16" a="1"/>
  <c r="F13" i="16" s="1"/>
  <c r="D15" i="16" a="1"/>
  <c r="D15" i="16" s="1"/>
  <c r="B39" i="16" a="1"/>
  <c r="B39" i="16" s="1"/>
  <c r="B21" i="16" a="1"/>
  <c r="B21" i="16" s="1"/>
  <c r="B22" i="16" a="1"/>
  <c r="B22" i="16" s="1"/>
  <c r="B27" i="16" a="1"/>
  <c r="B27" i="16" s="1"/>
  <c r="K5" i="16"/>
  <c r="D8" i="16" a="1"/>
  <c r="D8" i="16" s="1"/>
  <c r="D14" i="16" a="1"/>
  <c r="D14" i="16" s="1"/>
  <c r="D7" i="16" a="1"/>
  <c r="D7" i="16" s="1"/>
  <c r="J11" i="16" a="1"/>
  <c r="J11" i="16" s="1"/>
  <c r="C14" i="16" a="1"/>
  <c r="C14" i="16" s="1"/>
  <c r="C6" i="16" a="1"/>
  <c r="C6" i="16" s="1"/>
  <c r="E6" i="16" s="1"/>
  <c r="C13" i="16" a="1"/>
  <c r="C13" i="16" s="1"/>
  <c r="E13" i="16" s="1"/>
  <c r="B75" i="16" a="1"/>
  <c r="B75" i="16" s="1"/>
  <c r="C12" i="16" a="1"/>
  <c r="C12" i="16" s="1"/>
  <c r="E12" i="16" s="1"/>
  <c r="B16" i="16" a="1"/>
  <c r="B16" i="16" s="1"/>
  <c r="B8" i="16" a="1"/>
  <c r="B8" i="16" s="1"/>
  <c r="C72" i="16" a="1"/>
  <c r="C72" i="16" s="1"/>
  <c r="C11" i="16" a="1"/>
  <c r="C11" i="16" s="1"/>
  <c r="E11" i="16" s="1"/>
  <c r="B15" i="16" a="1"/>
  <c r="B15" i="16" s="1"/>
  <c r="B7" i="16" a="1"/>
  <c r="B7" i="16" s="1"/>
  <c r="B11" i="16" a="1"/>
  <c r="B11" i="16" s="1"/>
  <c r="C5" i="16" a="1"/>
  <c r="C5" i="16" s="1"/>
  <c r="C10" i="16" a="1"/>
  <c r="C10" i="16" s="1"/>
  <c r="E10" i="16" s="1"/>
  <c r="B14" i="16" a="1"/>
  <c r="B14" i="16" s="1"/>
  <c r="B6" i="16" a="1"/>
  <c r="B6" i="16" s="1"/>
  <c r="B9" i="16" a="1"/>
  <c r="B9" i="16" s="1"/>
  <c r="B5" i="16" a="1"/>
  <c r="B5" i="16" s="1"/>
  <c r="C9" i="16" a="1"/>
  <c r="C9" i="16" s="1"/>
  <c r="E9" i="16" s="1"/>
  <c r="B13" i="16" a="1"/>
  <c r="B13" i="16" s="1"/>
  <c r="C16" i="16" a="1"/>
  <c r="C16" i="16" s="1"/>
  <c r="C17" i="16" s="1"/>
  <c r="C8" i="16" a="1"/>
  <c r="C8" i="16" s="1"/>
  <c r="B12" i="16" a="1"/>
  <c r="B12" i="16" s="1"/>
  <c r="C15" i="16" a="1"/>
  <c r="C15" i="16" s="1"/>
  <c r="C7" i="16" a="1"/>
  <c r="C7" i="16" s="1"/>
  <c r="B10" i="16" a="1"/>
  <c r="B10" i="16" s="1"/>
  <c r="D5" i="16" a="1"/>
  <c r="D5" i="16" s="1"/>
  <c r="D16" i="16" a="1"/>
  <c r="D16" i="16" s="1"/>
  <c r="C48" i="16" a="1"/>
  <c r="C48" i="16" s="1"/>
  <c r="G7" i="16" a="1"/>
  <c r="G7" i="16" s="1"/>
  <c r="B48" i="16" a="1"/>
  <c r="B48" i="16" s="1"/>
  <c r="I9" i="16" a="1"/>
  <c r="I9" i="16" s="1"/>
  <c r="C49" i="16" a="1"/>
  <c r="C49" i="16" s="1"/>
  <c r="H7" i="16" a="1"/>
  <c r="H7" i="16" s="1"/>
  <c r="B49" i="16" a="1"/>
  <c r="B49" i="16" s="1"/>
  <c r="K14" i="16" a="1"/>
  <c r="K14" i="16" s="1"/>
  <c r="B32" i="16" a="1"/>
  <c r="B32" i="16" s="1"/>
  <c r="C32" i="16" a="1"/>
  <c r="C32" i="16" s="1"/>
  <c r="B31" i="16" a="1"/>
  <c r="B31" i="16" s="1"/>
  <c r="C31" i="16" a="1"/>
  <c r="C31" i="16" s="1"/>
  <c r="B30" i="16" a="1"/>
  <c r="B30" i="16" s="1"/>
  <c r="C30" i="16" a="1"/>
  <c r="C30" i="16" s="1"/>
  <c r="B29" i="16" a="1"/>
  <c r="B29" i="16" s="1"/>
  <c r="C29" i="16" a="1"/>
  <c r="C29" i="16" s="1"/>
  <c r="B28" i="16" a="1"/>
  <c r="B28" i="16" s="1"/>
  <c r="C28" i="16" a="1"/>
  <c r="C28" i="16" s="1"/>
  <c r="C27" i="16" a="1"/>
  <c r="C27" i="16" s="1"/>
  <c r="D21" i="16" a="1"/>
  <c r="D21" i="16" s="1"/>
  <c r="D22" i="16" a="1"/>
  <c r="D22" i="16" s="1"/>
  <c r="L11" i="16" a="1"/>
  <c r="L11" i="16" s="1"/>
  <c r="K11" i="16" a="1"/>
  <c r="K11" i="16" s="1"/>
  <c r="J39" i="16" a="1"/>
  <c r="J39" i="16" s="1"/>
  <c r="I39" i="16" a="1"/>
  <c r="I39" i="16" s="1"/>
  <c r="C39" i="16" a="1"/>
  <c r="C39" i="16" s="1"/>
  <c r="H39" i="16" a="1"/>
  <c r="H39" i="16" s="1"/>
  <c r="G39" i="16" a="1"/>
  <c r="G39" i="16" s="1"/>
  <c r="E39" i="16" a="1"/>
  <c r="E39" i="16" s="1"/>
  <c r="D39" i="16" a="1"/>
  <c r="D39" i="16" s="1"/>
  <c r="K17" i="16" a="1"/>
  <c r="K17" i="16" s="1"/>
  <c r="M11" i="16" a="1"/>
  <c r="M11" i="16" s="1"/>
  <c r="I11" i="16" a="1"/>
  <c r="I11" i="16" s="1"/>
  <c r="M9" i="16" a="1"/>
  <c r="M9" i="16" s="1"/>
  <c r="O9" i="16" a="1"/>
  <c r="O9" i="16" s="1"/>
  <c r="T6" i="16" a="1"/>
  <c r="T6" i="16" s="1"/>
  <c r="J9" i="16" a="1"/>
  <c r="J9" i="16" s="1"/>
  <c r="Q9" i="16" a="1"/>
  <c r="Q9" i="16" s="1"/>
  <c r="E8" i="16" l="1"/>
  <c r="E15" i="16"/>
  <c r="E7" i="16"/>
  <c r="E14" i="16"/>
  <c r="D17" i="16"/>
  <c r="E16" i="16"/>
  <c r="E5" i="16"/>
  <c r="D23" i="16"/>
  <c r="X7" i="16"/>
  <c r="X15" i="16"/>
  <c r="X12" i="16"/>
  <c r="X13" i="16"/>
  <c r="X14" i="16"/>
  <c r="X8" i="16"/>
  <c r="X9" i="16"/>
  <c r="X10" i="16"/>
  <c r="X11" i="16"/>
  <c r="N9" i="16"/>
  <c r="B17" i="16"/>
  <c r="A2" i="8"/>
  <c r="A2" i="12"/>
  <c r="A2" i="3"/>
  <c r="B1" i="13" a="1"/>
  <c r="B1" i="13" s="1"/>
  <c r="K39" i="16" l="1"/>
  <c r="F39" i="16"/>
  <c r="F21" i="16" a="1"/>
  <c r="F21" i="16" s="1"/>
  <c r="A2" i="17"/>
  <c r="G8" i="9"/>
  <c r="F63" i="16" l="1" a="1"/>
  <c r="F63" i="16" s="1"/>
  <c r="E66" i="16" a="1"/>
  <c r="E66" i="16" s="1"/>
  <c r="E58" i="16" a="1"/>
  <c r="E58" i="16" s="1"/>
  <c r="D61" i="16" a="1"/>
  <c r="D61" i="16" s="1"/>
  <c r="C64" i="16" a="1"/>
  <c r="C64" i="16" s="1"/>
  <c r="B61" i="16" a="1"/>
  <c r="B61" i="16" s="1"/>
  <c r="B65" i="16" a="1"/>
  <c r="B65" i="16" s="1"/>
  <c r="B80" i="16" a="1"/>
  <c r="B80" i="16" s="1"/>
  <c r="F62" i="16" a="1"/>
  <c r="F62" i="16" s="1"/>
  <c r="E65" i="16" a="1"/>
  <c r="E65" i="16" s="1"/>
  <c r="D68" i="16" a="1"/>
  <c r="D68" i="16" s="1"/>
  <c r="D60" i="16" a="1"/>
  <c r="D60" i="16" s="1"/>
  <c r="C63" i="16" a="1"/>
  <c r="C63" i="16" s="1"/>
  <c r="E57" i="16" a="1"/>
  <c r="E57" i="16" s="1"/>
  <c r="B64" i="16" a="1"/>
  <c r="B64" i="16" s="1"/>
  <c r="B79" i="16" a="1"/>
  <c r="B79" i="16" s="1"/>
  <c r="F61" i="16" a="1"/>
  <c r="F61" i="16" s="1"/>
  <c r="E64" i="16" a="1"/>
  <c r="E64" i="16" s="1"/>
  <c r="D67" i="16" a="1"/>
  <c r="D67" i="16" s="1"/>
  <c r="D59" i="16" a="1"/>
  <c r="D59" i="16" s="1"/>
  <c r="C62" i="16" a="1"/>
  <c r="C62" i="16" s="1"/>
  <c r="F57" i="16" a="1"/>
  <c r="F57" i="16" s="1"/>
  <c r="B63" i="16" a="1"/>
  <c r="B63" i="16" s="1"/>
  <c r="B78" i="16" a="1"/>
  <c r="B78" i="16" s="1"/>
  <c r="F68" i="16" a="1"/>
  <c r="F68" i="16" s="1"/>
  <c r="F60" i="16" a="1"/>
  <c r="F60" i="16" s="1"/>
  <c r="E63" i="16" a="1"/>
  <c r="E63" i="16" s="1"/>
  <c r="D66" i="16" a="1"/>
  <c r="D66" i="16" s="1"/>
  <c r="D58" i="16" a="1"/>
  <c r="D58" i="16" s="1"/>
  <c r="C61" i="16" a="1"/>
  <c r="C61" i="16" s="1"/>
  <c r="D57" i="16" a="1"/>
  <c r="D57" i="16" s="1"/>
  <c r="B62" i="16" a="1"/>
  <c r="B62" i="16" s="1"/>
  <c r="B77" i="16" a="1"/>
  <c r="B77" i="16" s="1"/>
  <c r="F67" i="16" a="1"/>
  <c r="F67" i="16" s="1"/>
  <c r="F59" i="16" a="1"/>
  <c r="F59" i="16" s="1"/>
  <c r="E62" i="16" a="1"/>
  <c r="E62" i="16" s="1"/>
  <c r="D65" i="16" a="1"/>
  <c r="D65" i="16" s="1"/>
  <c r="C68" i="16" a="1"/>
  <c r="C68" i="16" s="1"/>
  <c r="C60" i="16" a="1"/>
  <c r="C60" i="16" s="1"/>
  <c r="C57" i="16" a="1"/>
  <c r="C57" i="16" s="1"/>
  <c r="B60" i="16" a="1"/>
  <c r="B60" i="16" s="1"/>
  <c r="B76" i="16" a="1"/>
  <c r="B76" i="16" s="1"/>
  <c r="F66" i="16" a="1"/>
  <c r="F66" i="16" s="1"/>
  <c r="F58" i="16" a="1"/>
  <c r="F58" i="16" s="1"/>
  <c r="E61" i="16" a="1"/>
  <c r="E61" i="16" s="1"/>
  <c r="D64" i="16" a="1"/>
  <c r="D64" i="16" s="1"/>
  <c r="C67" i="16" a="1"/>
  <c r="C67" i="16" s="1"/>
  <c r="C59" i="16" a="1"/>
  <c r="C59" i="16" s="1"/>
  <c r="B68" i="16" a="1"/>
  <c r="B68" i="16" s="1"/>
  <c r="B59" i="16" a="1"/>
  <c r="B59" i="16" s="1"/>
  <c r="F65" i="16" a="1"/>
  <c r="F65" i="16" s="1"/>
  <c r="E68" i="16" a="1"/>
  <c r="E68" i="16" s="1"/>
  <c r="E60" i="16" a="1"/>
  <c r="E60" i="16" s="1"/>
  <c r="D63" i="16" a="1"/>
  <c r="D63" i="16" s="1"/>
  <c r="C66" i="16" a="1"/>
  <c r="C66" i="16" s="1"/>
  <c r="C58" i="16" a="1"/>
  <c r="C58" i="16" s="1"/>
  <c r="B67" i="16" a="1"/>
  <c r="B67" i="16" s="1"/>
  <c r="B58" i="16" a="1"/>
  <c r="B58" i="16" s="1"/>
  <c r="F64" i="16" a="1"/>
  <c r="F64" i="16" s="1"/>
  <c r="E67" i="16" a="1"/>
  <c r="E67" i="16" s="1"/>
  <c r="E59" i="16" a="1"/>
  <c r="E59" i="16" s="1"/>
  <c r="D62" i="16" a="1"/>
  <c r="D62" i="16" s="1"/>
  <c r="C65" i="16" a="1"/>
  <c r="C65" i="16" s="1"/>
  <c r="C71" i="16"/>
  <c r="B66" i="16" a="1"/>
  <c r="B66" i="16" s="1"/>
  <c r="B57" i="16" a="1"/>
  <c r="B57" i="16" s="1"/>
  <c r="D49" i="16"/>
  <c r="B50" i="16"/>
  <c r="D48" i="16"/>
  <c r="C50" i="16"/>
  <c r="B23" i="16"/>
  <c r="C21" i="16" l="1"/>
  <c r="C22" i="16"/>
  <c r="B69" i="16"/>
  <c r="C69" i="16"/>
  <c r="D69" i="16"/>
  <c r="F69" i="16"/>
  <c r="E69" i="16"/>
  <c r="B81" i="16"/>
  <c r="D50" i="16"/>
  <c r="C23" i="16" l="1"/>
  <c r="C73" i="16"/>
  <c r="C2" i="14"/>
  <c r="A2" i="14"/>
  <c r="D86" i="16" l="1"/>
  <c r="E86" i="16"/>
  <c r="B86" i="16"/>
  <c r="C86" i="16"/>
  <c r="A2" i="11"/>
  <c r="C2" i="6"/>
  <c r="A2" i="6"/>
  <c r="A2" i="4"/>
  <c r="A2" i="2"/>
  <c r="L9" i="16" l="1" a="1"/>
  <c r="L9" i="16" s="1"/>
  <c r="K9" i="16" a="1"/>
  <c r="K9" i="16" s="1"/>
  <c r="A1" i="13" a="1"/>
  <c r="A1" i="13" s="1"/>
  <c r="I18" i="16" a="1"/>
  <c r="I18" i="16" s="1"/>
  <c r="I14" i="16" a="1"/>
  <c r="I14" i="16" s="1"/>
  <c r="I25" i="16" a="1"/>
  <c r="I25" i="16" s="1"/>
  <c r="I17" i="16" a="1"/>
  <c r="I17" i="16" s="1"/>
  <c r="I24" i="16" a="1"/>
  <c r="I24" i="16" s="1"/>
  <c r="I16" i="16" a="1"/>
  <c r="I16" i="16" s="1"/>
  <c r="I23" i="16" a="1"/>
  <c r="I23" i="16" s="1"/>
  <c r="I22" i="16" a="1"/>
  <c r="I22" i="16" s="1"/>
  <c r="I21" i="16" a="1"/>
  <c r="I21" i="16" s="1"/>
  <c r="I20" i="16" a="1"/>
  <c r="I20" i="16" s="1"/>
  <c r="I15" i="16" a="1"/>
  <c r="I15" i="16" s="1"/>
  <c r="I19" i="16" a="1"/>
  <c r="I19" i="16" s="1"/>
  <c r="H5" i="16"/>
  <c r="F86" i="16"/>
  <c r="C33" i="16"/>
  <c r="B33" i="16"/>
  <c r="D31" i="16" l="1"/>
  <c r="D32" i="16"/>
  <c r="D30" i="16"/>
  <c r="D29" i="16"/>
  <c r="D28" i="16"/>
  <c r="D27" i="16"/>
  <c r="G5" i="16" a="1"/>
  <c r="G5" i="16" s="1"/>
  <c r="D33" i="16" l="1"/>
  <c r="E17" i="16"/>
  <c r="J5" i="16"/>
  <c r="I5" i="16"/>
  <c r="X6" i="16"/>
  <c r="H1" i="13" a="1"/>
  <c r="H1" i="1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<sst xmlns="http://schemas.openxmlformats.org/spreadsheetml/2006/main" count="6619" uniqueCount="1353">
  <si>
    <t>WorkerID</t>
  </si>
  <si>
    <t>DNI</t>
  </si>
  <si>
    <t>Nombre</t>
  </si>
  <si>
    <t>FechaNacimiento</t>
  </si>
  <si>
    <t>Edad</t>
  </si>
  <si>
    <t>Sexo</t>
  </si>
  <si>
    <t>Obra</t>
  </si>
  <si>
    <t>Área</t>
  </si>
  <si>
    <t>Cargo</t>
  </si>
  <si>
    <t>LugarProyecto</t>
  </si>
  <si>
    <t>Perfil</t>
  </si>
  <si>
    <t>FechaIngreso</t>
  </si>
  <si>
    <t>Ultimo EMO</t>
  </si>
  <si>
    <t>Tipo de EMO</t>
  </si>
  <si>
    <t>EMO Entregado</t>
  </si>
  <si>
    <t>Fecha de EMO Entregado</t>
  </si>
  <si>
    <t>Vigencia</t>
  </si>
  <si>
    <t>Fecha_EMO</t>
  </si>
  <si>
    <t>Tipo_EMO</t>
  </si>
  <si>
    <t>Entregado</t>
  </si>
  <si>
    <t>Fecha de Entrega</t>
  </si>
  <si>
    <t>APTITUD</t>
  </si>
  <si>
    <t>Observaciones</t>
  </si>
  <si>
    <t>Restricciones Generales</t>
  </si>
  <si>
    <t>Programa</t>
  </si>
  <si>
    <t>Advertencia</t>
  </si>
  <si>
    <t>Diagnostico</t>
  </si>
  <si>
    <t>Recomendaciones adicionales</t>
  </si>
  <si>
    <t>Conclusiones M.O</t>
  </si>
  <si>
    <t>Tipo Capacitación</t>
  </si>
  <si>
    <t>Fecha Capacitación</t>
  </si>
  <si>
    <t>Validación</t>
  </si>
  <si>
    <t>NO</t>
  </si>
  <si>
    <t>AccidenteID</t>
  </si>
  <si>
    <t>Fecha</t>
  </si>
  <si>
    <t>ParteCuerpo</t>
  </si>
  <si>
    <t>Agente</t>
  </si>
  <si>
    <t>Diagnóstico</t>
  </si>
  <si>
    <t>Médico Tratante</t>
  </si>
  <si>
    <t>Requiere Cirugía</t>
  </si>
  <si>
    <t>Clínica</t>
  </si>
  <si>
    <t>Declaración_Accidentado</t>
  </si>
  <si>
    <t>Tipo Ausencia</t>
  </si>
  <si>
    <t>Fecha_Inicio</t>
  </si>
  <si>
    <t>Días perdidos</t>
  </si>
  <si>
    <t>Aptitud de Reincorporación</t>
  </si>
  <si>
    <t>AtencionID</t>
  </si>
  <si>
    <t>Motivo de Atención</t>
  </si>
  <si>
    <t>Tratamiento</t>
  </si>
  <si>
    <t>Cirugía</t>
  </si>
  <si>
    <t>Diagnóstico Accidente</t>
  </si>
  <si>
    <t>Clinica</t>
  </si>
  <si>
    <t>Fecha Inicio</t>
  </si>
  <si>
    <t>VacunacionID</t>
  </si>
  <si>
    <t>Vacuna</t>
  </si>
  <si>
    <t>MES</t>
  </si>
  <si>
    <t>TRABAJADORES INGRESADOS</t>
  </si>
  <si>
    <t>TRABAJADORES ACTIVOS</t>
  </si>
  <si>
    <t>EMOS
REALIZADOS</t>
  </si>
  <si>
    <t>% EMO</t>
  </si>
  <si>
    <t>EMOS
ENTREGADOS</t>
  </si>
  <si>
    <t>EMOS PENDIENTE REALIZACIÓN</t>
  </si>
  <si>
    <t>EMOS ENTREGA PENDIENTE</t>
  </si>
  <si>
    <t>EMOS VIGENTES</t>
  </si>
  <si>
    <t>EMOS VENCIDOS</t>
  </si>
  <si>
    <t>SIN EMO</t>
  </si>
  <si>
    <t>ENERO</t>
  </si>
  <si>
    <t>FEBRERO</t>
  </si>
  <si>
    <t>TOTAL TRABAJADORES INGRESADOS</t>
  </si>
  <si>
    <t>TOTAL TRABAJADORES ACTIVOS</t>
  </si>
  <si>
    <t>TOTAL EMOS REALIZADOS</t>
  </si>
  <si>
    <t>TOTAL EMOS ENTREGADOS</t>
  </si>
  <si>
    <t>% ENTREGAS EMOS</t>
  </si>
  <si>
    <t>Cabeza</t>
  </si>
  <si>
    <t>MARZO</t>
  </si>
  <si>
    <t>Torso Alto</t>
  </si>
  <si>
    <t>ABRIL</t>
  </si>
  <si>
    <t>TOTAL ACCIDENTES</t>
  </si>
  <si>
    <t>TOTAL ACCIDENTADOS</t>
  </si>
  <si>
    <t>ACCIDENTES LEVES</t>
  </si>
  <si>
    <t>ACCIDENTES GRAVES</t>
  </si>
  <si>
    <t>PORCENTAJE DE ACCIDENTADOS X MES</t>
  </si>
  <si>
    <t>PARTE DEL CUERPO LASTIMADA</t>
  </si>
  <si>
    <t>OBJETO QUE PROVOCÓ EL ACCIDENTE</t>
  </si>
  <si>
    <t>Torso Bajo</t>
  </si>
  <si>
    <t>MAYO</t>
  </si>
  <si>
    <t>CANTIDAD</t>
  </si>
  <si>
    <t>Brazos</t>
  </si>
  <si>
    <t>JUNIO</t>
  </si>
  <si>
    <t>ACCIDENTES CIRUGIA</t>
  </si>
  <si>
    <t>DIAS SIN ACCIDENTES</t>
  </si>
  <si>
    <t>ACCIDENTES HOMBRES</t>
  </si>
  <si>
    <t>ACCIDENTES MUJERES</t>
  </si>
  <si>
    <t>AREA DE TRABAJAO QUE SUFRIÓ DE MÁS DAÑO</t>
  </si>
  <si>
    <t>Codos</t>
  </si>
  <si>
    <t>JULIO</t>
  </si>
  <si>
    <t>Manos</t>
  </si>
  <si>
    <t>AGOSTO</t>
  </si>
  <si>
    <t>Muslos</t>
  </si>
  <si>
    <t>SEPTIEMBRE</t>
  </si>
  <si>
    <t>PERFIL DE TRABAJADOR QUE MÁS SUFRIÓ ACCIDENTES</t>
  </si>
  <si>
    <t>Rodillas</t>
  </si>
  <si>
    <t>OCTUBRE</t>
  </si>
  <si>
    <t>Pantorrilla</t>
  </si>
  <si>
    <t>NOVIEMBRE</t>
  </si>
  <si>
    <t>Pies</t>
  </si>
  <si>
    <t>DICIEMBRE</t>
  </si>
  <si>
    <t>AREAS DE TRABAJADORES INGRESADOS AL MES</t>
  </si>
  <si>
    <t>TOTAL</t>
  </si>
  <si>
    <t>SEXO</t>
  </si>
  <si>
    <t>%</t>
  </si>
  <si>
    <t>EDAD PROM</t>
  </si>
  <si>
    <t>CANTIDAD DE CAPACITADOS X CAPACITACIÓN HECHA</t>
  </si>
  <si>
    <t>HOMBRES</t>
  </si>
  <si>
    <t>MUJERES</t>
  </si>
  <si>
    <t>GRUPO ETARIO</t>
  </si>
  <si>
    <t>HOMBRE</t>
  </si>
  <si>
    <t>MUJER</t>
  </si>
  <si>
    <t>&lt;20</t>
  </si>
  <si>
    <t>20-29</t>
  </si>
  <si>
    <t>30-39</t>
  </si>
  <si>
    <t>40-49</t>
  </si>
  <si>
    <t>50-59</t>
  </si>
  <si>
    <r>
      <rPr>
        <b/>
        <sz val="11"/>
        <color theme="1"/>
        <rFont val="Calibri"/>
        <family val="2"/>
      </rPr>
      <t>≥</t>
    </r>
    <r>
      <rPr>
        <b/>
        <sz val="9"/>
        <color theme="1"/>
        <rFont val="Calibri"/>
        <family val="2"/>
      </rPr>
      <t>60</t>
    </r>
  </si>
  <si>
    <t>TOTAL HOMBRES</t>
  </si>
  <si>
    <t>TOTAL MUJERES</t>
  </si>
  <si>
    <t>APTO</t>
  </si>
  <si>
    <t>APTO CON RESTRICCIONES</t>
  </si>
  <si>
    <t>OBSERVADO</t>
  </si>
  <si>
    <t>NO APTO</t>
  </si>
  <si>
    <t>Hombres</t>
  </si>
  <si>
    <t>Mujeres</t>
  </si>
  <si>
    <t>Administrativo</t>
  </si>
  <si>
    <t>Operativo</t>
  </si>
  <si>
    <t>CAPACITACIONES</t>
  </si>
  <si>
    <t>GOLPE DE CALOR</t>
  </si>
  <si>
    <t>VIGILANCIA</t>
  </si>
  <si>
    <t>ERGONOMIA</t>
  </si>
  <si>
    <t>TME</t>
  </si>
  <si>
    <t>PSICOSOCIAL</t>
  </si>
  <si>
    <t>Total horas capacitacion</t>
  </si>
  <si>
    <t>Cantidad personas capacitadas</t>
  </si>
  <si>
    <t>Horas Promedio por Trabajador</t>
  </si>
  <si>
    <t>0 Capacitaciones</t>
  </si>
  <si>
    <t>1 Capacitacion</t>
  </si>
  <si>
    <t>2 Capacitaciones</t>
  </si>
  <si>
    <t>3 Capacitaciones</t>
  </si>
  <si>
    <t>4 Capacitaciones</t>
  </si>
  <si>
    <t>5 Capacitaciones</t>
  </si>
  <si>
    <t>Total</t>
  </si>
  <si>
    <t>INDICADOR</t>
  </si>
  <si>
    <t>No están en Programa Gestante</t>
  </si>
  <si>
    <t>Están en Programa Gestante</t>
  </si>
  <si>
    <t>Perfil Técnico</t>
  </si>
  <si>
    <t>Perfil Oficina</t>
  </si>
  <si>
    <t>Etiquetas de fila</t>
  </si>
  <si>
    <t>Total general</t>
  </si>
  <si>
    <t>SeguimientoID</t>
  </si>
  <si>
    <t>Parte_Cuerpo</t>
  </si>
  <si>
    <t>Medico Tratante</t>
  </si>
  <si>
    <t>DM</t>
  </si>
  <si>
    <t>Evidencia</t>
  </si>
  <si>
    <t>ProgramacionID</t>
  </si>
  <si>
    <t>Tipo_Programación</t>
  </si>
  <si>
    <t>Tipo_Examen</t>
  </si>
  <si>
    <t>ID_Referencia</t>
  </si>
  <si>
    <t>Estado</t>
  </si>
  <si>
    <t>Motivo Cancelación</t>
  </si>
  <si>
    <t>Enviado</t>
  </si>
  <si>
    <t>FechaSalida</t>
  </si>
  <si>
    <t>CapacitacionID</t>
  </si>
  <si>
    <t>Tipo de Capacitación</t>
  </si>
  <si>
    <t>VMO_ID</t>
  </si>
  <si>
    <t>DATOS DEL EMPLEADOR:</t>
  </si>
  <si>
    <t xml:space="preserve">1. RAZÓN SOCIAL O DENOMINACIÓN SOCIAL </t>
  </si>
  <si>
    <t>3. DOMICILIO 
(Dirección, distrito, departamento, provincia)</t>
  </si>
  <si>
    <t>4. TIPO DE ACTIVIDAD ECONÓMICA</t>
  </si>
  <si>
    <t>5. N° TRABAJADORES EN OBRA</t>
  </si>
  <si>
    <t>LA VENTUROSA S.A</t>
  </si>
  <si>
    <t>Jr. el Polo Nro. 401 Dpto. 201 (Centro Empresarial el Polo 401)</t>
  </si>
  <si>
    <t>Actividades Inmobiliarias
Construccion Edificios Completos.</t>
  </si>
  <si>
    <t>DATOS DE LOS TRABAJADORES:</t>
  </si>
  <si>
    <t>N</t>
  </si>
  <si>
    <t>NOMBRE</t>
  </si>
  <si>
    <t>OCUPACION ACTUAL</t>
  </si>
  <si>
    <t>TIPO DE EMO</t>
  </si>
  <si>
    <t>FECHA</t>
  </si>
  <si>
    <t>ENTREGADO</t>
  </si>
  <si>
    <t>FECHA ENTREGA</t>
  </si>
  <si>
    <t>DescansoID</t>
  </si>
  <si>
    <t>Tipo de Descanso</t>
  </si>
  <si>
    <t>Duracion_Dias</t>
  </si>
  <si>
    <t>FechaInicio</t>
  </si>
  <si>
    <t>FechaFin</t>
  </si>
  <si>
    <t>Aptitud_Reincorporación</t>
  </si>
  <si>
    <t>Anunciado</t>
  </si>
  <si>
    <t>AnuncioID</t>
  </si>
  <si>
    <t>TipoAlerta</t>
  </si>
  <si>
    <t>FechaObjetivo</t>
  </si>
  <si>
    <t>Mensaje</t>
  </si>
  <si>
    <t>OBRA</t>
  </si>
  <si>
    <t>cráneo</t>
  </si>
  <si>
    <t>cara</t>
  </si>
  <si>
    <t>ojos</t>
  </si>
  <si>
    <t>nariz</t>
  </si>
  <si>
    <t>mandíbula</t>
  </si>
  <si>
    <t>cabeza</t>
  </si>
  <si>
    <t>oreja</t>
  </si>
  <si>
    <t>pectoral</t>
  </si>
  <si>
    <t>clavícula</t>
  </si>
  <si>
    <t>hombro</t>
  </si>
  <si>
    <t>esternón</t>
  </si>
  <si>
    <t>omóplato</t>
  </si>
  <si>
    <t>abdominales</t>
  </si>
  <si>
    <t>lumbares</t>
  </si>
  <si>
    <t>pelvis</t>
  </si>
  <si>
    <t>ombligo</t>
  </si>
  <si>
    <t>cintura</t>
  </si>
  <si>
    <t>bíceps</t>
  </si>
  <si>
    <t>tríceps</t>
  </si>
  <si>
    <t>antebrazo</t>
  </si>
  <si>
    <t>húmero</t>
  </si>
  <si>
    <t>codo</t>
  </si>
  <si>
    <t>olécranon</t>
  </si>
  <si>
    <t>muñeca</t>
  </si>
  <si>
    <t>palma</t>
  </si>
  <si>
    <t>dedos de la mano</t>
  </si>
  <si>
    <t>mano</t>
  </si>
  <si>
    <t>metacarpo</t>
  </si>
  <si>
    <t>isquiotibiales</t>
  </si>
  <si>
    <t>cuádriceps</t>
  </si>
  <si>
    <t>fémur</t>
  </si>
  <si>
    <t>ingle</t>
  </si>
  <si>
    <t>glúteo</t>
  </si>
  <si>
    <t>rótula</t>
  </si>
  <si>
    <t>meniscos</t>
  </si>
  <si>
    <t>rodilla</t>
  </si>
  <si>
    <t>ligamentos cruzados</t>
  </si>
  <si>
    <t>Tibia</t>
  </si>
  <si>
    <t>peroné</t>
  </si>
  <si>
    <t>gemelos</t>
  </si>
  <si>
    <t>pantorrilla</t>
  </si>
  <si>
    <t>tobillo</t>
  </si>
  <si>
    <t>talón</t>
  </si>
  <si>
    <t>planta</t>
  </si>
  <si>
    <t>dedos del pie</t>
  </si>
  <si>
    <t>empeine</t>
  </si>
  <si>
    <t>Planta</t>
  </si>
  <si>
    <t>Diagnostico / INTERCONSULTA</t>
  </si>
  <si>
    <t>ACCIDENTES EN EL MES</t>
  </si>
  <si>
    <t>Diagnostico / INTERCONSULTA 2</t>
  </si>
  <si>
    <t>Diagnostico / INTERCONSULTA 3</t>
  </si>
  <si>
    <t>AÑO</t>
  </si>
  <si>
    <t xml:space="preserve">A y C  Asesoria </t>
  </si>
  <si>
    <t>A y C Operador Logistico S.A.C</t>
  </si>
  <si>
    <t>41842252</t>
  </si>
  <si>
    <t>ACUÑA EGOAVIL ROBERTO CARLOS</t>
  </si>
  <si>
    <t>71427244</t>
  </si>
  <si>
    <t>AGUILAR HURTADO RONALD ALONSO</t>
  </si>
  <si>
    <t>71356690</t>
  </si>
  <si>
    <t>ALARCON PEREZ TONNY</t>
  </si>
  <si>
    <t>72391311</t>
  </si>
  <si>
    <t>ALBERCA CERDAN JESUS ROSALINO</t>
  </si>
  <si>
    <t>70358542</t>
  </si>
  <si>
    <t>ALCALDE OBREGON DIEGO ARMANDO</t>
  </si>
  <si>
    <t>ALZAMORA AGUILAR ALVARO JESUS</t>
  </si>
  <si>
    <t>77361813</t>
  </si>
  <si>
    <t>AMAYA VASQUEZ ANGEL GABRIEL</t>
  </si>
  <si>
    <t>73937194</t>
  </si>
  <si>
    <t>ANCO ROSALES CIHAN ROLY</t>
  </si>
  <si>
    <t>APONTE CASTAÑEDA DAVIS ELVIS</t>
  </si>
  <si>
    <t>74597901</t>
  </si>
  <si>
    <t>AQUINO FABIAN JEFERSON</t>
  </si>
  <si>
    <t>63265579</t>
  </si>
  <si>
    <t>ARANDA GAVIDIA JHON CALEB</t>
  </si>
  <si>
    <t>46812319</t>
  </si>
  <si>
    <t>ARCE ROMAN PATRICIO ERNESTO</t>
  </si>
  <si>
    <t>48107495</t>
  </si>
  <si>
    <t>ARCHI DE LA CRUZ MICHELL MAXIMO</t>
  </si>
  <si>
    <t>74454520</t>
  </si>
  <si>
    <t>AREVALO CONTRERAS MIGUEL DOUGLAS SMITH</t>
  </si>
  <si>
    <t>46576771</t>
  </si>
  <si>
    <t>ARIZAPANA ORELLANA DIEGO ALONSO</t>
  </si>
  <si>
    <t>62333339</t>
  </si>
  <si>
    <t>AROQUIPA SULCA JHOSET JESUS</t>
  </si>
  <si>
    <t>60344962</t>
  </si>
  <si>
    <t>ASENCIO VEGA JUNIOR JEANJAYRO</t>
  </si>
  <si>
    <t>44990247</t>
  </si>
  <si>
    <t>ATAUCUSI ZUÑIGA LUIS ALBERTO</t>
  </si>
  <si>
    <t>62851990</t>
  </si>
  <si>
    <t>ATAVILLOS RAMIREZ DAVID CLISMAN</t>
  </si>
  <si>
    <t>77081893</t>
  </si>
  <si>
    <t>ATAVILLOS RAMIREZ LUIS MARIO</t>
  </si>
  <si>
    <t>73572450</t>
  </si>
  <si>
    <t>AYQUIPA CURIÑAUPA LEONARDO</t>
  </si>
  <si>
    <t>80510176</t>
  </si>
  <si>
    <t>AYQUIPA RAMOS JESUS ROBERTO</t>
  </si>
  <si>
    <t>60332454</t>
  </si>
  <si>
    <t>BALCAZAR SANCHEZ CARLOS DANIEL</t>
  </si>
  <si>
    <t>45659266</t>
  </si>
  <si>
    <t>BARRIENTOS MARCA CELSO</t>
  </si>
  <si>
    <t>77296249</t>
  </si>
  <si>
    <t>BARRIOS GASPAR SAUL FELIX</t>
  </si>
  <si>
    <t>48092001</t>
  </si>
  <si>
    <t>BAUTISTA BARRIENTOS MIGUEL ANGEL</t>
  </si>
  <si>
    <t>BENITO ACEVEDO BRUSH WILLIAM</t>
  </si>
  <si>
    <t>73625524</t>
  </si>
  <si>
    <t>BENITO QUISPE JORDAN JIMMY</t>
  </si>
  <si>
    <t>70576697</t>
  </si>
  <si>
    <t>BOJORQUEZ RODRIGUEZ WILLIAMS RONALDO</t>
  </si>
  <si>
    <t>70462340</t>
  </si>
  <si>
    <t>BONIFACIO PEREZ KENYI</t>
  </si>
  <si>
    <t>44307949</t>
  </si>
  <si>
    <t>BUGARIN MOSQUERA WILMER PAULINO</t>
  </si>
  <si>
    <t>77078244</t>
  </si>
  <si>
    <t>CAHUANA VALENTIN JOSE JUNIOR</t>
  </si>
  <si>
    <t>60981159</t>
  </si>
  <si>
    <t>CALDERON BUSTAMANTE ALEXIS HIYAN</t>
  </si>
  <si>
    <t>74645467</t>
  </si>
  <si>
    <t>CAMARENA HIDALGO MARCO ANTONIO</t>
  </si>
  <si>
    <t>72957593</t>
  </si>
  <si>
    <t>CAMAVILCA ATAHUAMAN JULINHO MAGNO</t>
  </si>
  <si>
    <t>70119177</t>
  </si>
  <si>
    <t>CAMPOS ARZAPALO JORGE LUIS MAYCO</t>
  </si>
  <si>
    <t>76542134</t>
  </si>
  <si>
    <t>CAÑARI PEREZ JHOJAN BERNARDO</t>
  </si>
  <si>
    <t>73967602</t>
  </si>
  <si>
    <t>CAÑARI PEREZ JHON JAIRO</t>
  </si>
  <si>
    <t>73967603</t>
  </si>
  <si>
    <t>CAPCHA PRUDENCIO VLADIMIR EDER</t>
  </si>
  <si>
    <t>43027751</t>
  </si>
  <si>
    <t>CARHUAMACA DIAZ BREITHSLANDER ERICK JAMES</t>
  </si>
  <si>
    <t>77644241</t>
  </si>
  <si>
    <t>CASIMIRO ROJAS SOCIMO MARCELO</t>
  </si>
  <si>
    <t>43226268</t>
  </si>
  <si>
    <t>CASTAÑEDA COZ ANDRES</t>
  </si>
  <si>
    <t>76951650</t>
  </si>
  <si>
    <t>CASTILLO RODRIGUEZ JOSUE JUAN PABLO</t>
  </si>
  <si>
    <t>80517769</t>
  </si>
  <si>
    <t>CASTRO CABRERA JOHAN LEEBNITS</t>
  </si>
  <si>
    <t>71545675</t>
  </si>
  <si>
    <t>CELESTINO PARIONA JULIO CESAR</t>
  </si>
  <si>
    <t>70612179</t>
  </si>
  <si>
    <t>CELIS NATIVIDAD JOSE FERNANDO</t>
  </si>
  <si>
    <t>76616031</t>
  </si>
  <si>
    <t>CEOPA SABOYA LUIS FELIPE</t>
  </si>
  <si>
    <t>79135985</t>
  </si>
  <si>
    <t>CESPEDES QUISPE EDWIN</t>
  </si>
  <si>
    <t>42912499</t>
  </si>
  <si>
    <t>CHANCASANAMPA BARRETO DIEGO ARMANDO</t>
  </si>
  <si>
    <t>46103057</t>
  </si>
  <si>
    <t>CHAMORRO YAÑAC DANIEL HECTOR</t>
  </si>
  <si>
    <t>71195376</t>
  </si>
  <si>
    <t>CHAVEZ CASTILLO MANUEL MARCELO</t>
  </si>
  <si>
    <t>73203529</t>
  </si>
  <si>
    <t>CHAVEZ PELAEZ ALEXANDER</t>
  </si>
  <si>
    <t>71476920</t>
  </si>
  <si>
    <t>CHAVEZ SILVA JHOSTIN STEFANO</t>
  </si>
  <si>
    <t>46303392</t>
  </si>
  <si>
    <t>CHUCHON CHANCO ANTHONY PIERRE</t>
  </si>
  <si>
    <t>48293208</t>
  </si>
  <si>
    <t>CIPRIANO JANAMPA KEVIN RONALDO</t>
  </si>
  <si>
    <t>72529947</t>
  </si>
  <si>
    <t>CISNEROS QUISPE JORGE ESTEFFANO</t>
  </si>
  <si>
    <t>71747176</t>
  </si>
  <si>
    <t>COLLAHUASI MENESES CARLOS ALBERTO</t>
  </si>
  <si>
    <t>76438207</t>
  </si>
  <si>
    <t>CONDOR GOMERO MAURICIO MANUEL</t>
  </si>
  <si>
    <t>70884402</t>
  </si>
  <si>
    <t>CONTRERAS SIMON JHOJAN POOL</t>
  </si>
  <si>
    <t>60073147</t>
  </si>
  <si>
    <t>CORDOVA TARDILLO JEFFERSON AUGUSTO</t>
  </si>
  <si>
    <t>47624520</t>
  </si>
  <si>
    <t>CORONEL MUÑOZ JORGE ALESSANDRO</t>
  </si>
  <si>
    <t>72811014</t>
  </si>
  <si>
    <t>CORTEZ CHUCHON CRISTHIAN ISAIAS</t>
  </si>
  <si>
    <t>75597646</t>
  </si>
  <si>
    <t>CORTEZ CHUCHON LUIS ENRIQUE</t>
  </si>
  <si>
    <t>74167636</t>
  </si>
  <si>
    <t>CRIOLLO ROJAS ALEXIS IMANOL</t>
  </si>
  <si>
    <t>70645721</t>
  </si>
  <si>
    <t>CUSTODIO RAMIREZ ANDRES MANUEL</t>
  </si>
  <si>
    <t>81011489</t>
  </si>
  <si>
    <t>DAMIANO GUTIERREZ DIEGO ARMANDO</t>
  </si>
  <si>
    <t>77500014</t>
  </si>
  <si>
    <t>DE LA CRUZ GABRIEL MARCO ANTONIO</t>
  </si>
  <si>
    <t>77323411</t>
  </si>
  <si>
    <t>DIANDERAS ARI LUIS PABLO</t>
  </si>
  <si>
    <t>60183358</t>
  </si>
  <si>
    <t>DIANDERAS CHIPANA FREDY</t>
  </si>
  <si>
    <t>46934476</t>
  </si>
  <si>
    <t>DIAZ FLORES RONALDO DEMETRIO</t>
  </si>
  <si>
    <t>75025925</t>
  </si>
  <si>
    <t>DIAZ RODRIGUEZ RUBEN HECTOR</t>
  </si>
  <si>
    <t>74496648</t>
  </si>
  <si>
    <t>DURAN TARRAGA CRISTHIAN</t>
  </si>
  <si>
    <t>78377668</t>
  </si>
  <si>
    <t>ESPINOZA AGUILAR DAVID JOEL</t>
  </si>
  <si>
    <t>74908661</t>
  </si>
  <si>
    <t>ESPINOZA GUERRERO YOSBEL KEVIN</t>
  </si>
  <si>
    <t>77153896</t>
  </si>
  <si>
    <t>ESTEBAN VELA ROBINSON OSCAR</t>
  </si>
  <si>
    <t>70854054</t>
  </si>
  <si>
    <t>FELIX CHAVEZ FABIAN JESUS</t>
  </si>
  <si>
    <t>75516129</t>
  </si>
  <si>
    <t>FELIX PACHAS JUAN JOSE</t>
  </si>
  <si>
    <t>10601507</t>
  </si>
  <si>
    <t>FERNANDEZ BENITO MAX JHERSON</t>
  </si>
  <si>
    <t>73325604</t>
  </si>
  <si>
    <t>FERNANDEZ VASQUEZ JUAN DAVID</t>
  </si>
  <si>
    <t>72421776</t>
  </si>
  <si>
    <t>FERREL ROJAS PERCY</t>
  </si>
  <si>
    <t>76548331</t>
  </si>
  <si>
    <t>FLORES CARRION RUSSBEL ANTONIO</t>
  </si>
  <si>
    <t>73515447</t>
  </si>
  <si>
    <t>FUNES NUNURA ANGEL OMAR</t>
  </si>
  <si>
    <t>46485164</t>
  </si>
  <si>
    <t>GALVEZ CCELLCCASCCA ABNER</t>
  </si>
  <si>
    <t>74136766</t>
  </si>
  <si>
    <t>GARCIA ECHEVARRIA JOSE MARIA</t>
  </si>
  <si>
    <t>72192455</t>
  </si>
  <si>
    <t>GIANINO MACASSI JONATHAN ALDO</t>
  </si>
  <si>
    <t>71197121</t>
  </si>
  <si>
    <t>GODOY ANTICONA PEDRO VICENTE</t>
  </si>
  <si>
    <t>70903504</t>
  </si>
  <si>
    <t>GONZALES REYES HEVER DAVID</t>
  </si>
  <si>
    <t>48045972</t>
  </si>
  <si>
    <t>GONZALO MONTOYA NANDITO</t>
  </si>
  <si>
    <t>47922856</t>
  </si>
  <si>
    <t>GONZALO MONTOYA NELSON</t>
  </si>
  <si>
    <t>80058504</t>
  </si>
  <si>
    <t>GUIDOTTI EGOAVIL GUINET JENNIFER</t>
  </si>
  <si>
    <t>70657401</t>
  </si>
  <si>
    <t>GUZMAN OBREGON JUAN JESUS</t>
  </si>
  <si>
    <t>81628166</t>
  </si>
  <si>
    <t>HERRERA RAMOS FERNANDO JOSE</t>
  </si>
  <si>
    <t>40284701</t>
  </si>
  <si>
    <t>HERRERA YNGA DEYNER OMAR</t>
  </si>
  <si>
    <t>41798971</t>
  </si>
  <si>
    <t>HERRERA YNGA JHENRY</t>
  </si>
  <si>
    <t>09946002</t>
  </si>
  <si>
    <t>GUTIERREZ GUTIERREZ KEVIN BERNARDO</t>
  </si>
  <si>
    <t>72284394</t>
  </si>
  <si>
    <t>HERRERA YNGA GITLER</t>
  </si>
  <si>
    <t>HINOSTROZA MARCELO JOAQUIN ALEXANDRO</t>
  </si>
  <si>
    <t>76243736</t>
  </si>
  <si>
    <t>HUACLES ROJAS ALBERTO</t>
  </si>
  <si>
    <t>44198510</t>
  </si>
  <si>
    <t>HUACLES ROJAS RAUL</t>
  </si>
  <si>
    <t>72031755</t>
  </si>
  <si>
    <t>HUAITA ULLOA MIGUEL ANGEL EIICHI</t>
  </si>
  <si>
    <t>74758279</t>
  </si>
  <si>
    <t>HUAMAN ENRIQUEZ JOSE LUIS RIBALDO</t>
  </si>
  <si>
    <t>74817348</t>
  </si>
  <si>
    <t>HUAMAN PANIAGUA DANIEL ANGEL</t>
  </si>
  <si>
    <t>72268084</t>
  </si>
  <si>
    <t>HUAMAN QUISPE KEVIN ALEXANDER</t>
  </si>
  <si>
    <t>72268085</t>
  </si>
  <si>
    <t>HUAMAN ZANABRIA EBEL ANGEL</t>
  </si>
  <si>
    <t>77043616</t>
  </si>
  <si>
    <t>HUAMANI MENDIBIL FERNANDO</t>
  </si>
  <si>
    <t>75728869</t>
  </si>
  <si>
    <t>HUAYNATE PEÑA GREGORY</t>
  </si>
  <si>
    <t>76296428</t>
  </si>
  <si>
    <t>HUAYHUA SOTO MARCO ANTONIO</t>
  </si>
  <si>
    <t>44077872</t>
  </si>
  <si>
    <t>HUERTA SANCHEZ RUTH MARIA</t>
  </si>
  <si>
    <t>76224003</t>
  </si>
  <si>
    <t>ISUIZA SALAS JANS CLINTON</t>
  </si>
  <si>
    <t>78390220</t>
  </si>
  <si>
    <t>JAMJACHI ORELLANA JHONATAN BRAYAN</t>
  </si>
  <si>
    <t>73929178</t>
  </si>
  <si>
    <t>JIHUAÑA ALVA EDINSON WILLY</t>
  </si>
  <si>
    <t>75512225</t>
  </si>
  <si>
    <t>JIMENEZ PACHAS JESUS ANTONIO</t>
  </si>
  <si>
    <t>76925642</t>
  </si>
  <si>
    <t>JOYO PRADO CRISTHIAN DIEGO</t>
  </si>
  <si>
    <t>72316475</t>
  </si>
  <si>
    <t>LECCA ALARCON BRIANN SWIDINN</t>
  </si>
  <si>
    <t>75336055</t>
  </si>
  <si>
    <t>LEON AYQUIPA ERICK HUGO</t>
  </si>
  <si>
    <t>72157299</t>
  </si>
  <si>
    <t>LEON CALZADO CESAR AUGUSTO</t>
  </si>
  <si>
    <t>70569992</t>
  </si>
  <si>
    <t>LEON MARTINEZ JORGE LUIS</t>
  </si>
  <si>
    <t>70187485</t>
  </si>
  <si>
    <t>LEON MARTINEZ LUIS EDUARDO</t>
  </si>
  <si>
    <t>70187486</t>
  </si>
  <si>
    <t>LEON ORTIZ RUBEN JUAN</t>
  </si>
  <si>
    <t>10510294</t>
  </si>
  <si>
    <t>LEON RAMIREZ CRISTIAN LUIS</t>
  </si>
  <si>
    <t>76318160</t>
  </si>
  <si>
    <t>LEZAMA QUISPE RAID YAFET</t>
  </si>
  <si>
    <t>75154069</t>
  </si>
  <si>
    <t>LOPEZ OCHAVANO MAYER SLIN</t>
  </si>
  <si>
    <t>72589997</t>
  </si>
  <si>
    <t>LOPEZ QUISPE BRAYAN JEFERSON</t>
  </si>
  <si>
    <t>62906289</t>
  </si>
  <si>
    <t>LOVERA PAREDES ANJELO</t>
  </si>
  <si>
    <t>48079196</t>
  </si>
  <si>
    <t>LOZANO RENGIFO FLAVIO JHONATHAN</t>
  </si>
  <si>
    <t>62491031</t>
  </si>
  <si>
    <t>LUCERO VASQUEZ MICHAEL</t>
  </si>
  <si>
    <t>75370129</t>
  </si>
  <si>
    <t>MACHADO BALTAZAR CLIZMAN YOHAO</t>
  </si>
  <si>
    <t>76123174</t>
  </si>
  <si>
    <t>MACHADO BALTAZAR VEXLER JOHAN</t>
  </si>
  <si>
    <t>77203778</t>
  </si>
  <si>
    <t>MAGAN SINCHE PIERO ALEXANDER</t>
  </si>
  <si>
    <t>76134689</t>
  </si>
  <si>
    <t>MAGUIÑA GAMARRA PATRICK YAMIL</t>
  </si>
  <si>
    <t>61212149</t>
  </si>
  <si>
    <t>MANAYAY VILCABANA DAVID EDILSON</t>
  </si>
  <si>
    <t>75870914</t>
  </si>
  <si>
    <t>MANDUJANO CONDORI JERSSON MANUEL</t>
  </si>
  <si>
    <t>70630099</t>
  </si>
  <si>
    <t>MARIAN ROGER ELISEO</t>
  </si>
  <si>
    <t>76873150</t>
  </si>
  <si>
    <t>MARQUINA YANCE TOMAS</t>
  </si>
  <si>
    <t>48521621</t>
  </si>
  <si>
    <t>MARTINEZ PAZ SHAMIR ALDAIR</t>
  </si>
  <si>
    <t>77479506</t>
  </si>
  <si>
    <t>MAYLLE HICHCAS MARCO ANTONIO</t>
  </si>
  <si>
    <t>75757320</t>
  </si>
  <si>
    <t>MAYTAHUARI DEL AGUILA GIMBLER</t>
  </si>
  <si>
    <t>72865267</t>
  </si>
  <si>
    <t>MEDINA CARRASCO ANGELO ALBERTO</t>
  </si>
  <si>
    <t>44401063</t>
  </si>
  <si>
    <t>MEDINA MANCO OMAR SAMIR</t>
  </si>
  <si>
    <t>76017033</t>
  </si>
  <si>
    <t>MELGAR SILVA JOSE ARMANDO</t>
  </si>
  <si>
    <t>70859428</t>
  </si>
  <si>
    <t>MENDOZA HUAMANI MARCO ANTONIO</t>
  </si>
  <si>
    <t>41297245</t>
  </si>
  <si>
    <t>MERMA VALCAZAR LUIS FERNANDO</t>
  </si>
  <si>
    <t>74908678</t>
  </si>
  <si>
    <t>MEZA QUISPE JHON CARLOS</t>
  </si>
  <si>
    <t>75915989</t>
  </si>
  <si>
    <t>MITMA RAMIREZ DIEGO EDUARDO</t>
  </si>
  <si>
    <t>42707425</t>
  </si>
  <si>
    <t>MITTANI ANCCO DAYRON</t>
  </si>
  <si>
    <t>77136083</t>
  </si>
  <si>
    <t>MONAGO DEL AGUILA EDDY RICARDO</t>
  </si>
  <si>
    <t>76279110</t>
  </si>
  <si>
    <t>MONTERO NUNURA HILADIO MAXIMO</t>
  </si>
  <si>
    <t>75932984</t>
  </si>
  <si>
    <t>MONTES ESPINOZA RAFAEL JUNIOR</t>
  </si>
  <si>
    <t>71449148</t>
  </si>
  <si>
    <t>MOZOMBITE RENGIFO JORGE MARCOS</t>
  </si>
  <si>
    <t>10601585</t>
  </si>
  <si>
    <t>MUNDO CHUCHON ERICK JHOEL</t>
  </si>
  <si>
    <t>73965500</t>
  </si>
  <si>
    <t>MUÑOZ COICA CRISTIAN ENRIQUE</t>
  </si>
  <si>
    <t>45118290</t>
  </si>
  <si>
    <t>MUSIA RAMIREZ MARCO ANTONIO</t>
  </si>
  <si>
    <t>47244753</t>
  </si>
  <si>
    <t>NANCHIJAM TIWIP ELAM</t>
  </si>
  <si>
    <t>72389681</t>
  </si>
  <si>
    <t>NASHNATE SINARAHUA ALEXANDER</t>
  </si>
  <si>
    <t>47070032</t>
  </si>
  <si>
    <t>NAYRA ALBERCA RAUL ELIGIO</t>
  </si>
  <si>
    <t>74489643</t>
  </si>
  <si>
    <t>NESTARES JERI OSWALDO MANUEL</t>
  </si>
  <si>
    <t>76793203</t>
  </si>
  <si>
    <t>OCHOA ZARATE JOSE FERNANDO</t>
  </si>
  <si>
    <t>70078998</t>
  </si>
  <si>
    <t>OJANAMA CACHIQUE GINO</t>
  </si>
  <si>
    <t>77145557</t>
  </si>
  <si>
    <t>OJANAMA RAMIREZ CHRISTIAN</t>
  </si>
  <si>
    <t>42200293</t>
  </si>
  <si>
    <t>OPORTO SANTAMARIA JOSE ARMANDO ZACARIAS</t>
  </si>
  <si>
    <t>75425081</t>
  </si>
  <si>
    <t>ORDOÑEZ RICSE EDGAR RAUL</t>
  </si>
  <si>
    <t>44194609</t>
  </si>
  <si>
    <t>ORE FERNANDEZ WERNER OSCAR</t>
  </si>
  <si>
    <t>77096775</t>
  </si>
  <si>
    <t>ORTIZ BLANCAS AMILCAR AGUSTIN JUNNIOR</t>
  </si>
  <si>
    <t>61861541</t>
  </si>
  <si>
    <t>OSORIO GUIDOTTI DARLING STEFANI</t>
  </si>
  <si>
    <t>70644644</t>
  </si>
  <si>
    <t>PADILLA VARGAS ANTHONY</t>
  </si>
  <si>
    <t>42749803</t>
  </si>
  <si>
    <t>PADUA LEON JESUS ABRAHAM</t>
  </si>
  <si>
    <t>75976613</t>
  </si>
  <si>
    <t>PAJITA BERNACHEA KEMBERLYN JHAN FRANCO</t>
  </si>
  <si>
    <t>40881459</t>
  </si>
  <si>
    <t>PAJITA PAREDES CESAR AUGUSTO</t>
  </si>
  <si>
    <t>70993072</t>
  </si>
  <si>
    <t>PALACIOS TICSIHUA YONATAN TEODORO</t>
  </si>
  <si>
    <t>47725002</t>
  </si>
  <si>
    <t>PALOMINO CHOQUEHUACCHA DENYS EDUARDO</t>
  </si>
  <si>
    <t>74676754</t>
  </si>
  <si>
    <t>PALOMINO QUISPE LUIS VICENTE</t>
  </si>
  <si>
    <t>75169048</t>
  </si>
  <si>
    <t>PAREDES HERRERA MARLENE BEATRIZ</t>
  </si>
  <si>
    <t>10133702</t>
  </si>
  <si>
    <t>PAREDES MACEDO SEGUNDO</t>
  </si>
  <si>
    <t>42986457</t>
  </si>
  <si>
    <t>PAREJA CAJAHUAMAN JEFERSON JEAN PIERRE</t>
  </si>
  <si>
    <t>75425053</t>
  </si>
  <si>
    <t>PARRAGA LUCAS JULIO CESAR</t>
  </si>
  <si>
    <t>76800275</t>
  </si>
  <si>
    <t>PAULINO PAJITA ABEL FIDEL</t>
  </si>
  <si>
    <t>48487609</t>
  </si>
  <si>
    <t>PAULINO PAJITA ALDAHIR ENRIQUE</t>
  </si>
  <si>
    <t>41517602</t>
  </si>
  <si>
    <t>PECHO VILLALVA JOSE MIGUEL</t>
  </si>
  <si>
    <t>72595554</t>
  </si>
  <si>
    <t>PECHE RENDON JOSE LUIS</t>
  </si>
  <si>
    <t>73575358</t>
  </si>
  <si>
    <t>PEREA ROJAS DAVID PAUL MANUEL</t>
  </si>
  <si>
    <t>10665806</t>
  </si>
  <si>
    <t>PEREZ ROCA JOSE LUIS</t>
  </si>
  <si>
    <t>72519127</t>
  </si>
  <si>
    <t>PILCO FASANANDO HENRY</t>
  </si>
  <si>
    <t>09509688</t>
  </si>
  <si>
    <t>PILCO QUISPE RICARDO ANTONIO</t>
  </si>
  <si>
    <t>72954168</t>
  </si>
  <si>
    <t>PINEDO ACOSTA JULL ALEXANDER</t>
  </si>
  <si>
    <t>76439514</t>
  </si>
  <si>
    <t>PINTADO SANTOYO ERIKA PAOLA</t>
  </si>
  <si>
    <t>75267531</t>
  </si>
  <si>
    <t>PIZARRO LAZO SAMUEL</t>
  </si>
  <si>
    <t>72511841</t>
  </si>
  <si>
    <t>PORRAS QUICO FRANCISCO EDUARDO</t>
  </si>
  <si>
    <t>47899685</t>
  </si>
  <si>
    <t>PRUDENCIO ANTIALON RONALD EDWIN</t>
  </si>
  <si>
    <t>75308649</t>
  </si>
  <si>
    <t>PUCUHUARANGA TORRES ANGEL</t>
  </si>
  <si>
    <t>09840430</t>
  </si>
  <si>
    <t>PUCUHUARANGA TORRES JOEL ELMER</t>
  </si>
  <si>
    <t>80217003</t>
  </si>
  <si>
    <t>QUISPE ARCCE RODOLFO</t>
  </si>
  <si>
    <t>75605507</t>
  </si>
  <si>
    <t>QUISPE BERROSPI MAX CHRISTIAN</t>
  </si>
  <si>
    <t>45427959</t>
  </si>
  <si>
    <t>QUISPE CABANILLAS JEAN MANUEL</t>
  </si>
  <si>
    <t>70182275</t>
  </si>
  <si>
    <t>QUISPE CABEZAS HECTOR DAVID</t>
  </si>
  <si>
    <t>70182276</t>
  </si>
  <si>
    <t>QUISPE NAVARRO JENIFER</t>
  </si>
  <si>
    <t>48547706</t>
  </si>
  <si>
    <t>QUISPIALAYA LOPEZ RAUL MOISES</t>
  </si>
  <si>
    <t>44955192</t>
  </si>
  <si>
    <t>RAMIREZ TAYPE EDSON</t>
  </si>
  <si>
    <t>73184782</t>
  </si>
  <si>
    <t>RELICARIO VILA JEREMY HILDER</t>
  </si>
  <si>
    <t>75882635</t>
  </si>
  <si>
    <t>RIVERA TAPULLIMA IVERSON</t>
  </si>
  <si>
    <t>45418401</t>
  </si>
  <si>
    <t>RODRIGUEZ FLORES SANTOS</t>
  </si>
  <si>
    <t>76395756</t>
  </si>
  <si>
    <t>RODRIGUEZ SANCHEZ GUILLERMO JUNIOR</t>
  </si>
  <si>
    <t>60598914</t>
  </si>
  <si>
    <t>ROMERO ROQUE FREDY</t>
  </si>
  <si>
    <t>79380918</t>
  </si>
  <si>
    <t>ROSAS COMPALLE GUSTAVO MOISES</t>
  </si>
  <si>
    <t>43507406</t>
  </si>
  <si>
    <t>SALCEDO TUCTO FRANCIS PIEROL</t>
  </si>
  <si>
    <t>73039064</t>
  </si>
  <si>
    <t>SANCHEZ PECHE LUIS DAVID</t>
  </si>
  <si>
    <t>42513224</t>
  </si>
  <si>
    <t>SANCHEZ VILLANUEVA LUIS</t>
  </si>
  <si>
    <t>75836637</t>
  </si>
  <si>
    <t>SERAS GALVAN EDGAR</t>
  </si>
  <si>
    <t>76515867</t>
  </si>
  <si>
    <t>SEVILLANO QUISPE BENJAMIN</t>
  </si>
  <si>
    <t>74880993</t>
  </si>
  <si>
    <t>SILVANO TAPAYURI JHON FARITH</t>
  </si>
  <si>
    <t>76431404</t>
  </si>
  <si>
    <t>SILVANO TAPAYURI KISSEL SMITH</t>
  </si>
  <si>
    <t>48690582</t>
  </si>
  <si>
    <t>SOLIS PEREZ CARLOS ALCIDES</t>
  </si>
  <si>
    <t>73263002</t>
  </si>
  <si>
    <t>SOTO SANCHEZ LUIS ANGEL</t>
  </si>
  <si>
    <t>40006255</t>
  </si>
  <si>
    <t>SUAREZ MONTOYA JOSE AUGUSTO</t>
  </si>
  <si>
    <t>73133789</t>
  </si>
  <si>
    <t>SULCA ARIAS LUIS ANGEL</t>
  </si>
  <si>
    <t>77094042</t>
  </si>
  <si>
    <t>TAIPE VARGAS ESAU EDISON</t>
  </si>
  <si>
    <t>74498382</t>
  </si>
  <si>
    <t>TALAVERA VILLANUEVA VICTOR</t>
  </si>
  <si>
    <t>08177110</t>
  </si>
  <si>
    <t>TANGOA MAJIPO LUIS ENRIQUE</t>
  </si>
  <si>
    <t>43399160</t>
  </si>
  <si>
    <t>TAPULLIMA SIMON PERCY</t>
  </si>
  <si>
    <t>48569209</t>
  </si>
  <si>
    <t>TENORIO CAJO GONZALO</t>
  </si>
  <si>
    <t>75995803</t>
  </si>
  <si>
    <t>TORIBIO YUPANQUI DALBERG DAVID</t>
  </si>
  <si>
    <t>70747203</t>
  </si>
  <si>
    <t>TORRES MEJIA ISAIAS BENJAMIN</t>
  </si>
  <si>
    <t>73732532</t>
  </si>
  <si>
    <t>USCAMAYTA FIERRO EDWIN FUCER</t>
  </si>
  <si>
    <t>78054865</t>
  </si>
  <si>
    <t>VACA VARGAS JULIO CESAR</t>
  </si>
  <si>
    <t>76200604</t>
  </si>
  <si>
    <t>VALDEZ PEÑA MARIA LUISA</t>
  </si>
  <si>
    <t>72256021</t>
  </si>
  <si>
    <t>VALLEJOS LEANDRO HEDWER BRAYAN</t>
  </si>
  <si>
    <t>70090432</t>
  </si>
  <si>
    <t>VARGAS HUAMAN MARIO</t>
  </si>
  <si>
    <t>73370418</t>
  </si>
  <si>
    <t>VALDIVIA ORTEGA JEFFERSON IVAN</t>
  </si>
  <si>
    <t>74368157</t>
  </si>
  <si>
    <t>VASQUEZ HUAMAN BRYAN</t>
  </si>
  <si>
    <t>41951844</t>
  </si>
  <si>
    <t>VASQUEZ PORTOCARRERO EDGAR EDUARDO</t>
  </si>
  <si>
    <t>72929553</t>
  </si>
  <si>
    <t>VEGA ASCENCIO DARWIN LUIS</t>
  </si>
  <si>
    <t>60689240</t>
  </si>
  <si>
    <t>VENTOCILLA CONDORI FRANCYS ALEXANDER</t>
  </si>
  <si>
    <t>43080891</t>
  </si>
  <si>
    <t>VILCHEZ PEREZ DEYVIS ABEL</t>
  </si>
  <si>
    <t>73232083</t>
  </si>
  <si>
    <t>VILLALOBOS VASQUEZ ESTEBAN</t>
  </si>
  <si>
    <t>44459799</t>
  </si>
  <si>
    <t>VILLANUEVA TAFUR HOLMER YOSVEL</t>
  </si>
  <si>
    <t>40844864</t>
  </si>
  <si>
    <t>VILLANUEVA TORO FLAVIO FERNANDO</t>
  </si>
  <si>
    <t>72800407</t>
  </si>
  <si>
    <t>YACHA CAPCHA DENIS ANGEL</t>
  </si>
  <si>
    <t>72953180</t>
  </si>
  <si>
    <t>YANGALI HUAMAN HUMBERTO</t>
  </si>
  <si>
    <t>46487469</t>
  </si>
  <si>
    <t>YAURI INOCENTE WILFREDO</t>
  </si>
  <si>
    <t>72934576</t>
  </si>
  <si>
    <t>YAMPIS YUU RICHARD</t>
  </si>
  <si>
    <t>73774386</t>
  </si>
  <si>
    <t>YATACO RAMOS EDU JOAQUIN</t>
  </si>
  <si>
    <t>46256864</t>
  </si>
  <si>
    <t>ZAMUDIO BUSTILLOS EDDI DEMETRIO</t>
  </si>
  <si>
    <t>74359870</t>
  </si>
  <si>
    <t>ZAPATA SOTO LUIS MOISES</t>
  </si>
  <si>
    <t>60861524</t>
  </si>
  <si>
    <t>ZAVALA MANTARI DIEGO MANUEL</t>
  </si>
  <si>
    <t>60598898</t>
  </si>
  <si>
    <t>ZEVALLOS FERRY RUSBEL NOE</t>
  </si>
  <si>
    <t>48244836</t>
  </si>
  <si>
    <t>VILLA SOTO JHOANS RAUL</t>
  </si>
  <si>
    <t>47616528</t>
  </si>
  <si>
    <t>ZEVALLOS LEON GILVER FELIX</t>
  </si>
  <si>
    <t>M</t>
  </si>
  <si>
    <t>ALMACEN</t>
  </si>
  <si>
    <t>JEFE DE ALMACEN</t>
  </si>
  <si>
    <t>LOGISTICA DE SALIDA</t>
  </si>
  <si>
    <t>TRANSPORTISTA</t>
  </si>
  <si>
    <t>AUXILIAR DE ALMACEN</t>
  </si>
  <si>
    <t>SEGURIDAD</t>
  </si>
  <si>
    <t xml:space="preserve">AGENTE DE SEGURIDAD
</t>
  </si>
  <si>
    <t>AUXILIAR DE REPARTO</t>
  </si>
  <si>
    <t>ADMINISTRACION</t>
  </si>
  <si>
    <t>ASISTENTE ADMINISTRATIVO</t>
  </si>
  <si>
    <t>DISTRIBUCION</t>
  </si>
  <si>
    <t>COORDINADOR DE DISTRIBUCION</t>
  </si>
  <si>
    <t>ASISTENTE LOGISTICO DE ALMACEN</t>
  </si>
  <si>
    <t>GERENTE GENERAL</t>
  </si>
  <si>
    <t>SUPERVISOR DE DISTRIBUCION</t>
  </si>
  <si>
    <t>SUPERVISOR DE ALMACEN</t>
  </si>
  <si>
    <t>ASISTENTE LOGISTICO DE DISTRIB</t>
  </si>
  <si>
    <t>JEFE DE OPERACIONES</t>
  </si>
  <si>
    <t>F</t>
  </si>
  <si>
    <t>MANTENIMIENTO</t>
  </si>
  <si>
    <t xml:space="preserve">AUXILIAR DE LIMPIEZA
</t>
  </si>
  <si>
    <t>RECURSOS HUMANOS</t>
  </si>
  <si>
    <t>ASISTENTE RRHH</t>
  </si>
  <si>
    <t>SUPERVISOR DE CONTROL INTERNO</t>
  </si>
  <si>
    <t>SUPERVISOR DE ADMINISTRACION</t>
  </si>
  <si>
    <t>COMPRAS</t>
  </si>
  <si>
    <t>ASISTENTE DE COMPRAS</t>
  </si>
  <si>
    <t>ASISTENTE DE CONTROL INTERNO</t>
  </si>
  <si>
    <t>AUXILIAR DE INVENTARIO</t>
  </si>
  <si>
    <t>Técnico</t>
  </si>
  <si>
    <t>Oficina</t>
  </si>
  <si>
    <t xml:space="preserve">DIETA HIPOCALÓRICA, REALIZAR ACTIVIDAD FÍSICA COMO MÍNIMO 03 VECES POR SEMANA.
</t>
  </si>
  <si>
    <t>EVALUACION NORMAL</t>
  </si>
  <si>
    <t>OBESIDAD</t>
  </si>
  <si>
    <t>AMETROPIA</t>
  </si>
  <si>
    <t>OBESIDAD 
AMETROPIA</t>
  </si>
  <si>
    <t>SOBREPESO
AMETROPIA</t>
  </si>
  <si>
    <t xml:space="preserve"> SOBREPESO
AMETROPIA
OTRAS HIPOACUSIAS</t>
  </si>
  <si>
    <t>SOBREPESO E6602 
AMETROPÍA</t>
  </si>
  <si>
    <t>DIABETES MIELLITUS</t>
  </si>
  <si>
    <t xml:space="preserve"> </t>
  </si>
  <si>
    <t>TRAUMA ACUSTICO  BILATERAL</t>
  </si>
  <si>
    <t>SOBREPESO</t>
  </si>
  <si>
    <t>OBESIDAD
AMETROPIA</t>
  </si>
  <si>
    <t xml:space="preserve"> OBESIDAD</t>
  </si>
  <si>
    <t>HIPOACUSIA
SOBREPESO</t>
  </si>
  <si>
    <t>OBESIDAD AMETROPIA</t>
  </si>
  <si>
    <t>SOBREPESO
AMETROPIA
TRAUMA ACUSTICO</t>
  </si>
  <si>
    <t>PACIENTE SANO</t>
  </si>
  <si>
    <t>OBESIDAD E6692 TRAUMA ACUSTICO LEVE BILATERAL</t>
  </si>
  <si>
    <t>AMETROPIA
HIPERGLICEMIA</t>
  </si>
  <si>
    <t>SOBREPESO E6602 
AMETROPIA</t>
  </si>
  <si>
    <t>Apto</t>
  </si>
  <si>
    <t>OBESIDAD
LEUCOCITURIA</t>
  </si>
  <si>
    <t xml:space="preserve">AMETROPIA  </t>
  </si>
  <si>
    <t>AMETROPIA  
2  HIPERGLICEMIA, NO ESPECIFICADA</t>
  </si>
  <si>
    <t>TRAUMA ACUSTICO AMETROPIA 
OBSEIDAD
HIPERGLICEMIA</t>
  </si>
  <si>
    <t>SOBREPESO AMETROPIA</t>
  </si>
  <si>
    <t>AMETROPIA
OBESIDAD</t>
  </si>
  <si>
    <t>OBESIDAD  E669
2  HIPERGLICEMIA, NO ESPECIFICADA</t>
  </si>
  <si>
    <t>SOBREPESO E660
 ANEMIA
TRASTORNO DE LOS LEUCOCITOS, NO ESPECIFICADO
AMETROPÍA</t>
  </si>
  <si>
    <t>OBESIDAD
HIPERGLICEMIA
HIPOACUSIA</t>
  </si>
  <si>
    <t>AMETROPIA
RETRASO MENTAL
TRAUMA ACUSTICO</t>
  </si>
  <si>
    <t>Apto con Restricción</t>
  </si>
  <si>
    <t xml:space="preserve">USO DE CORRECTORES VISUALES </t>
  </si>
  <si>
    <t xml:space="preserve"> AMETROPÍA
TRAUMA ACUSTICO LEVE</t>
  </si>
  <si>
    <t>SOBREPESO 
AMETROPIA</t>
  </si>
  <si>
    <t>TRAUMA ACUSTICO</t>
  </si>
  <si>
    <t xml:space="preserve">OBESIDAD </t>
  </si>
  <si>
    <t xml:space="preserve"> AMETROPÍA</t>
  </si>
  <si>
    <t>HIPOACUSIA LEVE
AMETROPIA</t>
  </si>
  <si>
    <t>SOBREPESO E660
OTRAS HIPOACUSIAS
AMETROPÍA</t>
  </si>
  <si>
    <t>HUAYTALLA PORRAS CHRISTIAN LENIN</t>
  </si>
  <si>
    <t>HUARCAYA GOMEZ ARTURO</t>
  </si>
  <si>
    <t>HUAÑEC HUAÑEC FRANK DANIEL</t>
  </si>
  <si>
    <t>JESUS MARTINEZ MARIA ANGGELINA</t>
  </si>
  <si>
    <t>JURO ANGULO CARLOS ALBERTO</t>
  </si>
  <si>
    <t>JUÑO FUENTES ELBA</t>
  </si>
  <si>
    <t>JIMENEZ ALBURQUEQUE RUTH NOELIA</t>
  </si>
  <si>
    <t>HUAMANI DELGADO STEVE</t>
  </si>
  <si>
    <t>GUEVARA GUEVARA MARIA DALILA</t>
  </si>
  <si>
    <t>HENRIQUEZ VALDEZ LUIS ANGEL</t>
  </si>
  <si>
    <t>GUERRA PARRA DAIBY SAUL</t>
  </si>
  <si>
    <t>GORDILLO CORREA JENIFER JEARIMA</t>
  </si>
  <si>
    <t>HIDALGO RAMIREZ JORGE LUIS</t>
  </si>
  <si>
    <t>MEDINA AYLAS DIEGO CORNELIO</t>
  </si>
  <si>
    <t>MEDINA FLORES NAYELI MARIA JOSE</t>
  </si>
  <si>
    <t>MARTINEZ MARTINEZ WILLIAM PAUL</t>
  </si>
  <si>
    <t>MAYORCA PARRA SARA CAMILA</t>
  </si>
  <si>
    <t>MARTINEZ PINGO JACQUELINE ZARA</t>
  </si>
  <si>
    <t>MEDINA VARGAS ANITA MARIA</t>
  </si>
  <si>
    <t>MEDRANO PALACIOS ELOISA  DEL PILAR</t>
  </si>
  <si>
    <t>MILLA GOMERO YTALO LUIS</t>
  </si>
  <si>
    <t>MENDOZA CASTILLO JHONY</t>
  </si>
  <si>
    <t>MEJIA NOLAZCO VICTOR SANTIAGO</t>
  </si>
  <si>
    <t>LOPEZ LIVIAPOMA JOEL FERNAN</t>
  </si>
  <si>
    <t>LOAYZA HUAMAN JHONNATAN JESUS</t>
  </si>
  <si>
    <t>LEON TORRES MICHAEL JORDAN</t>
  </si>
  <si>
    <t>MARIN MENESES ALISON NICOLE</t>
  </si>
  <si>
    <t>MARCATOMA TUHANAMA EZEQUIEL RICARDO</t>
  </si>
  <si>
    <t>MANCO QUEZADA OLGA ESPERANZA</t>
  </si>
  <si>
    <t>MALLMA CAMPOS ROY ROPER</t>
  </si>
  <si>
    <t>CONDOR VALENCIA VICTOR STEVEN</t>
  </si>
  <si>
    <t>CORDOVA DOMINGUEZ LELIS DALILA</t>
  </si>
  <si>
    <t>COLOMA HUARCAYA PIERO</t>
  </si>
  <si>
    <t>COLACHAHUA COSME JUDIT SANDRA</t>
  </si>
  <si>
    <t>CORDOVA POMA HAYDE DORIS</t>
  </si>
  <si>
    <t>CORONADO FERNANDEZ MARIA LORENA DEL ROSARIO</t>
  </si>
  <si>
    <t>CRUCES ARRASCO EDWARD</t>
  </si>
  <si>
    <t>CRISPIN ERAZO FREDDY HENER</t>
  </si>
  <si>
    <t>COTRINA CALERO NICK JEFFERSON</t>
  </si>
  <si>
    <t>CORREA SINARAHUA RAFAEL</t>
  </si>
  <si>
    <t>GONZALES ESPINOZA BRAYHANN ALEXANDER</t>
  </si>
  <si>
    <t>CHACON CIENFUEGOS LUIS EDUARDO</t>
  </si>
  <si>
    <t>CHAMPI BONIFACIO DIAMELIT</t>
  </si>
  <si>
    <t>CCENCHO FERNANDEZ JOVANA</t>
  </si>
  <si>
    <t>CCAHUANA ALEGRIA JENNY ISABEL</t>
  </si>
  <si>
    <t>CHANCAN FERNANDEZ NERIDA ELOISA</t>
  </si>
  <si>
    <t>CHOQUE URBINA BRAYAN</t>
  </si>
  <si>
    <t>CHANCASANA PEÑA JHAIR STEVENS</t>
  </si>
  <si>
    <t>CHOCCE JULCA YESSENIA KATYUSCA</t>
  </si>
  <si>
    <t>CHICLAYO RODRIGUEZ LUIS</t>
  </si>
  <si>
    <t>CHAVEZ MANCISIDOR LUIS EDGARDO</t>
  </si>
  <si>
    <t>CHAU CHAVEZ HUGO ENRICO</t>
  </si>
  <si>
    <t>CRUZ DIOSES CLAUDIA CRISTINA</t>
  </si>
  <si>
    <t>CUADROS CARRANZA KATHERINE NORMA</t>
  </si>
  <si>
    <t>FLORES BENITES ARTURO TOBIAS</t>
  </si>
  <si>
    <t>FERNANDEZ TRUJILLO LLOZMER</t>
  </si>
  <si>
    <t>FLORES LA ROSA PAOLA NATALI</t>
  </si>
  <si>
    <t>GALLEGOS MUNGUIA JOAQUIN ERNESTO</t>
  </si>
  <si>
    <t>GASTELU TRIGUEROS RICARDO BERNABE</t>
  </si>
  <si>
    <t>GARRO QUINTO LUIS FERNANDO</t>
  </si>
  <si>
    <t>GARCIA VENANCINO ENITH EMPERATRIZ</t>
  </si>
  <si>
    <t>GARCIA LOARDO ERICK JULIAN</t>
  </si>
  <si>
    <t>ESTRELLA OCON VICTOR RAUL</t>
  </si>
  <si>
    <t>ESPINOZA RICCE OSCAR MARCELO</t>
  </si>
  <si>
    <t>DE LA CRUZ RAMOS ROXANA YOLANDA</t>
  </si>
  <si>
    <t>DE LA CRUZ DE LA CRUZ ANDRES LEONARDO</t>
  </si>
  <si>
    <t>DE LA CRUZ APUMAYTA EVA LUZ</t>
  </si>
  <si>
    <t>DAMIAN SUTIZAL JASMELYN ROXANA</t>
  </si>
  <si>
    <t>DIAZ QUISPE JACKELIN ELIZABETH</t>
  </si>
  <si>
    <t>EGUSQUIZA MORENO ALISSON GABRIELA</t>
  </si>
  <si>
    <t>ENRIQUEZ SAUCEDO JUAN CARLOS</t>
  </si>
  <si>
    <t>DOÑEZ MURAYARI DIONICIO JHUNIOR</t>
  </si>
  <si>
    <t>DONAYRE BUITRON JULIO GONZALO</t>
  </si>
  <si>
    <t>DIBURGA QUISPE JUAN RENATO</t>
  </si>
  <si>
    <t>DIBURGA QUISPE CLAUDIA LUZ</t>
  </si>
  <si>
    <t>SORIA SIMA DARWIN WILLIAM</t>
  </si>
  <si>
    <t>TASAYCO LAZO CARMEN ROSA</t>
  </si>
  <si>
    <t>SEMINARIO PICON ADRIAN CARLO</t>
  </si>
  <si>
    <t>SOTELO HUAYHUAS EDWIN SANTIAGO</t>
  </si>
  <si>
    <t>SUYO ROMAN JESUS ELOY</t>
  </si>
  <si>
    <t>SUCLUPE MORE JULIO CESAR</t>
  </si>
  <si>
    <t>SUCLUPE LOPEZ LIZETH YANIRE</t>
  </si>
  <si>
    <t>ROJAS CARDENAS JOEL BORIS</t>
  </si>
  <si>
    <t>ROJAS VILCHEZ HAROLD JOEL</t>
  </si>
  <si>
    <t>ROJAS RISALVE ELIZABETH FORTUNATA</t>
  </si>
  <si>
    <t>ROMERO SALAZAR JORGE LUIS</t>
  </si>
  <si>
    <t>RODRIGUEZ MONROY ADA ROXANA</t>
  </si>
  <si>
    <t>RODRIGUEZ CHIARA CARMEN MILAGROS</t>
  </si>
  <si>
    <t>SALVADOR AYALA WENDY MILAGROS</t>
  </si>
  <si>
    <t>ROSAS PEÑA CESAR JAVIER</t>
  </si>
  <si>
    <t>SALAZAR TTITO NOEMI SHAYLLA</t>
  </si>
  <si>
    <t>SALAZAR TTITO JOSUE JONATHAN</t>
  </si>
  <si>
    <t>SALAS RUIZ MAYRA YOMIRA</t>
  </si>
  <si>
    <t>SAL Y ROSAS CARMEN DIEGO PAOLO</t>
  </si>
  <si>
    <t>SAENZ MORON RAYZA TAMARA</t>
  </si>
  <si>
    <t>RUJEL GARCIA IRIS LYLYANA</t>
  </si>
  <si>
    <t>RUCOBA SALAS MARC ANTONY</t>
  </si>
  <si>
    <t>TARAZONA RUIZ ELVIS JONATHAN</t>
  </si>
  <si>
    <t>ROCA ALMAIDA FERNANDO LUIS</t>
  </si>
  <si>
    <t>YANAC DANCOURT MARIA DEL CARMEN ANGELICA</t>
  </si>
  <si>
    <t>VITE ARANDA CHRISTIAN ANDRES</t>
  </si>
  <si>
    <t>YEPEZ GARCIA VALERY</t>
  </si>
  <si>
    <t>ZEVALLOS MAXIMILIANO MERCEDES ADELAIDA</t>
  </si>
  <si>
    <t>ZEVALLOS MAXIMILIANO EDWIN</t>
  </si>
  <si>
    <t>ZEVALLOS ARCE ISMAEL WILMER</t>
  </si>
  <si>
    <t>ZAPATA TORRES RAFHAEL</t>
  </si>
  <si>
    <t>URRACA ATENCIO NELLY CRISTINA</t>
  </si>
  <si>
    <t>URBAY ROLDAN GEOVANNY GABRIEL</t>
  </si>
  <si>
    <t>VALDIVIA CONTRERAS KEIMER WILFREDO</t>
  </si>
  <si>
    <t>URBANO YANAYACO GUILLERMO EDUARDO</t>
  </si>
  <si>
    <t>TORRES RIVAS GUIDO</t>
  </si>
  <si>
    <t>VELASQUEZ SANCHEZ RENZO JESUS</t>
  </si>
  <si>
    <t>VALENCIA MENDOZA JAQUELIN YOSHIRA</t>
  </si>
  <si>
    <t>VELASQUEZ COCHACHIN JESUS ANGEL</t>
  </si>
  <si>
    <t>VEGA PEÑA CESAR MOISES</t>
  </si>
  <si>
    <t>VALLES BELLIDO ANTHONY JESUS</t>
  </si>
  <si>
    <t>RODAS MAYAK MARDIOLIN EDITH</t>
  </si>
  <si>
    <t>MONTAÑO VELASQUEZ RUTH DEL PILAR</t>
  </si>
  <si>
    <t>ORTIZ ALCANTARA JUAN MIGUEL</t>
  </si>
  <si>
    <t>ORE ARROYO ALEJANDRO FELIPE</t>
  </si>
  <si>
    <t>PACHECO VILLANUEVA LEONARDO JESUS</t>
  </si>
  <si>
    <t>PADILLA AREVALO GARY DAVID</t>
  </si>
  <si>
    <t>PALACIOS SALDAÑA CYNTIA JHERALDIN</t>
  </si>
  <si>
    <t>PALACIOS RUIZ CHRISTIAM ALBERTO</t>
  </si>
  <si>
    <t>RIOS SANCHEZ ANGEL ORLANDO</t>
  </si>
  <si>
    <t>MORALES DAHUA ROSARIO DEL PILAR</t>
  </si>
  <si>
    <t>MORENO MURRUGARRA KRISTEL FIORELLA</t>
  </si>
  <si>
    <t>MORENO MURRUGARRA ANGIE</t>
  </si>
  <si>
    <t>MONTERO HUAMANTTICA KELY ALEXANDRA</t>
  </si>
  <si>
    <t>MONTEJO PRUDENCIO VERONICA</t>
  </si>
  <si>
    <t>MUNGUIA ROMERO JHONATAN SMITH</t>
  </si>
  <si>
    <t>OCHAVANO MUÑOZ ANTONIO</t>
  </si>
  <si>
    <t>NAVARRO TAPULLIMA GINNA MERCI</t>
  </si>
  <si>
    <t>NAVARRO SIFUENTES DIANA CAROLINA</t>
  </si>
  <si>
    <t>MUÑOZ VILLA LUIS ANTHONY</t>
  </si>
  <si>
    <t>PAREDES FUSTER MIGUEL EDUARDO</t>
  </si>
  <si>
    <t>QUISPE ESCUDERO LUCIA ESTHER</t>
  </si>
  <si>
    <t>QUISPE LOPEZ PETER ESTEBAN</t>
  </si>
  <si>
    <t>QUISPE TORIBIO ROBERTO CARLOS</t>
  </si>
  <si>
    <t>QUISPE TAYPE JACK ANTHONY</t>
  </si>
  <si>
    <t>QUISPE VALENCIA DAYANA MARIA</t>
  </si>
  <si>
    <t>PAREDES LAREDO AMARIN KIOKO</t>
  </si>
  <si>
    <t>QUISPE YAURIVILCA ELSA HELEN</t>
  </si>
  <si>
    <t>RIOS CHACCACANTA JOSE ALEXANDER</t>
  </si>
  <si>
    <t>RIMACHI JESUS BRUCE YORMAN</t>
  </si>
  <si>
    <t>REYES BARDALES JAIME EDWAR</t>
  </si>
  <si>
    <t>RAMOS PAUCAR JESSICA SOLEDAD</t>
  </si>
  <si>
    <t>RAMIREZ TORRES WENDY NAYELI</t>
  </si>
  <si>
    <t>RAFAEL ANCHELIA SHEYLA MILAGROS</t>
  </si>
  <si>
    <t>QUIROZ ROSARIO CARLOS</t>
  </si>
  <si>
    <t>PULACHE SILVA JOEL</t>
  </si>
  <si>
    <t>PEREZ HUAROTO YURI PAMELA</t>
  </si>
  <si>
    <t>PERALTA YSIDRO HECTOR NAZARENO</t>
  </si>
  <si>
    <t>PORRAS TENICELA RUTH</t>
  </si>
  <si>
    <t>PRADO TAMAYO JULIO ANTONIO</t>
  </si>
  <si>
    <t>PORRAS LEON GISSELA BEATRIZ</t>
  </si>
  <si>
    <t>CASTILLO HUAMANI DIEGO SEBASTIAN</t>
  </si>
  <si>
    <t>BERNUY MARIANO DEYSI ELIZABETH</t>
  </si>
  <si>
    <t>BLACUD HUAMANI BARDO</t>
  </si>
  <si>
    <t>BLAS HIJUELA LUIS ENRIQUE</t>
  </si>
  <si>
    <t>BOCANEGRA PALACIOS JOEL HANS</t>
  </si>
  <si>
    <t>BERMUDES BARAZORDA PABLO SMITH</t>
  </si>
  <si>
    <t>BARRIENTOS VALLADOLID MICHAEL ALEX</t>
  </si>
  <si>
    <t>BAUTISTA CASTILLO CHARLY NILTON</t>
  </si>
  <si>
    <t>BELTRAN CHICLAYO GIAN CARLOS MANUEL</t>
  </si>
  <si>
    <t>BENAVENTE RICHARD CYNTHIA KAREN</t>
  </si>
  <si>
    <t>BENDEZU SANTOS IVAN JHON</t>
  </si>
  <si>
    <t>BRAVO GOYZUETA JANET SOFIA</t>
  </si>
  <si>
    <t>BUJAICO MENDEZ EMERSON EVER</t>
  </si>
  <si>
    <t>CARRERA CHAMBA SANTOS ADALBERTO</t>
  </si>
  <si>
    <t>CANCHAYA FLORES HECTOR ANDERSON</t>
  </si>
  <si>
    <t>CAPCHA PRUDENCIO JORDAN ALVARO</t>
  </si>
  <si>
    <t>CAPCHA PRUDENCIO MILENA JANETH</t>
  </si>
  <si>
    <t>CAPRISTANO CHAVEZ HERIEN YOEL</t>
  </si>
  <si>
    <t>CARHUACHIN ZEVALLOS JULIO CESAR</t>
  </si>
  <si>
    <t>CANALES AGURTO MARIA FRANCISCA</t>
  </si>
  <si>
    <t>CABALLERO RODRIGUEZ GIANELLA NICOLE</t>
  </si>
  <si>
    <t>CAMPOS HUAYTA ERIKA ROSARIO</t>
  </si>
  <si>
    <t>CAMPO ROSALES SINDY GEMINIS</t>
  </si>
  <si>
    <t>CAMPOS HUAMAN SUSANA</t>
  </si>
  <si>
    <t>ALCARRAZ HUAMAN JADHIRA ARIEL</t>
  </si>
  <si>
    <t>ALTAMIRANO ROSAS CINTHYA PAMELA</t>
  </si>
  <si>
    <t>ALVAREZ ACHAMISO LUIS ISMAEL</t>
  </si>
  <si>
    <t>AMES MEDRANO GIGI FRANCHESCA</t>
  </si>
  <si>
    <t>ALEJO VALVERDE JUAN DE DIOS</t>
  </si>
  <si>
    <t>CASTILLO HUAMANI CYNTHIA NATALY</t>
  </si>
  <si>
    <t>AGREDA MELGAREJO EVA CLEMENTINA</t>
  </si>
  <si>
    <t>ADANAQUE VILCHEZ YESSICA PAOLA</t>
  </si>
  <si>
    <t>ALBERTO MEDINA JOSE MIGUEL</t>
  </si>
  <si>
    <t>AGUIRRE AMARINGO GARY KENT</t>
  </si>
  <si>
    <t>ANDAHUA DE LA CRUZ ISABEL</t>
  </si>
  <si>
    <t>ANTAURCO MENESES NANCY</t>
  </si>
  <si>
    <t>ANTON FIESTAS ALVA DANIELA VIRGINIA</t>
  </si>
  <si>
    <t>AYMA HUAMAN JUAN RICARDO</t>
  </si>
  <si>
    <t>ANTONIO SIGUEÑAS DAVID ELIAS</t>
  </si>
  <si>
    <t>APAZA ZEVALLOS JESSICA GERALDIN</t>
  </si>
  <si>
    <t>APOLINARIO MALARIN DIANA CAROLINA</t>
  </si>
  <si>
    <t>AYQUIPA VENTURA HUMBERTO</t>
  </si>
  <si>
    <t>CASIMIRO ROJAS YULY SANDRA</t>
  </si>
  <si>
    <t>CARRERA CHAMBA SEGUNDO LINO</t>
  </si>
  <si>
    <t>CASTELLO BARRENECHEA PATRICIA ALESSANDRA</t>
  </si>
  <si>
    <t>40628595</t>
  </si>
  <si>
    <t>42050527</t>
  </si>
  <si>
    <t>42443628</t>
  </si>
  <si>
    <t>75005471</t>
  </si>
  <si>
    <t>46885196</t>
  </si>
  <si>
    <t>41199499</t>
  </si>
  <si>
    <t>47807482</t>
  </si>
  <si>
    <t>44480318</t>
  </si>
  <si>
    <t>41543661</t>
  </si>
  <si>
    <t>75432931</t>
  </si>
  <si>
    <t>71835006</t>
  </si>
  <si>
    <t>76635136</t>
  </si>
  <si>
    <t>47655505</t>
  </si>
  <si>
    <t>10230447</t>
  </si>
  <si>
    <t>77364000</t>
  </si>
  <si>
    <t>22290603</t>
  </si>
  <si>
    <t>60861270</t>
  </si>
  <si>
    <t>40557948</t>
  </si>
  <si>
    <t>72799532</t>
  </si>
  <si>
    <t>76179294</t>
  </si>
  <si>
    <t>07446365</t>
  </si>
  <si>
    <t>47252942</t>
  </si>
  <si>
    <t>72196907</t>
  </si>
  <si>
    <t>46658605</t>
  </si>
  <si>
    <t>48053736</t>
  </si>
  <si>
    <t>72958987</t>
  </si>
  <si>
    <t>75485883</t>
  </si>
  <si>
    <t>44858853</t>
  </si>
  <si>
    <t>46230193</t>
  </si>
  <si>
    <t>77538261</t>
  </si>
  <si>
    <t>46070873</t>
  </si>
  <si>
    <t>76678783</t>
  </si>
  <si>
    <t>48500183</t>
  </si>
  <si>
    <t>48273249</t>
  </si>
  <si>
    <t>20891889</t>
  </si>
  <si>
    <t>70092144</t>
  </si>
  <si>
    <t>45129865</t>
  </si>
  <si>
    <t>10620483</t>
  </si>
  <si>
    <t>76372190</t>
  </si>
  <si>
    <t>42058618</t>
  </si>
  <si>
    <t>47112805</t>
  </si>
  <si>
    <t>75999235</t>
  </si>
  <si>
    <t>77389663</t>
  </si>
  <si>
    <t>74595908</t>
  </si>
  <si>
    <t>43924530</t>
  </si>
  <si>
    <t>47542003</t>
  </si>
  <si>
    <t>75925221</t>
  </si>
  <si>
    <t>70669280</t>
  </si>
  <si>
    <t>75585359</t>
  </si>
  <si>
    <t>47711649</t>
  </si>
  <si>
    <t>43100477</t>
  </si>
  <si>
    <t>10194994</t>
  </si>
  <si>
    <t>74985949</t>
  </si>
  <si>
    <t>41283128</t>
  </si>
  <si>
    <t>46997054</t>
  </si>
  <si>
    <t>46386979</t>
  </si>
  <si>
    <t>42955926</t>
  </si>
  <si>
    <t>74564966</t>
  </si>
  <si>
    <t>47485649</t>
  </si>
  <si>
    <t>76357386</t>
  </si>
  <si>
    <t>44066831</t>
  </si>
  <si>
    <t>71171578</t>
  </si>
  <si>
    <t>46280945</t>
  </si>
  <si>
    <t>71962121</t>
  </si>
  <si>
    <t>43665981</t>
  </si>
  <si>
    <t>48205519</t>
  </si>
  <si>
    <t>73340123</t>
  </si>
  <si>
    <t>74440831</t>
  </si>
  <si>
    <t>47700561</t>
  </si>
  <si>
    <t>73012321</t>
  </si>
  <si>
    <t>48249216</t>
  </si>
  <si>
    <t>75171733</t>
  </si>
  <si>
    <t>48114913</t>
  </si>
  <si>
    <t>73035126</t>
  </si>
  <si>
    <t>70141341</t>
  </si>
  <si>
    <t>48459900</t>
  </si>
  <si>
    <t>42913143</t>
  </si>
  <si>
    <t>72885423</t>
  </si>
  <si>
    <t>43135546</t>
  </si>
  <si>
    <t>76407966</t>
  </si>
  <si>
    <t>44594552</t>
  </si>
  <si>
    <t>74733656</t>
  </si>
  <si>
    <t>70897760</t>
  </si>
  <si>
    <t>47059163</t>
  </si>
  <si>
    <t>43692640</t>
  </si>
  <si>
    <t>44263866</t>
  </si>
  <si>
    <t>42963572</t>
  </si>
  <si>
    <t>71397385</t>
  </si>
  <si>
    <t>75239036</t>
  </si>
  <si>
    <t>09940945</t>
  </si>
  <si>
    <t>76234835</t>
  </si>
  <si>
    <t>44457193</t>
  </si>
  <si>
    <t>72197583</t>
  </si>
  <si>
    <t>72629263</t>
  </si>
  <si>
    <t>70066031</t>
  </si>
  <si>
    <t>43279613</t>
  </si>
  <si>
    <t>73791391</t>
  </si>
  <si>
    <t>75326347</t>
  </si>
  <si>
    <t>70562571</t>
  </si>
  <si>
    <t>71258738</t>
  </si>
  <si>
    <t>10599615</t>
  </si>
  <si>
    <t>23933929</t>
  </si>
  <si>
    <t>20899674</t>
  </si>
  <si>
    <t>10247492</t>
  </si>
  <si>
    <t>41199706</t>
  </si>
  <si>
    <t>76582129</t>
  </si>
  <si>
    <t>41869782</t>
  </si>
  <si>
    <t>70528915</t>
  </si>
  <si>
    <t>70546290</t>
  </si>
  <si>
    <t>43231099</t>
  </si>
  <si>
    <t>09456747</t>
  </si>
  <si>
    <t>72898197</t>
  </si>
  <si>
    <t>72380572</t>
  </si>
  <si>
    <t>47769134</t>
  </si>
  <si>
    <t>48168428</t>
  </si>
  <si>
    <t>75483070</t>
  </si>
  <si>
    <t>74464906</t>
  </si>
  <si>
    <t>45152881</t>
  </si>
  <si>
    <t>46237796</t>
  </si>
  <si>
    <t>40477533</t>
  </si>
  <si>
    <t>76958693</t>
  </si>
  <si>
    <t>73942926</t>
  </si>
  <si>
    <t>75803434</t>
  </si>
  <si>
    <t>43621376</t>
  </si>
  <si>
    <t>46086076</t>
  </si>
  <si>
    <t>44615021</t>
  </si>
  <si>
    <t>44182819</t>
  </si>
  <si>
    <t>70997012</t>
  </si>
  <si>
    <t>71289766</t>
  </si>
  <si>
    <t>42656366</t>
  </si>
  <si>
    <t>70987497</t>
  </si>
  <si>
    <t>77774723</t>
  </si>
  <si>
    <t>45649112</t>
  </si>
  <si>
    <t>75966109</t>
  </si>
  <si>
    <t>70584027</t>
  </si>
  <si>
    <t>75653817</t>
  </si>
  <si>
    <t>47158290</t>
  </si>
  <si>
    <t>10763041</t>
  </si>
  <si>
    <t>44872400</t>
  </si>
  <si>
    <t>47545851</t>
  </si>
  <si>
    <t>47844883</t>
  </si>
  <si>
    <t>76096996</t>
  </si>
  <si>
    <t>76577728</t>
  </si>
  <si>
    <t>73799406</t>
  </si>
  <si>
    <t>47989004</t>
  </si>
  <si>
    <t>46236109</t>
  </si>
  <si>
    <t>45909900</t>
  </si>
  <si>
    <t>73456462</t>
  </si>
  <si>
    <t>47177998</t>
  </si>
  <si>
    <t>42686365</t>
  </si>
  <si>
    <t>76137546</t>
  </si>
  <si>
    <t>70088417</t>
  </si>
  <si>
    <t>48329216</t>
  </si>
  <si>
    <t>62063074</t>
  </si>
  <si>
    <t>45060016</t>
  </si>
  <si>
    <t>10684227</t>
  </si>
  <si>
    <t>60275326</t>
  </si>
  <si>
    <t>45264946</t>
  </si>
  <si>
    <t>71311848</t>
  </si>
  <si>
    <t>70468176</t>
  </si>
  <si>
    <t>76961699</t>
  </si>
  <si>
    <t>77382167</t>
  </si>
  <si>
    <t>74051214</t>
  </si>
  <si>
    <t>41500229</t>
  </si>
  <si>
    <t>71429091</t>
  </si>
  <si>
    <t>47140139</t>
  </si>
  <si>
    <t>44947597</t>
  </si>
  <si>
    <t>77069067</t>
  </si>
  <si>
    <t>71467566</t>
  </si>
  <si>
    <t>78632606</t>
  </si>
  <si>
    <t>42144109</t>
  </si>
  <si>
    <t>47425728</t>
  </si>
  <si>
    <t>41003980</t>
  </si>
  <si>
    <t>71594915</t>
  </si>
  <si>
    <t>46934889</t>
  </si>
  <si>
    <t>44033703</t>
  </si>
  <si>
    <t>79054187</t>
  </si>
  <si>
    <t>10706448</t>
  </si>
  <si>
    <t>47075626</t>
  </si>
  <si>
    <t>20902314</t>
  </si>
  <si>
    <t>73062304</t>
  </si>
  <si>
    <t>44996271</t>
  </si>
  <si>
    <t>70755748</t>
  </si>
  <si>
    <t>46252452</t>
  </si>
  <si>
    <t>75187425</t>
  </si>
  <si>
    <t>47871483</t>
  </si>
  <si>
    <t>76808555</t>
  </si>
  <si>
    <t>03379230</t>
  </si>
  <si>
    <t>45181354</t>
  </si>
  <si>
    <t>44674204</t>
  </si>
  <si>
    <t>40981787</t>
  </si>
  <si>
    <t>72488698</t>
  </si>
  <si>
    <t>46520182</t>
  </si>
  <si>
    <t>46631370</t>
  </si>
  <si>
    <t>48476537</t>
  </si>
  <si>
    <t>78107236</t>
  </si>
  <si>
    <t>70093902</t>
  </si>
  <si>
    <t>40422176</t>
  </si>
  <si>
    <t>73780598</t>
  </si>
  <si>
    <t>90300483</t>
  </si>
  <si>
    <t>76176332</t>
  </si>
  <si>
    <t>VENTAS</t>
  </si>
  <si>
    <t>SUPERVISOR DE VENTAS</t>
  </si>
  <si>
    <t>ASISTENTE DE VENTAS</t>
  </si>
  <si>
    <t>VENDEDOR</t>
  </si>
  <si>
    <t>JEFE DE TRADE MARKETING</t>
  </si>
  <si>
    <t>JEFE DE VENTAS</t>
  </si>
  <si>
    <t>JEFE DE ADMINISTRACION</t>
  </si>
  <si>
    <t>SUB GERENTE</t>
  </si>
  <si>
    <t>GERENTE DE OPERACIONES</t>
  </si>
  <si>
    <t>GUARDIANIA</t>
  </si>
  <si>
    <t>GUZMAN ASUNCION JUSTIN ALEXANDER</t>
  </si>
  <si>
    <t>MENDOZA VILLACRESIS EDUARDO</t>
  </si>
  <si>
    <t>61009599</t>
  </si>
  <si>
    <t>24/06/2026</t>
  </si>
  <si>
    <t>PRE-OCUPACIONAL</t>
  </si>
  <si>
    <t>21/02/2026</t>
  </si>
  <si>
    <t>24/02/2026</t>
  </si>
  <si>
    <t>21/10/2026</t>
  </si>
  <si>
    <t>27/06/2026</t>
  </si>
  <si>
    <t>29/04/2026</t>
  </si>
  <si>
    <t>17/03/2026</t>
  </si>
  <si>
    <t>17/01/2026</t>
  </si>
  <si>
    <t>15/11/2026</t>
  </si>
  <si>
    <t>28/02/2026</t>
  </si>
  <si>
    <t>20/11/2026</t>
  </si>
  <si>
    <t>23/05/2026</t>
  </si>
  <si>
    <t>27/04/2026</t>
  </si>
  <si>
    <t>28/06/2026</t>
  </si>
  <si>
    <t>20/03/2026</t>
  </si>
  <si>
    <t>18/10/2026</t>
  </si>
  <si>
    <t>28/08/2026</t>
  </si>
  <si>
    <t>21/11/2026</t>
  </si>
  <si>
    <t>24/09/2026</t>
  </si>
  <si>
    <t>22/12/2026</t>
  </si>
  <si>
    <t>16/09/2026</t>
  </si>
  <si>
    <t>13/06/2026</t>
  </si>
  <si>
    <t>24/12/2026</t>
  </si>
  <si>
    <t>30/04/2026</t>
  </si>
  <si>
    <t>25/06/2026</t>
  </si>
  <si>
    <t>29/01/2026</t>
  </si>
  <si>
    <t>18/11/2026</t>
  </si>
  <si>
    <t>21/12/2026</t>
  </si>
  <si>
    <t>15/04/2026</t>
  </si>
  <si>
    <t>16/01/2026</t>
  </si>
  <si>
    <t>24/10/2026</t>
  </si>
  <si>
    <t>26/06/2026</t>
  </si>
  <si>
    <t>26/05/2026</t>
  </si>
  <si>
    <t>21/03/2026</t>
  </si>
  <si>
    <t>19/09/2026</t>
  </si>
  <si>
    <t>14/11/2026</t>
  </si>
  <si>
    <t>27/01/2026</t>
  </si>
  <si>
    <t>25/07/2026</t>
  </si>
  <si>
    <t>22/10/2026</t>
  </si>
  <si>
    <t>26/04/2026</t>
  </si>
  <si>
    <t>24/05/2026</t>
  </si>
  <si>
    <t>14/06/2026</t>
  </si>
  <si>
    <t>19/11/2026</t>
  </si>
  <si>
    <t>28/04/2026</t>
  </si>
  <si>
    <t>16/04/2026</t>
  </si>
  <si>
    <t>30/01/2026</t>
  </si>
  <si>
    <t>25/02/2026</t>
  </si>
  <si>
    <t>17/10/2026</t>
  </si>
  <si>
    <t>25/04/2026</t>
  </si>
  <si>
    <t>22/07/2026</t>
  </si>
  <si>
    <t>24/01/2026</t>
  </si>
  <si>
    <t>19/02/2026</t>
  </si>
  <si>
    <t>20/12/2026</t>
  </si>
  <si>
    <t>20/01/2026</t>
  </si>
  <si>
    <t>20/09/2026</t>
  </si>
  <si>
    <t>16/03/2026</t>
  </si>
  <si>
    <t>29/03/2026</t>
  </si>
  <si>
    <t>15/10/2026</t>
  </si>
  <si>
    <t>13/09/2026</t>
  </si>
  <si>
    <t>16/10/2026</t>
  </si>
  <si>
    <t>30/12/2026</t>
  </si>
  <si>
    <t>22/09/2026</t>
  </si>
  <si>
    <t>31/08/2026</t>
  </si>
  <si>
    <t>27/12/2026</t>
  </si>
  <si>
    <t>31/01/2026</t>
  </si>
  <si>
    <t>25/10/2026</t>
  </si>
  <si>
    <t>15/08/2026</t>
  </si>
  <si>
    <t>21/09/2026</t>
  </si>
  <si>
    <t>19/07/2026</t>
  </si>
  <si>
    <t>16/06/2026</t>
  </si>
  <si>
    <t>13/11/2026</t>
  </si>
  <si>
    <t>23/01/2026</t>
  </si>
  <si>
    <t>14/08/2026</t>
  </si>
  <si>
    <t>17/07/2026</t>
  </si>
  <si>
    <t>15/09/2026</t>
  </si>
  <si>
    <t>22/02/2026</t>
  </si>
  <si>
    <t>24/08/2026</t>
  </si>
  <si>
    <t>20/07/2026</t>
  </si>
  <si>
    <t>29/09/2026</t>
  </si>
  <si>
    <t>19/01/2026</t>
  </si>
  <si>
    <t>19/06/2026</t>
  </si>
  <si>
    <t>31/05/2026</t>
  </si>
  <si>
    <t>25/05/2026</t>
  </si>
  <si>
    <t>23/02/2026</t>
  </si>
  <si>
    <t>13/03/2026</t>
  </si>
  <si>
    <t>14/10/2026</t>
  </si>
  <si>
    <t>30/10/2026</t>
  </si>
  <si>
    <t>18/07/2026</t>
  </si>
  <si>
    <t>18/03/2026</t>
  </si>
  <si>
    <t>18/02/2026</t>
  </si>
  <si>
    <t>20/06/2026</t>
  </si>
  <si>
    <t>27/08/2026</t>
  </si>
  <si>
    <t>24/07/2026</t>
  </si>
  <si>
    <t>23/12/2026</t>
  </si>
  <si>
    <t>20/04/2026</t>
  </si>
  <si>
    <t>17/06/2026</t>
  </si>
  <si>
    <t>26/12/2026</t>
  </si>
  <si>
    <t>18/09/2026</t>
  </si>
  <si>
    <t>25/01/2026</t>
  </si>
  <si>
    <t>23/08/2026</t>
  </si>
  <si>
    <t>19/03/2026</t>
  </si>
  <si>
    <t>15/07/2026</t>
  </si>
  <si>
    <t>22/11/2026</t>
  </si>
  <si>
    <t>18/06/2026</t>
  </si>
  <si>
    <t>21/08/2026</t>
  </si>
  <si>
    <t>30/09/2026</t>
  </si>
  <si>
    <t>21/05/2026</t>
  </si>
  <si>
    <t>27/05/2026</t>
  </si>
  <si>
    <t>21/01/2026</t>
  </si>
  <si>
    <t>24/04/2026</t>
  </si>
  <si>
    <t>23/09/2026</t>
  </si>
  <si>
    <t>26/02/2026</t>
  </si>
  <si>
    <t>27/02/2026</t>
  </si>
  <si>
    <t>22/01/2026</t>
  </si>
  <si>
    <t>25/11/2026</t>
  </si>
  <si>
    <t>No Apto</t>
  </si>
  <si>
    <t>AUDITIVO</t>
  </si>
  <si>
    <t>Pre-Ocupacional</t>
  </si>
  <si>
    <t>Ocupacional</t>
  </si>
  <si>
    <t>SI</t>
  </si>
  <si>
    <t>31/11/24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</si>
</sst>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\y\y\y\y"/>
    <numFmt numFmtId="165" formatCode="dd/mm/yyyy;@"/>
    <numFmt numFmtId="166" formatCode="00000000"/>
    <numFmt numFmtId="167" formatCode="d/m/yyyy"/>
    <numFmt numFmtId="168" formatCode="[$-10491]dd/mm/yyyy;@"/>
    <numFmt numFmtId="169" formatCode="yyyy\-mm\-dd;@"/>
  </numFmts>
  <fonts count="19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4"/>
      <color theme="1"/>
      <name val="Calibri"/>
      <family val="2"/>
    </font>
    <font>
      <b/>
      <sz val="9"/>
      <color theme="1"/>
      <name val="Calibri"/>
      <family val="2"/>
    </font>
    <font>
      <sz val="11"/>
      <color theme="1"/>
      <name val="Biome Light"/>
      <family val="2"/>
    </font>
    <font>
      <b/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C5C4C6"/>
        <bgColor rgb="FFC5C4C6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mediumGray">
        <fgColor theme="4" tint="-0.499984740745262"/>
        <bgColor theme="4" tint="-0.24994659260841701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/>
      <diagonal/>
    </border>
    <border>
      <left style="thin">
        <color theme="3" tint="0.39997558519241921"/>
      </left>
      <right style="thin">
        <color theme="3" tint="0.39997558519241921"/>
      </right>
      <top/>
      <bottom style="thin">
        <color theme="3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4" fillId="2" borderId="0"/>
    <xf numFmtId="0" fontId="2" fillId="0" borderId="0">
      <alignment horizontal="center" vertical="top"/>
    </xf>
    <xf numFmtId="0" fontId="9" fillId="4" borderId="0" applyNumberFormat="0" applyBorder="0" applyAlignment="0" applyProtection="0"/>
    <xf numFmtId="0" fontId="4" fillId="5" borderId="0" applyNumberFormat="0" applyBorder="0" applyAlignment="0" applyProtection="0"/>
    <xf numFmtId="0" fontId="9" fillId="7" borderId="0" applyNumberFormat="0" applyBorder="0" applyAlignment="0" applyProtection="0"/>
    <xf numFmtId="0" fontId="4" fillId="8" borderId="0" applyNumberFormat="0" applyBorder="0" applyAlignment="0" applyProtection="0"/>
    <xf numFmtId="0" fontId="9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9" fontId="4" fillId="0" borderId="0" applyFont="0" applyFill="0" applyBorder="0" applyAlignment="0" applyProtection="0"/>
  </cellStyleXfs>
  <cellXfs count="194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49" fontId="4" fillId="2" borderId="0" xfId="1" applyNumberForma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 wrapText="1"/>
    </xf>
    <xf numFmtId="0" fontId="4" fillId="2" borderId="0" xfId="1" applyAlignment="1">
      <alignment horizontal="center" vertical="center"/>
    </xf>
    <xf numFmtId="49" fontId="4" fillId="2" borderId="0" xfId="1" applyNumberFormat="1" applyAlignment="1">
      <alignment vertical="center"/>
    </xf>
    <xf numFmtId="0" fontId="4" fillId="2" borderId="2" xfId="1" applyBorder="1" applyAlignment="1">
      <alignment vertical="center" wrapText="1"/>
    </xf>
    <xf numFmtId="0" fontId="4" fillId="2" borderId="0" xfId="1" applyAlignment="1">
      <alignment vertical="center" wrapText="1"/>
    </xf>
    <xf numFmtId="0" fontId="0" fillId="0" borderId="0" xfId="0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4" fillId="2" borderId="2" xfId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4" fontId="4" fillId="2" borderId="2" xfId="1" applyNumberForma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4" fillId="2" borderId="2" xfId="1" applyBorder="1" applyAlignment="1">
      <alignment horizontal="center" vertical="center"/>
    </xf>
    <xf numFmtId="49" fontId="4" fillId="2" borderId="2" xfId="1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 vertical="center" wrapText="1"/>
    </xf>
    <xf numFmtId="49" fontId="4" fillId="2" borderId="0" xfId="1" applyNumberFormat="1" applyAlignment="1">
      <alignment horizontal="center" vertical="center" wrapText="1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49" fontId="3" fillId="7" borderId="3" xfId="5" applyNumberFormat="1" applyFont="1" applyBorder="1" applyAlignment="1">
      <alignment horizontal="center" vertical="center" wrapText="1"/>
    </xf>
    <xf numFmtId="49" fontId="4" fillId="8" borderId="0" xfId="6" applyNumberFormat="1" applyAlignment="1">
      <alignment vertical="center"/>
    </xf>
    <xf numFmtId="49" fontId="0" fillId="0" borderId="0" xfId="0" applyNumberFormat="1" applyAlignment="1">
      <alignment horizontal="center" vertical="center" wrapText="1"/>
    </xf>
    <xf numFmtId="0" fontId="4" fillId="11" borderId="2" xfId="9" applyBorder="1" applyAlignment="1">
      <alignment vertical="center"/>
    </xf>
    <xf numFmtId="0" fontId="4" fillId="11" borderId="0" xfId="9" applyAlignment="1">
      <alignment vertical="center"/>
    </xf>
    <xf numFmtId="14" fontId="4" fillId="11" borderId="2" xfId="9" applyNumberFormat="1" applyBorder="1" applyAlignment="1">
      <alignment vertical="center"/>
    </xf>
    <xf numFmtId="14" fontId="0" fillId="0" borderId="0" xfId="0" applyNumberFormat="1" applyAlignment="1">
      <alignment vertical="center"/>
    </xf>
    <xf numFmtId="10" fontId="0" fillId="0" borderId="0" xfId="0" applyNumberFormat="1"/>
    <xf numFmtId="164" fontId="0" fillId="0" borderId="0" xfId="0" applyNumberFormat="1" applyAlignment="1">
      <alignment horizontal="center" vertical="center" wrapText="1"/>
    </xf>
    <xf numFmtId="0" fontId="4" fillId="11" borderId="0" xfId="9" applyAlignment="1">
      <alignment horizontal="center" vertical="center" wrapText="1"/>
    </xf>
    <xf numFmtId="49" fontId="9" fillId="7" borderId="1" xfId="5" applyNumberFormat="1" applyBorder="1" applyAlignment="1">
      <alignment horizontal="center" vertical="center" wrapText="1"/>
    </xf>
    <xf numFmtId="49" fontId="9" fillId="9" borderId="1" xfId="7" applyNumberFormat="1" applyBorder="1" applyAlignment="1">
      <alignment horizontal="center" vertical="center" wrapText="1"/>
    </xf>
    <xf numFmtId="49" fontId="4" fillId="10" borderId="4" xfId="8" applyNumberFormat="1" applyBorder="1" applyAlignment="1">
      <alignment horizontal="left" vertical="center"/>
    </xf>
    <xf numFmtId="49" fontId="4" fillId="8" borderId="0" xfId="6" applyNumberFormat="1" applyBorder="1" applyAlignment="1">
      <alignment horizontal="left" vertical="center"/>
    </xf>
    <xf numFmtId="0" fontId="4" fillId="11" borderId="2" xfId="9" applyNumberFormat="1" applyBorder="1" applyAlignment="1">
      <alignment horizontal="center" vertical="center"/>
    </xf>
    <xf numFmtId="0" fontId="4" fillId="11" borderId="0" xfId="9" applyBorder="1" applyAlignment="1">
      <alignment vertical="center"/>
    </xf>
    <xf numFmtId="49" fontId="1" fillId="0" borderId="3" xfId="0" applyNumberFormat="1" applyFont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9" xfId="0" applyBorder="1"/>
    <xf numFmtId="0" fontId="0" fillId="0" borderId="20" xfId="0" applyBorder="1" applyAlignment="1">
      <alignment horizontal="center" vertical="center"/>
    </xf>
    <xf numFmtId="0" fontId="0" fillId="0" borderId="24" xfId="0" applyBorder="1"/>
    <xf numFmtId="10" fontId="0" fillId="0" borderId="29" xfId="0" applyNumberFormat="1" applyBorder="1"/>
    <xf numFmtId="10" fontId="0" fillId="0" borderId="12" xfId="0" applyNumberFormat="1" applyBorder="1"/>
    <xf numFmtId="10" fontId="0" fillId="0" borderId="23" xfId="0" applyNumberFormat="1" applyBorder="1"/>
    <xf numFmtId="10" fontId="0" fillId="0" borderId="25" xfId="0" applyNumberFormat="1" applyBorder="1"/>
    <xf numFmtId="2" fontId="0" fillId="0" borderId="12" xfId="0" applyNumberFormat="1" applyBorder="1"/>
    <xf numFmtId="2" fontId="0" fillId="0" borderId="23" xfId="0" applyNumberFormat="1" applyBorder="1"/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0" fillId="0" borderId="20" xfId="0" applyBorder="1"/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49" fontId="10" fillId="12" borderId="1" xfId="0" applyNumberFormat="1" applyFont="1" applyFill="1" applyBorder="1" applyAlignment="1">
      <alignment horizontal="center" vertical="center" wrapText="1"/>
    </xf>
    <xf numFmtId="0" fontId="10" fillId="12" borderId="1" xfId="0" applyFont="1" applyFill="1" applyBorder="1" applyAlignment="1">
      <alignment horizontal="center" vertical="center" wrapText="1"/>
    </xf>
    <xf numFmtId="14" fontId="0" fillId="0" borderId="0" xfId="0" applyNumberFormat="1"/>
    <xf numFmtId="14" fontId="10" fillId="12" borderId="1" xfId="0" applyNumberFormat="1" applyFont="1" applyFill="1" applyBorder="1" applyAlignment="1">
      <alignment horizontal="center" vertical="center" wrapText="1"/>
    </xf>
    <xf numFmtId="0" fontId="4" fillId="13" borderId="0" xfId="4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20" xfId="0" applyNumberFormat="1" applyBorder="1" applyAlignment="1">
      <alignment horizontal="center" vertical="center"/>
    </xf>
    <xf numFmtId="0" fontId="0" fillId="0" borderId="33" xfId="0" applyBorder="1"/>
    <xf numFmtId="0" fontId="0" fillId="0" borderId="16" xfId="0" applyBorder="1"/>
    <xf numFmtId="0" fontId="0" fillId="0" borderId="42" xfId="0" applyBorder="1"/>
    <xf numFmtId="0" fontId="0" fillId="0" borderId="28" xfId="0" applyBorder="1"/>
    <xf numFmtId="9" fontId="0" fillId="0" borderId="0" xfId="0" applyNumberFormat="1" applyAlignment="1">
      <alignment horizontal="center" vertical="center"/>
    </xf>
    <xf numFmtId="0" fontId="6" fillId="3" borderId="43" xfId="0" applyFont="1" applyFill="1" applyBorder="1" applyAlignment="1">
      <alignment horizontal="center" vertical="center" wrapText="1"/>
    </xf>
    <xf numFmtId="9" fontId="0" fillId="0" borderId="0" xfId="10" applyFont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4" fontId="4" fillId="2" borderId="0" xfId="1" applyNumberFormat="1" applyAlignment="1">
      <alignment horizontal="center" vertical="center"/>
    </xf>
    <xf numFmtId="14" fontId="0" fillId="6" borderId="0" xfId="0" applyNumberFormat="1" applyFill="1" applyAlignment="1">
      <alignment horizontal="center"/>
    </xf>
    <xf numFmtId="165" fontId="4" fillId="2" borderId="0" xfId="1" applyNumberFormat="1" applyAlignment="1">
      <alignment horizontal="center" vertical="center"/>
    </xf>
    <xf numFmtId="165" fontId="4" fillId="11" borderId="0" xfId="9" applyNumberFormat="1" applyAlignment="1">
      <alignment horizontal="center" vertical="center" wrapText="1"/>
    </xf>
    <xf numFmtId="165" fontId="0" fillId="0" borderId="0" xfId="0" applyNumberFormat="1"/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31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7" fillId="0" borderId="0" xfId="0" applyFont="1"/>
    <xf numFmtId="9" fontId="6" fillId="3" borderId="11" xfId="0" applyNumberFormat="1" applyFont="1" applyFill="1" applyBorder="1" applyAlignment="1">
      <alignment horizontal="center" vertical="center" wrapText="1"/>
    </xf>
    <xf numFmtId="0" fontId="6" fillId="3" borderId="26" xfId="0" applyFont="1" applyFill="1" applyBorder="1" applyAlignment="1">
      <alignment horizontal="center" vertical="center" wrapText="1"/>
    </xf>
    <xf numFmtId="9" fontId="7" fillId="0" borderId="0" xfId="0" applyNumberFormat="1" applyFont="1"/>
    <xf numFmtId="0" fontId="6" fillId="3" borderId="11" xfId="0" applyFont="1" applyFill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" fontId="4" fillId="2" borderId="0" xfId="1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9" fillId="5" borderId="1" xfId="4" applyNumberFormat="1" applyFont="1" applyBorder="1" applyAlignment="1">
      <alignment horizontal="center" vertical="center"/>
    </xf>
    <xf numFmtId="2" fontId="1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" fontId="10" fillId="14" borderId="1" xfId="0" applyNumberFormat="1" applyFont="1" applyFill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0" fontId="9" fillId="5" borderId="3" xfId="4" applyFont="1" applyBorder="1" applyAlignment="1">
      <alignment horizontal="center" vertical="center"/>
    </xf>
    <xf numFmtId="0" fontId="9" fillId="5" borderId="3" xfId="4" applyNumberFormat="1" applyFont="1" applyBorder="1" applyAlignment="1">
      <alignment horizontal="center" vertical="center"/>
    </xf>
    <xf numFmtId="0" fontId="9" fillId="4" borderId="3" xfId="3" applyBorder="1" applyAlignment="1">
      <alignment horizontal="center" vertical="center"/>
    </xf>
    <xf numFmtId="0" fontId="9" fillId="4" borderId="1" xfId="3" applyBorder="1" applyAlignment="1">
      <alignment horizontal="center" vertical="center"/>
    </xf>
    <xf numFmtId="49" fontId="9" fillId="4" borderId="3" xfId="3" applyNumberFormat="1" applyBorder="1" applyAlignment="1">
      <alignment horizontal="center" vertical="center"/>
    </xf>
    <xf numFmtId="49" fontId="9" fillId="7" borderId="3" xfId="5" applyNumberFormat="1" applyBorder="1" applyAlignment="1">
      <alignment horizontal="center" vertical="center"/>
    </xf>
    <xf numFmtId="0" fontId="9" fillId="4" borderId="3" xfId="3" applyNumberFormat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 wrapText="1"/>
    </xf>
    <xf numFmtId="10" fontId="0" fillId="0" borderId="44" xfId="0" applyNumberFormat="1" applyBorder="1" applyAlignment="1">
      <alignment horizontal="center" vertical="center"/>
    </xf>
    <xf numFmtId="0" fontId="0" fillId="6" borderId="0" xfId="0" applyFill="1" applyAlignment="1">
      <alignment horizontal="center" wrapText="1"/>
    </xf>
    <xf numFmtId="166" fontId="0" fillId="6" borderId="0" xfId="0" applyNumberFormat="1" applyFill="1" applyAlignment="1">
      <alignment horizontal="center"/>
    </xf>
    <xf numFmtId="0" fontId="4" fillId="2" borderId="0" xfId="1" applyAlignment="1">
      <alignment horizontal="left" vertical="center" wrapText="1"/>
    </xf>
    <xf numFmtId="14" fontId="15" fillId="15" borderId="0" xfId="1" applyNumberFormat="1" applyFont="1" applyFill="1" applyAlignment="1">
      <alignment horizontal="center" vertical="center"/>
    </xf>
    <xf numFmtId="2" fontId="0" fillId="0" borderId="25" xfId="0" applyNumberFormat="1" applyBorder="1"/>
    <xf numFmtId="167" fontId="4" fillId="2" borderId="0" xfId="1" applyNumberFormat="1" applyAlignment="1">
      <alignment horizontal="center" vertical="center"/>
    </xf>
    <xf numFmtId="0" fontId="16" fillId="0" borderId="3" xfId="4" applyNumberFormat="1" applyFont="1" applyFill="1" applyBorder="1" applyAlignment="1">
      <alignment horizontal="center" vertical="center"/>
    </xf>
    <xf numFmtId="168" fontId="0" fillId="6" borderId="0" xfId="0" applyNumberFormat="1" applyFill="1"/>
    <xf numFmtId="14" fontId="16" fillId="0" borderId="0" xfId="0" applyNumberFormat="1" applyFont="1" applyAlignment="1">
      <alignment horizontal="center" vertical="center"/>
    </xf>
    <xf numFmtId="49" fontId="9" fillId="4" borderId="1" xfId="3" applyNumberFormat="1" applyBorder="1" applyAlignment="1">
      <alignment horizontal="center" vertical="center" wrapText="1"/>
    </xf>
    <xf numFmtId="49" fontId="9" fillId="4" borderId="3" xfId="3" applyNumberForma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4" fillId="2" borderId="0" xfId="1" applyAlignment="1">
      <alignment horizontal="left" vertical="center"/>
    </xf>
    <xf numFmtId="0" fontId="3" fillId="2" borderId="0" xfId="1" applyFont="1" applyAlignment="1">
      <alignment horizontal="left" vertical="center"/>
    </xf>
    <xf numFmtId="0" fontId="16" fillId="0" borderId="0" xfId="1" applyFont="1" applyFill="1" applyAlignment="1">
      <alignment horizontal="center" vertical="center"/>
    </xf>
    <xf numFmtId="165" fontId="3" fillId="2" borderId="0" xfId="1" applyNumberFormat="1" applyFont="1" applyAlignment="1">
      <alignment horizontal="center" vertical="center"/>
    </xf>
    <xf numFmtId="49" fontId="17" fillId="0" borderId="1" xfId="0" applyNumberFormat="1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14" fontId="3" fillId="2" borderId="0" xfId="1" applyNumberFormat="1" applyFont="1" applyAlignment="1">
      <alignment horizontal="center" vertical="center"/>
    </xf>
    <xf numFmtId="0" fontId="13" fillId="2" borderId="0" xfId="1" applyFont="1" applyAlignment="1">
      <alignment horizontal="center" vertical="center"/>
    </xf>
    <xf numFmtId="165" fontId="4" fillId="2" borderId="0" xfId="1" applyNumberForma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14" fontId="16" fillId="0" borderId="0" xfId="1" applyNumberFormat="1" applyFont="1" applyFill="1" applyAlignment="1">
      <alignment horizontal="center" vertical="center"/>
    </xf>
    <xf numFmtId="14" fontId="18" fillId="0" borderId="41" xfId="0" applyNumberFormat="1" applyFont="1" applyBorder="1" applyAlignment="1">
      <alignment horizontal="center" vertical="center"/>
    </xf>
    <xf numFmtId="169" fontId="4" fillId="2" borderId="0" xfId="1" applyNumberFormat="1" applyAlignment="1">
      <alignment horizontal="center" vertical="center"/>
    </xf>
    <xf numFmtId="0" fontId="6" fillId="3" borderId="18" xfId="0" applyFont="1" applyFill="1" applyBorder="1" applyAlignment="1">
      <alignment horizontal="center" vertical="center" wrapText="1"/>
    </xf>
    <xf numFmtId="0" fontId="6" fillId="3" borderId="20" xfId="0" applyFont="1" applyFill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left" vertical="center" wrapText="1"/>
    </xf>
    <xf numFmtId="0" fontId="6" fillId="3" borderId="17" xfId="0" applyFont="1" applyFill="1" applyBorder="1" applyAlignment="1">
      <alignment horizontal="left" vertical="center" wrapText="1"/>
    </xf>
    <xf numFmtId="14" fontId="5" fillId="3" borderId="15" xfId="0" applyNumberFormat="1" applyFont="1" applyFill="1" applyBorder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/>
    </xf>
    <xf numFmtId="49" fontId="7" fillId="0" borderId="1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6" fillId="0" borderId="16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6" fillId="0" borderId="14" xfId="0" applyNumberFormat="1" applyFont="1" applyBorder="1" applyAlignment="1">
      <alignment horizontal="center" vertical="center" wrapText="1"/>
    </xf>
    <xf numFmtId="14" fontId="0" fillId="0" borderId="12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13" xfId="0" applyNumberFormat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0" borderId="11" xfId="0" applyFont="1" applyBorder="1" applyAlignment="1">
      <alignment horizontal="center" vertical="center" wrapText="1"/>
    </xf>
    <xf numFmtId="0" fontId="0" fillId="0" borderId="10" xfId="0" applyBorder="1"/>
    <xf numFmtId="0" fontId="0" fillId="0" borderId="8" xfId="0" applyBorder="1" applyAlignment="1">
      <alignment horizontal="center"/>
    </xf>
    <xf numFmtId="0" fontId="0" fillId="0" borderId="0" xfId="0"/>
    <xf numFmtId="0" fontId="7" fillId="0" borderId="14" xfId="0" applyFont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16" fillId="0" borderId="0" xfId="0" applyFont="1" applyFill="1" applyAlignment="1">
      <alignment horizontal="center"/>
    </xf>
    <xf numFmtId="0" fontId="16" fillId="0" borderId="0" xfId="0" applyFont="1" applyFill="1"/>
  </cellXfs>
  <cellStyles count="11">
    <cellStyle name="40% - Énfasis1" xfId="1" builtinId="31"/>
    <cellStyle name="40% - Énfasis2" xfId="6" builtinId="35"/>
    <cellStyle name="40% - Énfasis4" xfId="8" builtinId="43"/>
    <cellStyle name="60% - Énfasis1" xfId="9" builtinId="32"/>
    <cellStyle name="60% - Énfasis2" xfId="4" builtinId="36"/>
    <cellStyle name="Énfasis1" xfId="3" builtinId="29"/>
    <cellStyle name="Énfasis2" xfId="5" builtinId="33"/>
    <cellStyle name="Énfasis4" xfId="7" builtinId="41"/>
    <cellStyle name="Estilo 1" xfId="2" xr:uid="{00000000-0005-0000-0000-000002000000}"/>
    <cellStyle name="Normal" xfId="0" builtinId="0"/>
    <cellStyle name="Porcentaje" xfId="10" builtinId="5"/>
  </cellStyles>
  <dxfs count="20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vertical="center" wrapText="1"/>
    </dxf>
    <dxf>
      <alignment horizontal="center" vertical="center"/>
    </dxf>
    <dxf>
      <numFmt numFmtId="30" formatCode="@"/>
      <alignment vertical="center"/>
    </dxf>
    <dxf>
      <numFmt numFmtId="0" formatCode="General"/>
      <alignment horizontal="center" vertical="center"/>
    </dxf>
    <dxf>
      <numFmt numFmtId="0" formatCode="General"/>
      <alignment horizontal="center" vertical="center"/>
    </dxf>
    <dxf>
      <alignment vertical="center"/>
    </dxf>
    <dxf>
      <alignment vertical="center"/>
    </dxf>
    <dxf>
      <border>
        <bottom style="thin">
          <color theme="3" tint="0.39997558519241921"/>
        </bottom>
      </border>
    </dxf>
    <dxf>
      <alignment vertical="center"/>
      <border>
        <left style="thin">
          <color theme="3" tint="0.39997558519241921"/>
        </left>
        <right style="thin">
          <color theme="3" tint="0.39997558519241921"/>
        </right>
        <top/>
        <bottom/>
        <vertical style="thin">
          <color theme="3" tint="0.39997558519241921"/>
        </vertical>
        <horizontal style="thin">
          <color theme="3" tint="0.39997558519241921"/>
        </horizontal>
      </border>
    </dxf>
    <dxf>
      <alignment vertical="center"/>
    </dxf>
    <dxf>
      <alignment vertical="center"/>
    </dxf>
    <dxf>
      <numFmt numFmtId="19" formatCode="dd/mm/yyyy"/>
      <alignment vertical="center"/>
    </dxf>
    <dxf>
      <numFmt numFmtId="19" formatCode="dd/mm/yyyy"/>
      <alignment vertical="center"/>
    </dxf>
    <dxf>
      <alignment vertical="center"/>
      <border outline="0">
        <left/>
        <right/>
        <top style="thin">
          <color theme="3" tint="0.39997558519241921"/>
        </top>
        <bottom/>
      </border>
    </dxf>
    <dxf>
      <alignment vertical="center"/>
    </dxf>
    <dxf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  <border outline="0">
        <left/>
        <right/>
        <top style="thin">
          <color theme="3" tint="0.39997558519241921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3" tint="0.39997558519241921"/>
        </top>
        <bottom/>
        <vertical/>
        <horizontal/>
      </border>
    </dxf>
    <dxf>
      <alignment vertical="center"/>
    </dxf>
    <dxf>
      <alignment vertical="center"/>
    </dxf>
    <dxf>
      <border>
        <bottom style="thin">
          <color theme="3" tint="0.39997558519241921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outline="0">
        <left style="thin">
          <color theme="3" tint="0.39997558519241921"/>
        </left>
        <right style="thin">
          <color theme="3" tint="0.39997558519241921"/>
        </right>
        <top/>
        <bottom/>
      </border>
    </dxf>
    <dxf>
      <numFmt numFmtId="168" formatCode="[$-10491]dd/mm/yyyy;@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numFmt numFmtId="166" formatCode="00000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/>
    </dxf>
    <dxf>
      <alignment horizontal="center" vertical="center"/>
    </dxf>
    <dxf>
      <numFmt numFmtId="0" formatCode="General"/>
      <alignment horizontal="center" vertical="center"/>
    </dxf>
    <dxf>
      <numFmt numFmtId="30" formatCode="@"/>
      <alignment horizontal="center" vertical="center"/>
      <border outline="0">
        <left/>
        <right/>
        <top style="thin">
          <color theme="3" tint="0.39997558519241921"/>
        </top>
        <bottom/>
      </border>
    </dxf>
    <dxf>
      <numFmt numFmtId="0" formatCode="General"/>
      <alignment horizontal="center" vertical="center"/>
    </dxf>
    <dxf>
      <alignment vertical="center"/>
    </dxf>
    <dxf>
      <alignment vertical="center"/>
    </dxf>
    <dxf>
      <border>
        <bottom style="thin">
          <color rgb="FF538DD5"/>
        </bottom>
      </border>
    </dxf>
    <dxf>
      <alignment vertical="center"/>
      <border outline="0">
        <left style="thin">
          <color theme="3" tint="0.39997558519241921"/>
        </left>
        <right style="thin">
          <color theme="3" tint="0.39997558519241921"/>
        </right>
        <top/>
        <bottom/>
      </border>
    </dxf>
    <dxf>
      <numFmt numFmtId="165" formatCode="dd/mm/yyyy;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/>
    </dxf>
    <dxf>
      <numFmt numFmtId="30" formatCode="@"/>
      <alignment horizontal="center" vertical="center"/>
    </dxf>
    <dxf>
      <alignment horizontal="center" vertical="center"/>
    </dxf>
    <dxf>
      <numFmt numFmtId="30" formatCode="@"/>
      <alignment horizontal="center" vertical="center"/>
    </dxf>
    <dxf>
      <numFmt numFmtId="30" formatCode="@"/>
      <alignment horizontal="center" vertical="center"/>
    </dxf>
    <dxf>
      <numFmt numFmtId="30" formatCode="@"/>
      <alignment horizontal="left" vertical="center"/>
    </dxf>
    <dxf>
      <numFmt numFmtId="30" formatCode="@"/>
      <alignment horizontal="left" vertical="center"/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/>
    </dxf>
    <dxf>
      <numFmt numFmtId="30" formatCode="@"/>
      <alignment horizontal="center" vertical="center"/>
    </dxf>
    <dxf>
      <numFmt numFmtId="0" formatCode="General"/>
      <alignment horizontal="center" vertical="center"/>
    </dxf>
    <dxf>
      <numFmt numFmtId="30" formatCode="@"/>
      <alignment horizontal="center" vertical="center"/>
    </dxf>
    <dxf>
      <numFmt numFmtId="0" formatCode="General"/>
      <alignment horizontal="center" vertical="center"/>
    </dxf>
    <dxf>
      <alignment horizontal="center" vertical="center"/>
    </dxf>
    <dxf>
      <alignment horizontal="center" vertical="center"/>
    </dxf>
    <dxf>
      <border>
        <bottom style="thin">
          <color theme="3" tint="0.39997558519241921"/>
        </bottom>
      </border>
    </dxf>
    <dxf>
      <alignment horizontal="center" vertical="center"/>
      <border outline="0">
        <left style="thin">
          <color theme="3" tint="0.39997558519241921"/>
        </left>
        <right style="thin">
          <color theme="3" tint="0.39997558519241921"/>
        </right>
        <top/>
        <bottom/>
      </border>
    </dxf>
    <dxf>
      <alignment horizontal="general" vertical="center" wrapText="1"/>
    </dxf>
    <dxf>
      <alignment horizontal="center" vertical="center" wrapText="1"/>
    </dxf>
    <dxf>
      <alignment horizontal="general" vertical="center" wrapText="1"/>
    </dxf>
    <dxf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3" tint="0.39997558519241921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3" tint="0.39997558519241921"/>
        </top>
        <bottom/>
        <vertical/>
        <horizontal/>
      </border>
    </dxf>
    <dxf>
      <alignment horizontal="center" vertical="center" wrapText="1"/>
    </dxf>
    <dxf>
      <numFmt numFmtId="19" formatCode="dd/mm/yyyy"/>
      <alignment horizontal="left" vertical="center" wrapText="1"/>
      <border outline="0">
        <left/>
        <right/>
        <top style="thin">
          <color theme="3" tint="0.39997558519241921"/>
        </top>
        <bottom/>
      </border>
    </dxf>
    <dxf>
      <numFmt numFmtId="0" formatCode="General"/>
      <alignment horizontal="general" vertical="center" wrapText="1"/>
    </dxf>
    <dxf>
      <numFmt numFmtId="0" formatCode="General"/>
      <alignment horizontal="center" vertical="center" wrapText="1"/>
    </dxf>
    <dxf>
      <numFmt numFmtId="0" formatCode="General"/>
      <alignment horizontal="center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border>
        <bottom style="thin">
          <color theme="3" tint="0.39997558519241921"/>
        </bottom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alignment horizontal="center" vertical="center" wrapText="1"/>
      <border outline="0">
        <left style="thin">
          <color theme="3" tint="0.39997558519241921"/>
        </left>
        <right style="thin">
          <color theme="3" tint="0.39997558519241921"/>
        </right>
        <top/>
        <bottom/>
      </border>
    </dxf>
    <dxf>
      <alignment horizontal="center" vertical="center"/>
    </dxf>
    <dxf>
      <numFmt numFmtId="30" formatCode="@"/>
      <alignment vertical="center"/>
    </dxf>
    <dxf>
      <numFmt numFmtId="0" formatCode="General"/>
      <alignment horizontal="center" vertical="center"/>
    </dxf>
    <dxf>
      <alignment horizontal="center" vertical="center"/>
    </dxf>
    <dxf>
      <numFmt numFmtId="0" formatCode="General"/>
      <alignment horizontal="center" vertical="center"/>
    </dxf>
    <dxf>
      <alignment vertical="center"/>
    </dxf>
    <dxf>
      <alignment vertical="center"/>
    </dxf>
    <dxf>
      <border>
        <bottom style="thin">
          <color theme="3" tint="0.39997558519241921"/>
        </bottom>
      </border>
    </dxf>
    <dxf>
      <alignment horizontal="center" vertical="center" textRotation="0" wrapText="1" indent="0" justifyLastLine="0" shrinkToFit="0" readingOrder="0"/>
      <border outline="0">
        <left style="thin">
          <color theme="3" tint="0.39997558519241921"/>
        </left>
        <right style="thin">
          <color theme="3" tint="0.39997558519241921"/>
        </right>
        <top/>
        <bottom/>
      </border>
    </dxf>
    <dxf>
      <alignment vertical="center"/>
    </dxf>
    <dxf>
      <numFmt numFmtId="30" formatCode="@"/>
      <alignment vertical="center"/>
    </dxf>
    <dxf>
      <alignment vertical="center"/>
    </dxf>
    <dxf>
      <numFmt numFmtId="30" formatCode="@"/>
      <alignment vertical="center"/>
    </dxf>
    <dxf>
      <alignment vertical="center"/>
    </dxf>
    <dxf>
      <numFmt numFmtId="30" formatCode="@"/>
      <alignment vertical="center"/>
    </dxf>
    <dxf>
      <alignment vertical="center"/>
    </dxf>
    <dxf>
      <numFmt numFmtId="30" formatCode="@"/>
      <alignment vertical="center"/>
    </dxf>
    <dxf>
      <alignment vertical="center"/>
    </dxf>
    <dxf>
      <numFmt numFmtId="30" formatCode="@"/>
      <alignment horizontal="general" vertical="center" textRotation="0" wrapText="0" indent="0" justifyLastLine="0" shrinkToFit="0" readingOrder="0"/>
    </dxf>
    <dxf>
      <alignment vertical="center"/>
    </dxf>
    <dxf>
      <numFmt numFmtId="30" formatCode="@"/>
      <alignment horizontal="general" vertical="center" textRotation="0" wrapText="0" indent="0" justifyLastLine="0" shrinkToFit="0" readingOrder="0"/>
    </dxf>
    <dxf>
      <alignment vertical="center"/>
    </dxf>
    <dxf>
      <numFmt numFmtId="30" formatCode="@"/>
      <alignment vertical="center"/>
    </dxf>
    <dxf>
      <alignment vertical="center"/>
    </dxf>
    <dxf>
      <numFmt numFmtId="30" formatCode="@"/>
      <alignment vertical="center"/>
    </dxf>
    <dxf>
      <alignment vertical="center"/>
    </dxf>
    <dxf>
      <numFmt numFmtId="30" formatCode="@"/>
      <alignment vertical="center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vertical="center"/>
    </dxf>
    <dxf>
      <numFmt numFmtId="19" formatCode="dd/mm/yyyy"/>
      <alignment horizontal="center" vertical="center"/>
    </dxf>
    <dxf>
      <numFmt numFmtId="0" formatCode="General"/>
      <alignment horizontal="center" vertical="center"/>
    </dxf>
    <dxf>
      <numFmt numFmtId="30" formatCode="@"/>
      <alignment horizontal="center" vertical="center"/>
    </dxf>
    <dxf>
      <numFmt numFmtId="0" formatCode="General"/>
      <alignment horizontal="center" vertical="center"/>
    </dxf>
    <dxf>
      <alignment vertical="center"/>
    </dxf>
    <dxf>
      <alignment vertical="center"/>
    </dxf>
    <dxf>
      <border>
        <bottom style="thin">
          <color theme="3" tint="0.39997558519241921"/>
        </bottom>
      </border>
    </dxf>
    <dxf>
      <alignment horizontal="center" vertical="center" textRotation="0" wrapText="1" indent="0" justifyLastLine="0" shrinkToFit="0" readingOrder="0"/>
      <border outline="0">
        <left style="thin">
          <color theme="3" tint="0.39997558519241921"/>
        </left>
        <right style="thin">
          <color theme="3" tint="0.39997558519241921"/>
        </right>
        <top/>
        <bottom/>
      </border>
    </dxf>
    <dxf>
      <alignment vertical="center"/>
    </dxf>
    <dxf>
      <numFmt numFmtId="30" formatCode="@"/>
      <alignment horizontal="center" vertical="center" textRotation="0" wrapText="1" indent="0" justifyLastLine="0" shrinkToFit="0" readingOrder="0"/>
    </dxf>
    <dxf>
      <alignment vertical="center"/>
    </dxf>
    <dxf>
      <numFmt numFmtId="30" formatCode="@"/>
      <alignment horizontal="center" vertical="center" textRotation="0" wrapText="1" indent="0" justifyLastLine="0" shrinkToFit="0" readingOrder="0"/>
    </dxf>
    <dxf>
      <alignment vertical="center"/>
    </dxf>
    <dxf>
      <numFmt numFmtId="30" formatCode="@"/>
      <alignment horizontal="center" vertical="center" textRotation="0" wrapText="1" indent="0" justifyLastLine="0" shrinkToFit="0" readingOrder="0"/>
    </dxf>
    <dxf>
      <alignment vertical="center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30" formatCode="@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>
        <bottom style="thin">
          <color theme="3" tint="0.39997558519241921"/>
        </bottom>
      </border>
    </dxf>
    <dxf>
      <alignment horizontal="center" vertical="center" textRotation="0" indent="0" justifyLastLine="0" shrinkToFit="0" readingOrder="0"/>
      <border outline="0">
        <left style="thin">
          <color theme="3" tint="0.39997558519241921"/>
        </left>
        <right style="thin">
          <color theme="3" tint="0.39997558519241921"/>
        </right>
        <top/>
        <bottom/>
      </border>
    </dxf>
    <dxf>
      <alignment vertical="center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</dxf>
    <dxf>
      <numFmt numFmtId="165" formatCode="dd/mm/yyyy;@"/>
      <alignment horizontal="center" vertical="center" textRotation="0" wrapText="0" indent="0" justifyLastLine="0" shrinkToFit="0" readingOrder="0"/>
    </dxf>
    <dxf>
      <alignment vertical="center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</dxf>
    <dxf>
      <alignment horizontal="center" vertical="center" textRotation="0" wrapText="0" indent="0" justifyLastLine="0" shrinkToFit="0" readingOrder="0"/>
    </dxf>
    <dxf>
      <alignment vertical="center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</dxf>
    <dxf>
      <numFmt numFmtId="0" formatCode="General"/>
      <alignment horizontal="left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vertical="center"/>
    </dxf>
    <dxf>
      <font>
        <name val="Biome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horizontal="center" vertical="center" textRotation="0" wrapText="0" indent="0" justifyLastLine="0" shrinkToFit="0" readingOrder="0"/>
    </dxf>
    <dxf>
      <alignment vertical="center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</dxf>
    <dxf>
      <numFmt numFmtId="19" formatCode="dd/mm/yyyy"/>
      <alignment horizontal="center" vertical="center" textRotation="0" wrapText="0" indent="0" justifyLastLine="0" shrinkToFit="0" readingOrder="0"/>
    </dxf>
    <dxf>
      <alignment vertical="center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FFFFFF"/>
      </font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vertical="center"/>
    </dxf>
    <dxf>
      <numFmt numFmtId="19" formatCode="dd/mm/yyyy"/>
      <alignment horizontal="center" vertical="center" textRotation="0" wrapText="0" indent="0" justifyLastLine="0" shrinkToFit="0" readingOrder="0"/>
    </dxf>
    <dxf>
      <font>
        <sz val="8"/>
        <color theme="8" tint="-0.499984740745262"/>
        <name val="Century Gothic"/>
        <family val="2"/>
        <scheme val="none"/>
      </font>
      <numFmt numFmtId="167" formatCode="d/m/yyyy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dashed">
          <color rgb="FFFF5050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167" formatCode="d/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/>
        <right/>
        <top/>
        <bottom style="dashed">
          <color rgb="FFFF5050"/>
        </bottom>
      </border>
    </dxf>
    <dxf>
      <font>
        <sz val="8"/>
        <color theme="8" tint="-0.499984740745262"/>
        <name val="Century Gothic"/>
        <family val="2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/>
        <right/>
        <top/>
        <bottom style="dashed">
          <color rgb="FFFF5050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167" formatCode="d/m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5" formatCode="dd/mm/yy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dashed">
          <color rgb="FFFF505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dashed">
          <color rgb="FFFF5050"/>
        </top>
        <bottom/>
      </border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border>
        <bottom style="thin">
          <color theme="3" tint="0.3999755851924192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</font>
      <alignment horizontal="center" vertical="center" textRotation="0" wrapText="0" indent="0" justifyLastLine="0" shrinkToFit="0" readingOrder="0"/>
      <border outline="0">
        <left style="thin">
          <color theme="3" tint="0.39997558519241921"/>
        </left>
        <right style="thin">
          <color theme="3" tint="0.3999755851924192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STATS!$B$26</c:f>
              <c:strCache>
                <c:ptCount val="1"/>
                <c:pt idx="0">
                  <c:v>HOMBRE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STATS!$A$27:$A$32</c:f>
              <c:strCache>
                <c:ptCount val="6"/>
                <c:pt idx="0">
                  <c:v>&lt;20</c:v>
                </c:pt>
                <c:pt idx="1">
                  <c:v>20-29</c:v>
                </c:pt>
                <c:pt idx="2">
                  <c:v>30-39</c:v>
                </c:pt>
                <c:pt idx="3">
                  <c:v>40-49</c:v>
                </c:pt>
                <c:pt idx="4">
                  <c:v>50-59</c:v>
                </c:pt>
                <c:pt idx="5">
                  <c:v>≥60</c:v>
                </c:pt>
              </c:strCache>
            </c:strRef>
          </c:cat>
          <c:val>
            <c:numRef>
              <c:f>STATS!$B$27:$B$32</c:f>
              <c:numCache>
                <c:formatCode>General</c:formatCode>
                <c:ptCount val="6"/>
                <c:pt idx="0">
                  <c:v>1</c:v>
                </c:pt>
                <c:pt idx="1">
                  <c:v>5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2A-4258-AD16-CF7B0572E92E}"/>
            </c:ext>
          </c:extLst>
        </c:ser>
        <c:ser>
          <c:idx val="1"/>
          <c:order val="1"/>
          <c:tx>
            <c:strRef>
              <c:f>STATS!$C$26</c:f>
              <c:strCache>
                <c:ptCount val="1"/>
                <c:pt idx="0">
                  <c:v>MUJER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STATS!$A$27:$A$32</c:f>
              <c:strCache>
                <c:ptCount val="6"/>
                <c:pt idx="0">
                  <c:v>&lt;20</c:v>
                </c:pt>
                <c:pt idx="1">
                  <c:v>20-29</c:v>
                </c:pt>
                <c:pt idx="2">
                  <c:v>30-39</c:v>
                </c:pt>
                <c:pt idx="3">
                  <c:v>40-49</c:v>
                </c:pt>
                <c:pt idx="4">
                  <c:v>50-59</c:v>
                </c:pt>
                <c:pt idx="5">
                  <c:v>≥60</c:v>
                </c:pt>
              </c:strCache>
            </c:strRef>
          </c:cat>
          <c:val>
            <c:numRef>
              <c:f>STATS!$C$27:$C$32</c:f>
              <c:numCache>
                <c:formatCode>General</c:formatCode>
                <c:ptCount val="6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2A-4258-AD16-CF7B0572E92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250826095"/>
        <c:axId val="1250826575"/>
        <c:axId val="0"/>
      </c:bar3DChart>
      <c:catAx>
        <c:axId val="1250826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50826575"/>
        <c:crosses val="autoZero"/>
        <c:auto val="1"/>
        <c:lblAlgn val="ctr"/>
        <c:lblOffset val="100"/>
        <c:noMultiLvlLbl val="0"/>
      </c:catAx>
      <c:valAx>
        <c:axId val="125082657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25082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lumMod val="5000"/>
            <a:lumOff val="95000"/>
          </a:schemeClr>
        </a:gs>
        <a:gs pos="61000">
          <a:schemeClr val="accent3">
            <a:lumMod val="40000"/>
            <a:lumOff val="60000"/>
          </a:schemeClr>
        </a:gs>
        <a:gs pos="100000">
          <a:schemeClr val="accent3">
            <a:lumMod val="75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078037577267945E-2"/>
          <c:y val="0.14086199006692127"/>
          <c:w val="0.48901789277366497"/>
          <c:h val="0.7641079597484814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AA-4A50-8911-7FBBE23B23D1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AA-4A50-8911-7FBBE23B23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STATS!$K$10:$L$10</c:f>
              <c:strCache>
                <c:ptCount val="2"/>
                <c:pt idx="0">
                  <c:v>ACCIDENTES HOMBRES</c:v>
                </c:pt>
                <c:pt idx="1">
                  <c:v>ACCIDENTES MUJERES</c:v>
                </c:pt>
              </c:strCache>
            </c:strRef>
          </c:cat>
          <c:val>
            <c:numRef>
              <c:f>STATS!$K$11:$L$11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AA-4A50-8911-7FBBE23B23D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392017402683143"/>
          <c:y val="0.33835908868783676"/>
          <c:w val="0.2631550158625971"/>
          <c:h val="0.444816560476790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  <a:alpha val="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tx2">
            <a:lumMod val="75000"/>
          </a:schemeClr>
        </a:gs>
        <a:gs pos="73000">
          <a:schemeClr val="tx2">
            <a:lumMod val="50000"/>
          </a:schemeClr>
        </a:gs>
        <a:gs pos="100000">
          <a:schemeClr val="tx2">
            <a:lumMod val="60000"/>
            <a:lumOff val="40000"/>
          </a:schemeClr>
        </a:gs>
      </a:gsLst>
      <a:path path="rect">
        <a:fillToRect r="100000" b="100000"/>
      </a:path>
      <a:tileRect l="-100000" t="-100000"/>
    </a:gra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STATS!$I$13</c:f>
              <c:strCache>
                <c:ptCount val="1"/>
                <c:pt idx="0">
                  <c:v>ACCIDENTES EN EL MES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STATS!$H$14:$H$25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STATS!$I$14:$I$25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1F-416B-A232-48D7F0AC6E5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98796623"/>
        <c:axId val="1698803823"/>
      </c:lineChart>
      <c:catAx>
        <c:axId val="169879662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698803823"/>
        <c:crosses val="autoZero"/>
        <c:auto val="1"/>
        <c:lblAlgn val="ctr"/>
        <c:lblOffset val="100"/>
        <c:noMultiLvlLbl val="0"/>
      </c:catAx>
      <c:valAx>
        <c:axId val="169880382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69879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51145347138346198"/>
          <c:y val="2.9178063150978095E-2"/>
          <c:w val="0.47016830142149929"/>
          <c:h val="0.9358082610678482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8000"/>
              </a:schemeClr>
            </a:solidFill>
            <a:ln w="6350">
              <a:solidFill>
                <a:schemeClr val="accent1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contourW="6350" prstMaterial="flat">
              <a:contourClr>
                <a:schemeClr val="accent1">
                  <a:lumMod val="75000"/>
                </a:schemeClr>
              </a:contourClr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1">
                  <a:alpha val="88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contourW="9525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39-4FDE-AA5A-EEF67D6ED49F}"/>
              </c:ext>
            </c:extLst>
          </c:dPt>
          <c:dLbls>
            <c:spPr>
              <a:solidFill>
                <a:srgbClr val="4F81BD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STATS!$W$6:$W$15</c:f>
              <c:strCache>
                <c:ptCount val="10"/>
                <c:pt idx="0">
                  <c:v>Cabeza</c:v>
                </c:pt>
                <c:pt idx="1">
                  <c:v>Torso Alto</c:v>
                </c:pt>
                <c:pt idx="2">
                  <c:v>Torso Bajo</c:v>
                </c:pt>
                <c:pt idx="3">
                  <c:v>Brazos</c:v>
                </c:pt>
                <c:pt idx="4">
                  <c:v>Codos</c:v>
                </c:pt>
                <c:pt idx="5">
                  <c:v>Manos</c:v>
                </c:pt>
                <c:pt idx="6">
                  <c:v>Muslos</c:v>
                </c:pt>
                <c:pt idx="7">
                  <c:v>Rodillas</c:v>
                </c:pt>
                <c:pt idx="8">
                  <c:v>Pantorrilla</c:v>
                </c:pt>
                <c:pt idx="9">
                  <c:v>Pies</c:v>
                </c:pt>
              </c:strCache>
            </c:strRef>
          </c:cat>
          <c:val>
            <c:numRef>
              <c:f>STATS!$X$6:$X$15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A639-4FDE-AA5A-EEF67D6ED4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493943168"/>
        <c:axId val="1493946048"/>
        <c:axId val="0"/>
      </c:bar3DChart>
      <c:catAx>
        <c:axId val="1493943168"/>
        <c:scaling>
          <c:orientation val="maxMin"/>
        </c:scaling>
        <c:delete val="0"/>
        <c:axPos val="l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endParaRPr lang="es-PE"/>
          </a:p>
        </c:txPr>
        <c:crossAx val="1493946048"/>
        <c:crosses val="autoZero"/>
        <c:auto val="1"/>
        <c:lblAlgn val="ctr"/>
        <c:lblOffset val="100"/>
        <c:noMultiLvlLbl val="0"/>
      </c:catAx>
      <c:valAx>
        <c:axId val="1493946048"/>
        <c:scaling>
          <c:orientation val="minMax"/>
        </c:scaling>
        <c:delete val="1"/>
        <c:axPos val="t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49394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>
      <a:outerShdw blurRad="50800" dist="38100" dir="2700000" sx="101000" sy="101000" algn="tl" rotWithShape="0">
        <a:prstClr val="black">
          <a:alpha val="82000"/>
        </a:prstClr>
      </a:out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1562531099173596"/>
          <c:y val="1.8949181739879414E-2"/>
          <c:w val="0.66417266584097601"/>
          <c:h val="0.96210163652024117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C0504D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STATS!$Q$9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DB-42A0-9366-CAA895B7B0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4"/>
        <c:shape val="box"/>
        <c:axId val="247415583"/>
        <c:axId val="247399263"/>
        <c:axId val="0"/>
      </c:bar3DChart>
      <c:catAx>
        <c:axId val="24741558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endParaRPr lang="es-PE"/>
          </a:p>
        </c:txPr>
        <c:crossAx val="247399263"/>
        <c:crosses val="autoZero"/>
        <c:auto val="1"/>
        <c:lblAlgn val="ctr"/>
        <c:lblOffset val="100"/>
        <c:noMultiLvlLbl val="0"/>
      </c:catAx>
      <c:valAx>
        <c:axId val="247399263"/>
        <c:scaling>
          <c:orientation val="minMax"/>
        </c:scaling>
        <c:delete val="1"/>
        <c:axPos val="t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24741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>
      <a:outerShdw blurRad="114300" dist="38100" dir="2700000" sx="101000" sy="101000" algn="tl" rotWithShape="0">
        <a:prstClr val="black">
          <a:alpha val="85000"/>
        </a:prstClr>
      </a:out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STATS!$M$11:$M$34</c:f>
              <c:strCache>
                <c:ptCount val="9"/>
                <c:pt idx="0">
                  <c:v>ALMACEN</c:v>
                </c:pt>
                <c:pt idx="1">
                  <c:v>LOGISTICA DE SALIDA</c:v>
                </c:pt>
                <c:pt idx="2">
                  <c:v>SEGURIDAD</c:v>
                </c:pt>
                <c:pt idx="3">
                  <c:v>ADMINISTRACION</c:v>
                </c:pt>
                <c:pt idx="4">
                  <c:v>DISTRIBUCION</c:v>
                </c:pt>
                <c:pt idx="5">
                  <c:v>MANTENIMIENTO</c:v>
                </c:pt>
                <c:pt idx="6">
                  <c:v>RECURSOS HUMANOS</c:v>
                </c:pt>
                <c:pt idx="7">
                  <c:v>COMPRAS</c:v>
                </c:pt>
                <c:pt idx="8">
                  <c:v>VENTAS</c:v>
                </c:pt>
              </c:strCache>
            </c:strRef>
          </c:cat>
          <c:val>
            <c:numRef>
              <c:f>STATS!$N$11:$N$34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EC-4F52-9910-E60362D0AA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247392063"/>
        <c:axId val="247367583"/>
        <c:axId val="0"/>
      </c:bar3DChart>
      <c:catAx>
        <c:axId val="247392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47367583"/>
        <c:crosses val="autoZero"/>
        <c:auto val="1"/>
        <c:lblAlgn val="ctr"/>
        <c:lblOffset val="100"/>
        <c:noMultiLvlLbl val="0"/>
      </c:catAx>
      <c:valAx>
        <c:axId val="24736758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47392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>
      <a:outerShdw blurRad="190500" dist="38100" dir="2700000" algn="tl" rotWithShape="0">
        <a:prstClr val="black">
          <a:alpha val="90000"/>
        </a:prstClr>
      </a:out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32894130430757"/>
          <c:y val="6.25E-2"/>
          <c:w val="0.6474791129837989"/>
          <c:h val="0.93055555555555558"/>
        </c:manualLayout>
      </c:layout>
      <c:doughnutChart>
        <c:varyColors val="1"/>
        <c:ser>
          <c:idx val="0"/>
          <c:order val="0"/>
          <c:tx>
            <c:strRef>
              <c:f>STATS!$K$14</c:f>
              <c:strCache>
                <c:ptCount val="1"/>
                <c:pt idx="0">
                  <c:v>Técnico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908-4029-A9A2-748036DD0F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908-4029-A9A2-748036DD0FA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STATS!$L$14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08-4029-A9A2-748036DD0FA7}"/>
            </c:ext>
          </c:extLst>
        </c:ser>
        <c:ser>
          <c:idx val="1"/>
          <c:order val="1"/>
          <c:tx>
            <c:strRef>
              <c:f>STATS!$K$15</c:f>
              <c:strCache>
                <c:ptCount val="1"/>
                <c:pt idx="0">
                  <c:v>Oficina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E0E-451E-B570-A903F685F815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STATS!$L$15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32-4343-BA03-4AF7C8C259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89780066274534"/>
          <c:y val="0.40851816856226308"/>
          <c:w val="0.23691604181935491"/>
          <c:h val="0.2244451443569553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3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>
      <a:outerShdw blurRad="152400" dist="38100" dir="2700000" algn="tl" rotWithShape="0">
        <a:prstClr val="black"/>
      </a:outerShdw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STATS!$B$4</c:f>
              <c:strCache>
                <c:ptCount val="1"/>
                <c:pt idx="0">
                  <c:v>TRABAJADORES INGRESADOS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STATS!$A$5:$A$16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STATS!$B$5:$B$16</c:f>
              <c:numCache>
                <c:formatCode>General</c:formatCode>
                <c:ptCount val="12"/>
                <c:pt idx="0">
                  <c:v>21</c:v>
                </c:pt>
                <c:pt idx="1">
                  <c:v>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CC-4A21-9015-2BF20B98F3DB}"/>
            </c:ext>
          </c:extLst>
        </c:ser>
        <c:ser>
          <c:idx val="1"/>
          <c:order val="1"/>
          <c:tx>
            <c:strRef>
              <c:f>STATS!$C$4</c:f>
              <c:strCache>
                <c:ptCount val="1"/>
                <c:pt idx="0">
                  <c:v>TRABAJADORES ACTIVOS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STATS!$A$5:$A$16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STATS!$C$5:$C$16</c:f>
              <c:numCache>
                <c:formatCode>General</c:formatCode>
                <c:ptCount val="12"/>
                <c:pt idx="0">
                  <c:v>238</c:v>
                </c:pt>
                <c:pt idx="1">
                  <c:v>253</c:v>
                </c:pt>
                <c:pt idx="2">
                  <c:v>253</c:v>
                </c:pt>
                <c:pt idx="3">
                  <c:v>253</c:v>
                </c:pt>
                <c:pt idx="4">
                  <c:v>253</c:v>
                </c:pt>
                <c:pt idx="5">
                  <c:v>253</c:v>
                </c:pt>
                <c:pt idx="6">
                  <c:v>253</c:v>
                </c:pt>
                <c:pt idx="7">
                  <c:v>253</c:v>
                </c:pt>
                <c:pt idx="8">
                  <c:v>253</c:v>
                </c:pt>
                <c:pt idx="9">
                  <c:v>253</c:v>
                </c:pt>
                <c:pt idx="10">
                  <c:v>253</c:v>
                </c:pt>
                <c:pt idx="11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CC-4A21-9015-2BF20B98F3DB}"/>
            </c:ext>
          </c:extLst>
        </c:ser>
        <c:ser>
          <c:idx val="2"/>
          <c:order val="2"/>
          <c:tx>
            <c:strRef>
              <c:f>STATS!$D$4</c:f>
              <c:strCache>
                <c:ptCount val="1"/>
                <c:pt idx="0">
                  <c:v>EMOS
REALIZADOS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STATS!$A$5:$A$16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STATS!$D$5:$D$16</c:f>
              <c:numCache>
                <c:formatCode>General</c:formatCode>
                <c:ptCount val="12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7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CC-4A21-9015-2BF20B98F3DB}"/>
            </c:ext>
          </c:extLst>
        </c:ser>
        <c:ser>
          <c:idx val="3"/>
          <c:order val="3"/>
          <c:tx>
            <c:strRef>
              <c:f>STATS!$F$4</c:f>
              <c:strCache>
                <c:ptCount val="1"/>
                <c:pt idx="0">
                  <c:v>EMOS
ENTREGADOS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STATS!$A$5:$A$16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STATS!$F$5:$F$16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CC-4A21-9015-2BF20B98F3D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1306719439"/>
        <c:axId val="1306723279"/>
        <c:axId val="1298473423"/>
      </c:bar3DChart>
      <c:catAx>
        <c:axId val="1306719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06723279"/>
        <c:crosses val="autoZero"/>
        <c:auto val="1"/>
        <c:lblAlgn val="ctr"/>
        <c:lblOffset val="100"/>
        <c:noMultiLvlLbl val="0"/>
      </c:catAx>
      <c:valAx>
        <c:axId val="130672327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6719439"/>
        <c:crosses val="autoZero"/>
        <c:crossBetween val="between"/>
      </c:valAx>
      <c:serAx>
        <c:axId val="1298473423"/>
        <c:scaling>
          <c:orientation val="minMax"/>
        </c:scaling>
        <c:delete val="1"/>
        <c:axPos val="b"/>
        <c:majorTickMark val="none"/>
        <c:minorTickMark val="none"/>
        <c:tickLblPos val="nextTo"/>
        <c:crossAx val="1306723279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F81D-48FB-BF95-6BDBFDC9C8D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F81D-48FB-BF95-6BDBFDC9C8DC}"/>
              </c:ext>
            </c:extLst>
          </c:dPt>
          <c:cat>
            <c:strRef>
              <c:f>(STATS!$F$37,STATS!$K$37)</c:f>
              <c:strCache>
                <c:ptCount val="2"/>
                <c:pt idx="0">
                  <c:v>TOTAL HOMBRES</c:v>
                </c:pt>
                <c:pt idx="1">
                  <c:v>TOTAL MUJERES</c:v>
                </c:pt>
              </c:strCache>
            </c:strRef>
          </c:cat>
          <c:val>
            <c:numRef>
              <c:f>(STATS!$F$38,STATS!$K$38)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F81D-48FB-BF95-6BDBFDC9C8DC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6-F81D-48FB-BF95-6BDBFDC9C8D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8-F81D-48FB-BF95-6BDBFDC9C8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(STATS!$F$37,STATS!$K$37)</c:f>
              <c:strCache>
                <c:ptCount val="2"/>
                <c:pt idx="0">
                  <c:v>TOTAL HOMBRES</c:v>
                </c:pt>
                <c:pt idx="1">
                  <c:v>TOTAL MUJERES</c:v>
                </c:pt>
              </c:strCache>
            </c:strRef>
          </c:cat>
          <c:val>
            <c:numRef>
              <c:f>(STATS!$F$39,STATS!$K$39)</c:f>
              <c:numCache>
                <c:formatCode>General</c:formatCode>
                <c:ptCount val="2"/>
                <c:pt idx="0">
                  <c:v>8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81D-48FB-BF95-6BDBFDC9C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shade val="30000"/>
            <a:satMod val="115000"/>
          </a:schemeClr>
        </a:gs>
        <a:gs pos="75000">
          <a:schemeClr val="accent1">
            <a:lumMod val="75000"/>
          </a:schemeClr>
        </a:gs>
        <a:gs pos="100000">
          <a:schemeClr val="accent1">
            <a:shade val="100000"/>
            <a:satMod val="1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6505-4F15-B6BD-0AC25F3BD5D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6505-4F15-B6BD-0AC25F3BD5D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6505-4F15-B6BD-0AC25F3BD5D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6505-4F15-B6BD-0AC25F3BD5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STATS!$B$38:$E$38</c:f>
              <c:strCache>
                <c:ptCount val="4"/>
                <c:pt idx="0">
                  <c:v>APTO</c:v>
                </c:pt>
                <c:pt idx="1">
                  <c:v>APTO CON RESTRICCIONES</c:v>
                </c:pt>
                <c:pt idx="2">
                  <c:v>OBSERVADO</c:v>
                </c:pt>
                <c:pt idx="3">
                  <c:v>NO APTO</c:v>
                </c:pt>
              </c:strCache>
            </c:strRef>
          </c:cat>
          <c:val>
            <c:numRef>
              <c:f>STATS!$B$39:$E$39</c:f>
              <c:numCache>
                <c:formatCode>General</c:formatCode>
                <c:ptCount val="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505-4F15-B6BD-0AC25F3BD5D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368008831781762"/>
          <c:y val="0.24134392947463335"/>
          <c:w val="0.36020731911770754"/>
          <c:h val="0.60696422934892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lt1">
                  <a:lumMod val="85000"/>
                </a:schemeClr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shade val="30000"/>
            <a:satMod val="115000"/>
          </a:schemeClr>
        </a:gs>
        <a:gs pos="73000">
          <a:schemeClr val="accent1">
            <a:lumMod val="75000"/>
          </a:schemeClr>
        </a:gs>
        <a:gs pos="100000">
          <a:schemeClr val="accent1">
            <a:lumMod val="75000"/>
          </a:schemeClr>
        </a:gs>
      </a:gsLst>
      <a:lin ang="10800000" scaled="1"/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055-4890-9AE8-3EDD445ED80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8055-4890-9AE8-3EDD445ED80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8055-4890-9AE8-3EDD445ED80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8055-4890-9AE8-3EDD445ED8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STATS!$G$38:$J$38</c:f>
              <c:strCache>
                <c:ptCount val="4"/>
                <c:pt idx="0">
                  <c:v>APTO</c:v>
                </c:pt>
                <c:pt idx="1">
                  <c:v>APTO CON RESTRICCIONES</c:v>
                </c:pt>
                <c:pt idx="2">
                  <c:v>OBSERVADO</c:v>
                </c:pt>
                <c:pt idx="3">
                  <c:v>NO APTO</c:v>
                </c:pt>
              </c:strCache>
            </c:strRef>
          </c:cat>
          <c:val>
            <c:numRef>
              <c:f>STATS!$G$39:$J$39</c:f>
              <c:numCache>
                <c:formatCode>General</c:formatCode>
                <c:ptCount val="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55-4890-9AE8-3EDD445ED8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732447821970021E-2"/>
          <c:y val="0.2225405030784722"/>
          <c:w val="0.37526982466414471"/>
          <c:h val="0.60696422934892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lt1">
                  <a:lumMod val="85000"/>
                </a:schemeClr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shade val="30000"/>
            <a:satMod val="115000"/>
          </a:schemeClr>
        </a:gs>
        <a:gs pos="61000">
          <a:schemeClr val="accent1">
            <a:shade val="67500"/>
            <a:satMod val="115000"/>
          </a:schemeClr>
        </a:gs>
        <a:gs pos="100000">
          <a:schemeClr val="accent1">
            <a:lumMod val="75000"/>
          </a:schemeClr>
        </a:gs>
      </a:gsLst>
      <a:lin ang="0" scaled="1"/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3.9275696553213224E-2"/>
          <c:w val="0.99437464041816426"/>
          <c:h val="0.87789447404725507"/>
        </c:manualLayout>
      </c:layout>
      <c:line3DChart>
        <c:grouping val="standard"/>
        <c:varyColors val="0"/>
        <c:ser>
          <c:idx val="0"/>
          <c:order val="0"/>
          <c:tx>
            <c:strRef>
              <c:f>STATS!$B$56</c:f>
              <c:strCache>
                <c:ptCount val="1"/>
                <c:pt idx="0">
                  <c:v>GOLPE DE CALOR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STATS!$A$57:$A$68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STATS!$B$57:$B$68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9-40A7-BFDA-B136D2FD5F88}"/>
            </c:ext>
          </c:extLst>
        </c:ser>
        <c:ser>
          <c:idx val="1"/>
          <c:order val="1"/>
          <c:tx>
            <c:strRef>
              <c:f>STATS!$C$56</c:f>
              <c:strCache>
                <c:ptCount val="1"/>
                <c:pt idx="0">
                  <c:v>VIGILANCIA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STATS!$A$57:$A$68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STATS!$C$57:$C$68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89-40A7-BFDA-B136D2FD5F88}"/>
            </c:ext>
          </c:extLst>
        </c:ser>
        <c:ser>
          <c:idx val="2"/>
          <c:order val="2"/>
          <c:tx>
            <c:strRef>
              <c:f>STATS!$D$56</c:f>
              <c:strCache>
                <c:ptCount val="1"/>
                <c:pt idx="0">
                  <c:v>ERGONOMIA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50000"/>
                    <a:satMod val="300000"/>
                  </a:schemeClr>
                </a:gs>
                <a:gs pos="35000">
                  <a:schemeClr val="accent3">
                    <a:tint val="37000"/>
                    <a:satMod val="300000"/>
                  </a:schemeClr>
                </a:gs>
                <a:gs pos="100000">
                  <a:schemeClr val="accent3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3">
                  <a:shade val="95000"/>
                </a:schemeClr>
              </a:contourClr>
            </a:sp3d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STATS!$A$57:$A$68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STATS!$D$57:$D$68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9-40A7-BFDA-B136D2FD5F88}"/>
            </c:ext>
          </c:extLst>
        </c:ser>
        <c:ser>
          <c:idx val="3"/>
          <c:order val="3"/>
          <c:tx>
            <c:strRef>
              <c:f>STATS!$E$56</c:f>
              <c:strCache>
                <c:ptCount val="1"/>
                <c:pt idx="0">
                  <c:v>TME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0000"/>
                    <a:satMod val="300000"/>
                  </a:schemeClr>
                </a:gs>
                <a:gs pos="35000">
                  <a:schemeClr val="accent4">
                    <a:tint val="37000"/>
                    <a:satMod val="300000"/>
                  </a:schemeClr>
                </a:gs>
                <a:gs pos="100000">
                  <a:schemeClr val="accent4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4">
                  <a:shade val="95000"/>
                </a:schemeClr>
              </a:contourClr>
            </a:sp3d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STATS!$A$57:$A$68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STATS!$E$57:$E$68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9-40A7-BFDA-B136D2FD5F88}"/>
            </c:ext>
          </c:extLst>
        </c:ser>
        <c:ser>
          <c:idx val="4"/>
          <c:order val="4"/>
          <c:tx>
            <c:strRef>
              <c:f>STATS!$F$56</c:f>
              <c:strCache>
                <c:ptCount val="1"/>
                <c:pt idx="0">
                  <c:v>PSICOSOCIAL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300000"/>
                  </a:schemeClr>
                </a:gs>
                <a:gs pos="35000">
                  <a:schemeClr val="accent5">
                    <a:tint val="37000"/>
                    <a:satMod val="300000"/>
                  </a:schemeClr>
                </a:gs>
                <a:gs pos="100000">
                  <a:schemeClr val="accent5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5">
                  <a:shade val="95000"/>
                </a:schemeClr>
              </a:contourClr>
            </a:sp3d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STATS!$A$57:$A$68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STATS!$F$57:$F$68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89-40A7-BFDA-B136D2FD5F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Depth val="60"/>
        <c:axId val="1511450800"/>
        <c:axId val="1511455600"/>
        <c:axId val="798899743"/>
      </c:line3DChart>
      <c:catAx>
        <c:axId val="1511450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11455600"/>
        <c:crosses val="autoZero"/>
        <c:auto val="1"/>
        <c:lblAlgn val="ctr"/>
        <c:lblOffset val="100"/>
        <c:noMultiLvlLbl val="0"/>
      </c:catAx>
      <c:valAx>
        <c:axId val="15114556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11450800"/>
        <c:crosses val="autoZero"/>
        <c:crossBetween val="between"/>
      </c:valAx>
      <c:serAx>
        <c:axId val="798899743"/>
        <c:scaling>
          <c:orientation val="minMax"/>
        </c:scaling>
        <c:delete val="1"/>
        <c:axPos val="b"/>
        <c:majorTickMark val="none"/>
        <c:minorTickMark val="none"/>
        <c:tickLblPos val="nextTo"/>
        <c:crossAx val="1511455600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5000">
          <a:schemeClr val="tx1">
            <a:lumMod val="75000"/>
            <a:lumOff val="25000"/>
          </a:schemeClr>
        </a:gs>
        <a:gs pos="12000">
          <a:schemeClr val="tx1">
            <a:lumMod val="85000"/>
            <a:lumOff val="15000"/>
          </a:schemeClr>
        </a:gs>
        <a:gs pos="100000">
          <a:schemeClr val="tx1">
            <a:lumMod val="95000"/>
            <a:lumOff val="5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955E-4D1E-8D2D-CF564F8082D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955E-4D1E-8D2D-CF564F8082D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955E-4D1E-8D2D-CF564F8082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STATS!$K$17:$K$19</c:f>
              <c:strCache>
                <c:ptCount val="2"/>
                <c:pt idx="0">
                  <c:v>VENTAS</c:v>
                </c:pt>
                <c:pt idx="1">
                  <c:v>ADMINISTRACION</c:v>
                </c:pt>
              </c:strCache>
            </c:strRef>
          </c:cat>
          <c:val>
            <c:numRef>
              <c:f>STATS!$L$17:$L$19</c:f>
              <c:numCache>
                <c:formatCode>General</c:formatCode>
                <c:ptCount val="3"/>
                <c:pt idx="0">
                  <c:v>52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5E-4D1E-8D2D-CF564F8082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STATS!$F$21:$F$22</c:f>
              <c:strCache>
                <c:ptCount val="1"/>
                <c:pt idx="0">
                  <c:v>Sin datos</c:v>
                </c:pt>
              </c:strCache>
            </c:strRef>
          </c:cat>
          <c:val>
            <c:numRef>
              <c:f>STATS!$G$21:$G$22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BBD6-4962-9A58-987C2684F31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4610975"/>
        <c:axId val="4609535"/>
        <c:axId val="0"/>
      </c:bar3DChart>
      <c:catAx>
        <c:axId val="4610975"/>
        <c:scaling>
          <c:orientation val="minMax"/>
        </c:scaling>
        <c:delete val="0"/>
        <c:axPos val="l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609535"/>
        <c:crosses val="autoZero"/>
        <c:auto val="1"/>
        <c:lblAlgn val="ctr"/>
        <c:lblOffset val="100"/>
        <c:noMultiLvlLbl val="0"/>
      </c:catAx>
      <c:valAx>
        <c:axId val="4609535"/>
        <c:scaling>
          <c:orientation val="minMax"/>
        </c:scaling>
        <c:delete val="1"/>
        <c:axPos val="b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610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D981-4A32-B5AC-6A9DABA3A3B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D981-4A32-B5AC-6A9DABA3A3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STATS!$I$6:$J$6</c:f>
              <c:strCache>
                <c:ptCount val="2"/>
                <c:pt idx="0">
                  <c:v>TOTAL EMOS REALIZADOS</c:v>
                </c:pt>
                <c:pt idx="1">
                  <c:v>TOTAL EMOS ENTREGADOS</c:v>
                </c:pt>
              </c:strCache>
            </c:strRef>
          </c:cat>
          <c:val>
            <c:numRef>
              <c:f>STATS!$I$7:$J$7</c:f>
              <c:numCache>
                <c:formatCode>General</c:formatCode>
                <c:ptCount val="2"/>
                <c:pt idx="0">
                  <c:v>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81-4A32-B5AC-6A9DABA3A3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911614173228349"/>
          <c:y val="0.32815507436570435"/>
          <c:w val="0.33421719160104985"/>
          <c:h val="0.38318022747156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0.375"/>
                  <c:y val="-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4F-4247-A1B8-73DD2FE04122}"/>
                </c:ext>
              </c:extLst>
            </c:dLbl>
            <c:dLbl>
              <c:idx val="1"/>
              <c:layout>
                <c:manualLayout>
                  <c:x val="4.4444444444444446E-2"/>
                  <c:y val="-2.31481481481481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F4F-4247-A1B8-73DD2FE04122}"/>
                </c:ext>
              </c:extLst>
            </c:dLbl>
            <c:dLbl>
              <c:idx val="2"/>
              <c:layout>
                <c:manualLayout>
                  <c:x val="3.888888888888889E-2"/>
                  <c:y val="-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4F-4247-A1B8-73DD2FE041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STATS!$I$4:$K$4</c:f>
              <c:strCache>
                <c:ptCount val="3"/>
                <c:pt idx="0">
                  <c:v>EMOS VIGENTES</c:v>
                </c:pt>
                <c:pt idx="1">
                  <c:v>EMOS VENCIDOS</c:v>
                </c:pt>
                <c:pt idx="2">
                  <c:v>SIN EMO</c:v>
                </c:pt>
              </c:strCache>
            </c:strRef>
          </c:cat>
          <c:val>
            <c:numRef>
              <c:f>STATS!$I$5:$K$5</c:f>
              <c:numCache>
                <c:formatCode>General</c:formatCode>
                <c:ptCount val="3"/>
                <c:pt idx="0">
                  <c:v>52</c:v>
                </c:pt>
                <c:pt idx="1">
                  <c:v>0</c:v>
                </c:pt>
                <c:pt idx="2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4F-4247-A1B8-73DD2FE0412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961593680"/>
        <c:axId val="1961587440"/>
        <c:axId val="0"/>
      </c:bar3DChart>
      <c:catAx>
        <c:axId val="19615936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61587440"/>
        <c:crosses val="autoZero"/>
        <c:auto val="1"/>
        <c:lblAlgn val="ctr"/>
        <c:lblOffset val="100"/>
        <c:noMultiLvlLbl val="0"/>
      </c:catAx>
      <c:valAx>
        <c:axId val="1961587440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96159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STATS!$B$20</c:f>
              <c:strCache>
                <c:ptCount val="1"/>
                <c:pt idx="0">
                  <c:v>CANTIDAD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2F4-43F4-A3BC-7FBB6310DA11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2F4-43F4-A3BC-7FBB6310DA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STATS!$A$21:$A$22</c:f>
              <c:strCache>
                <c:ptCount val="2"/>
                <c:pt idx="0">
                  <c:v>HOMBRES</c:v>
                </c:pt>
                <c:pt idx="1">
                  <c:v>MUJERES</c:v>
                </c:pt>
              </c:strCache>
            </c:strRef>
          </c:cat>
          <c:val>
            <c:numRef>
              <c:f>STATS!$B$21:$B$22</c:f>
              <c:numCache>
                <c:formatCode>General</c:formatCode>
                <c:ptCount val="2"/>
                <c:pt idx="0">
                  <c:v>6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F4-43F4-A3BC-7FBB6310DA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04691601049869"/>
          <c:y val="0.32444918343540391"/>
          <c:w val="0.33286417322834638"/>
          <c:h val="0.341842373869932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lumMod val="5000"/>
            <a:lumOff val="95000"/>
          </a:schemeClr>
        </a:gs>
        <a:gs pos="76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path path="shape">
        <a:fillToRect l="50000" t="50000" r="50000" b="5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STATS!$B$26</c:f>
              <c:strCache>
                <c:ptCount val="1"/>
                <c:pt idx="0">
                  <c:v>HOMBRE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STATS!$A$27:$A$32</c:f>
              <c:strCache>
                <c:ptCount val="6"/>
                <c:pt idx="0">
                  <c:v>&lt;20</c:v>
                </c:pt>
                <c:pt idx="1">
                  <c:v>20-29</c:v>
                </c:pt>
                <c:pt idx="2">
                  <c:v>30-39</c:v>
                </c:pt>
                <c:pt idx="3">
                  <c:v>40-49</c:v>
                </c:pt>
                <c:pt idx="4">
                  <c:v>50-59</c:v>
                </c:pt>
                <c:pt idx="5">
                  <c:v>≥60</c:v>
                </c:pt>
              </c:strCache>
            </c:strRef>
          </c:cat>
          <c:val>
            <c:numRef>
              <c:f>STATS!$B$27:$B$32</c:f>
              <c:numCache>
                <c:formatCode>General</c:formatCode>
                <c:ptCount val="6"/>
                <c:pt idx="0">
                  <c:v>1</c:v>
                </c:pt>
                <c:pt idx="1">
                  <c:v>5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2D-4BBE-BDA1-1219D31D6254}"/>
            </c:ext>
          </c:extLst>
        </c:ser>
        <c:ser>
          <c:idx val="1"/>
          <c:order val="1"/>
          <c:tx>
            <c:strRef>
              <c:f>STATS!$C$26</c:f>
              <c:strCache>
                <c:ptCount val="1"/>
                <c:pt idx="0">
                  <c:v>MUJER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STATS!$A$27:$A$32</c:f>
              <c:strCache>
                <c:ptCount val="6"/>
                <c:pt idx="0">
                  <c:v>&lt;20</c:v>
                </c:pt>
                <c:pt idx="1">
                  <c:v>20-29</c:v>
                </c:pt>
                <c:pt idx="2">
                  <c:v>30-39</c:v>
                </c:pt>
                <c:pt idx="3">
                  <c:v>40-49</c:v>
                </c:pt>
                <c:pt idx="4">
                  <c:v>50-59</c:v>
                </c:pt>
                <c:pt idx="5">
                  <c:v>≥60</c:v>
                </c:pt>
              </c:strCache>
            </c:strRef>
          </c:cat>
          <c:val>
            <c:numRef>
              <c:f>STATS!$C$27:$C$32</c:f>
              <c:numCache>
                <c:formatCode>General</c:formatCode>
                <c:ptCount val="6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2D-4BBE-BDA1-1219D31D625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250826095"/>
        <c:axId val="1250826575"/>
        <c:axId val="0"/>
      </c:bar3DChart>
      <c:catAx>
        <c:axId val="1250826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50826575"/>
        <c:crosses val="autoZero"/>
        <c:auto val="1"/>
        <c:lblAlgn val="ctr"/>
        <c:lblOffset val="100"/>
        <c:noMultiLvlLbl val="0"/>
      </c:catAx>
      <c:valAx>
        <c:axId val="125082657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25082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lumMod val="5000"/>
            <a:lumOff val="95000"/>
          </a:schemeClr>
        </a:gs>
        <a:gs pos="61000">
          <a:schemeClr val="accent3">
            <a:lumMod val="40000"/>
            <a:lumOff val="60000"/>
          </a:schemeClr>
        </a:gs>
        <a:gs pos="100000">
          <a:schemeClr val="accent3">
            <a:lumMod val="75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chart" Target="../charts/chart2.xml"/><Relationship Id="rId18" Type="http://schemas.openxmlformats.org/officeDocument/2006/relationships/image" Target="../media/image21.sv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image" Target="../media/image20.png"/><Relationship Id="rId2" Type="http://schemas.openxmlformats.org/officeDocument/2006/relationships/image" Target="../media/image4.svg"/><Relationship Id="rId16" Type="http://schemas.openxmlformats.org/officeDocument/2006/relationships/chart" Target="../charts/chart5.xml"/><Relationship Id="rId20" Type="http://schemas.openxmlformats.org/officeDocument/2006/relationships/chart" Target="../charts/chart7.xml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chart" Target="../charts/chart4.xml"/><Relationship Id="rId10" Type="http://schemas.openxmlformats.org/officeDocument/2006/relationships/image" Target="../media/image12.svg"/><Relationship Id="rId19" Type="http://schemas.openxmlformats.org/officeDocument/2006/relationships/chart" Target="../charts/chart6.xml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34.png"/><Relationship Id="rId18" Type="http://schemas.openxmlformats.org/officeDocument/2006/relationships/chart" Target="../charts/chart11.xml"/><Relationship Id="rId3" Type="http://schemas.openxmlformats.org/officeDocument/2006/relationships/image" Target="../media/image24.png"/><Relationship Id="rId21" Type="http://schemas.openxmlformats.org/officeDocument/2006/relationships/chart" Target="../charts/chart14.xml"/><Relationship Id="rId7" Type="http://schemas.openxmlformats.org/officeDocument/2006/relationships/image" Target="../media/image28.png"/><Relationship Id="rId12" Type="http://schemas.openxmlformats.org/officeDocument/2006/relationships/image" Target="../media/image33.svg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3.sv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11" Type="http://schemas.openxmlformats.org/officeDocument/2006/relationships/image" Target="../media/image32.png"/><Relationship Id="rId24" Type="http://schemas.openxmlformats.org/officeDocument/2006/relationships/chart" Target="../charts/chart17.xml"/><Relationship Id="rId5" Type="http://schemas.openxmlformats.org/officeDocument/2006/relationships/image" Target="../media/image26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10" Type="http://schemas.openxmlformats.org/officeDocument/2006/relationships/image" Target="../media/image31.svg"/><Relationship Id="rId19" Type="http://schemas.openxmlformats.org/officeDocument/2006/relationships/chart" Target="../charts/chart12.xml"/><Relationship Id="rId4" Type="http://schemas.openxmlformats.org/officeDocument/2006/relationships/image" Target="../media/image25.svg"/><Relationship Id="rId9" Type="http://schemas.openxmlformats.org/officeDocument/2006/relationships/image" Target="../media/image30.png"/><Relationship Id="rId14" Type="http://schemas.openxmlformats.org/officeDocument/2006/relationships/image" Target="../media/image35.svg"/><Relationship Id="rId22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786153</xdr:colOff>
      <xdr:row>0</xdr:row>
      <xdr:rowOff>0</xdr:rowOff>
    </xdr:from>
    <xdr:to>
      <xdr:col>17</xdr:col>
      <xdr:colOff>358571</xdr:colOff>
      <xdr:row>0</xdr:row>
      <xdr:rowOff>480060</xdr:rowOff>
    </xdr:to>
    <xdr:pic macro="[0]!EnviarDatosEMO">
      <xdr:nvPicPr>
        <xdr:cNvPr id="3" name="Gráfico 2" descr="Libreta de direcciones con relleno sólido">
          <a:extLst>
            <a:ext uri="{FF2B5EF4-FFF2-40B4-BE49-F238E27FC236}">
              <a16:creationId xmlns:a16="http://schemas.microsoft.com/office/drawing/2014/main" id="{3AEE6BB9-9B95-B74E-C603-1BE475205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12213" y="0"/>
          <a:ext cx="433478" cy="480060"/>
        </a:xfrm>
        <a:prstGeom prst="rect">
          <a:avLst/>
        </a:prstGeom>
      </xdr:spPr>
    </xdr:pic>
    <xdr:clientData/>
  </xdr:twoCellAnchor>
  <xdr:twoCellAnchor editAs="oneCell">
    <xdr:from>
      <xdr:col>21</xdr:col>
      <xdr:colOff>1684020</xdr:colOff>
      <xdr:row>0</xdr:row>
      <xdr:rowOff>4745</xdr:rowOff>
    </xdr:from>
    <xdr:to>
      <xdr:col>22</xdr:col>
      <xdr:colOff>396240</xdr:colOff>
      <xdr:row>0</xdr:row>
      <xdr:rowOff>484805</xdr:rowOff>
    </xdr:to>
    <xdr:pic macro="[0]!EnviarDatosVMO">
      <xdr:nvPicPr>
        <xdr:cNvPr id="17" name="Gráfico 16" descr="Libreta de direcciones con relleno sólido">
          <a:extLst>
            <a:ext uri="{FF2B5EF4-FFF2-40B4-BE49-F238E27FC236}">
              <a16:creationId xmlns:a16="http://schemas.microsoft.com/office/drawing/2014/main" id="{0FA3D98B-9025-4B46-9365-4AEF110D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45945" y="4745"/>
          <a:ext cx="480635" cy="480060"/>
        </a:xfrm>
        <a:prstGeom prst="rect">
          <a:avLst/>
        </a:prstGeom>
      </xdr:spPr>
    </xdr:pic>
    <xdr:clientData/>
  </xdr:twoCellAnchor>
  <xdr:oneCellAnchor>
    <xdr:from>
      <xdr:col>30</xdr:col>
      <xdr:colOff>997644</xdr:colOff>
      <xdr:row>0</xdr:row>
      <xdr:rowOff>4745</xdr:rowOff>
    </xdr:from>
    <xdr:ext cx="480451" cy="480060"/>
    <xdr:pic macro="[0]!EnviarDatosCapacitaciones">
      <xdr:nvPicPr>
        <xdr:cNvPr id="2" name="Gráfico 1" descr="Libreta de direcciones con relleno sólido">
          <a:extLst>
            <a:ext uri="{FF2B5EF4-FFF2-40B4-BE49-F238E27FC236}">
              <a16:creationId xmlns:a16="http://schemas.microsoft.com/office/drawing/2014/main" id="{85113923-BC55-4E21-9467-E1C78EA04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2777678" y="4745"/>
          <a:ext cx="480451" cy="4800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784412</xdr:colOff>
      <xdr:row>25</xdr:row>
      <xdr:rowOff>188259</xdr:rowOff>
    </xdr:from>
    <xdr:to>
      <xdr:col>8</xdr:col>
      <xdr:colOff>694765</xdr:colOff>
      <xdr:row>35</xdr:row>
      <xdr:rowOff>134471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DA59581-7D9D-D934-5A1D-DEBED34541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375621</xdr:colOff>
      <xdr:row>333</xdr:row>
      <xdr:rowOff>105335</xdr:rowOff>
    </xdr:from>
    <xdr:to>
      <xdr:col>7</xdr:col>
      <xdr:colOff>447339</xdr:colOff>
      <xdr:row>347</xdr:row>
      <xdr:rowOff>62193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ÑO">
              <a:extLst>
                <a:ext uri="{FF2B5EF4-FFF2-40B4-BE49-F238E27FC236}">
                  <a16:creationId xmlns:a16="http://schemas.microsoft.com/office/drawing/2014/main" id="{0190246F-2776-EC56-C0B4-C1CCCA8BD2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74280" y="6656070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41563</xdr:colOff>
      <xdr:row>0</xdr:row>
      <xdr:rowOff>41563</xdr:rowOff>
    </xdr:from>
    <xdr:to>
      <xdr:col>3</xdr:col>
      <xdr:colOff>1009650</xdr:colOff>
      <xdr:row>78</xdr:row>
      <xdr:rowOff>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7887457-EC81-C17B-7EF5-0340400F4112}"/>
            </a:ext>
          </a:extLst>
        </xdr:cNvPr>
        <xdr:cNvSpPr/>
      </xdr:nvSpPr>
      <xdr:spPr>
        <a:xfrm>
          <a:off x="41563" y="41563"/>
          <a:ext cx="4225637" cy="14817437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69000">
              <a:schemeClr val="accent1">
                <a:lumMod val="60000"/>
                <a:lumOff val="40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4</xdr:col>
      <xdr:colOff>133350</xdr:colOff>
      <xdr:row>0</xdr:row>
      <xdr:rowOff>181315</xdr:rowOff>
    </xdr:from>
    <xdr:to>
      <xdr:col>36</xdr:col>
      <xdr:colOff>704849</xdr:colOff>
      <xdr:row>77</xdr:row>
      <xdr:rowOff>152400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A2C1B68-4409-4D62-B857-885F8BE57820}"/>
            </a:ext>
          </a:extLst>
        </xdr:cNvPr>
        <xdr:cNvSpPr/>
      </xdr:nvSpPr>
      <xdr:spPr>
        <a:xfrm>
          <a:off x="4476750" y="181315"/>
          <a:ext cx="34632899" cy="14639585"/>
        </a:xfrm>
        <a:prstGeom prst="roundRect">
          <a:avLst>
            <a:gd name="adj" fmla="val 2187"/>
          </a:avLst>
        </a:prstGeom>
        <a:gradFill flip="none" rotWithShape="1">
          <a:gsLst>
            <a:gs pos="0">
              <a:schemeClr val="accent1">
                <a:lumMod val="75000"/>
              </a:schemeClr>
            </a:gs>
            <a:gs pos="85000">
              <a:srgbClr val="779ECE"/>
            </a:gs>
            <a:gs pos="5000">
              <a:srgbClr val="4971A3"/>
            </a:gs>
            <a:gs pos="41000">
              <a:srgbClr val="5B83B4"/>
            </a:gs>
            <a:gs pos="100000">
              <a:schemeClr val="tx2">
                <a:lumMod val="40000"/>
                <a:lumOff val="6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0</xdr:col>
      <xdr:colOff>110837</xdr:colOff>
      <xdr:row>35</xdr:row>
      <xdr:rowOff>76200</xdr:rowOff>
    </xdr:from>
    <xdr:to>
      <xdr:col>3</xdr:col>
      <xdr:colOff>941312</xdr:colOff>
      <xdr:row>71</xdr:row>
      <xdr:rowOff>140368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ES 1">
              <a:extLst>
                <a:ext uri="{FF2B5EF4-FFF2-40B4-BE49-F238E27FC236}">
                  <a16:creationId xmlns:a16="http://schemas.microsoft.com/office/drawing/2014/main" id="{9EFA6665-982D-4AE2-87B7-A109D2CFC0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37" y="6743700"/>
              <a:ext cx="4088025" cy="66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110837</xdr:colOff>
      <xdr:row>13</xdr:row>
      <xdr:rowOff>64942</xdr:rowOff>
    </xdr:from>
    <xdr:to>
      <xdr:col>3</xdr:col>
      <xdr:colOff>941313</xdr:colOff>
      <xdr:row>34</xdr:row>
      <xdr:rowOff>132442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OBRA 2">
              <a:extLst>
                <a:ext uri="{FF2B5EF4-FFF2-40B4-BE49-F238E27FC236}">
                  <a16:creationId xmlns:a16="http://schemas.microsoft.com/office/drawing/2014/main" id="{A1CA0403-6697-4C28-A52B-56CD331E54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B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37" y="2541442"/>
              <a:ext cx="4088026" cy="40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526473</xdr:colOff>
      <xdr:row>1</xdr:row>
      <xdr:rowOff>83128</xdr:rowOff>
    </xdr:from>
    <xdr:to>
      <xdr:col>8</xdr:col>
      <xdr:colOff>517398</xdr:colOff>
      <xdr:row>13</xdr:row>
      <xdr:rowOff>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5D4B7A22-98AD-3DED-0F74-49716B692799}"/>
            </a:ext>
          </a:extLst>
        </xdr:cNvPr>
        <xdr:cNvGrpSpPr/>
      </xdr:nvGrpSpPr>
      <xdr:grpSpPr>
        <a:xfrm>
          <a:off x="4849091" y="263237"/>
          <a:ext cx="4313543" cy="2078181"/>
          <a:chOff x="3685309" y="263237"/>
          <a:chExt cx="4308766" cy="2078181"/>
        </a:xfrm>
      </xdr:grpSpPr>
      <xdr:sp macro="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A844506E-84F0-09C6-0D45-5975AFEB6523}"/>
              </a:ext>
            </a:extLst>
          </xdr:cNvPr>
          <xdr:cNvSpPr/>
        </xdr:nvSpPr>
        <xdr:spPr>
          <a:xfrm>
            <a:off x="3685309" y="263237"/>
            <a:ext cx="4211782" cy="2078181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91BF3369-ACED-79CA-39B4-F90CB185E77F}"/>
              </a:ext>
            </a:extLst>
          </xdr:cNvPr>
          <xdr:cNvSpPr txBox="1"/>
        </xdr:nvSpPr>
        <xdr:spPr>
          <a:xfrm>
            <a:off x="3685309" y="512618"/>
            <a:ext cx="3422073" cy="5403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2400">
                <a:latin typeface="Algerian" panose="04020705040A02060702" pitchFamily="82" charset="0"/>
              </a:rPr>
              <a:t>TOTAL INCIDENTES</a:t>
            </a:r>
          </a:p>
        </xdr:txBody>
      </xdr:sp>
      <xdr:pic>
        <xdr:nvPicPr>
          <xdr:cNvPr id="13" name="Gráfico 12" descr="Cabestrillo con relleno sólido">
            <a:extLst>
              <a:ext uri="{FF2B5EF4-FFF2-40B4-BE49-F238E27FC236}">
                <a16:creationId xmlns:a16="http://schemas.microsoft.com/office/drawing/2014/main" id="{129E40F7-55D7-DDB5-6947-44EB4D3212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317673" y="512618"/>
            <a:ext cx="1676402" cy="1676402"/>
          </a:xfrm>
          <a:prstGeom prst="rect">
            <a:avLst/>
          </a:prstGeom>
        </xdr:spPr>
      </xdr:pic>
      <xdr:sp macro="" textlink="STATS!I9">
        <xdr:nvSpPr>
          <xdr:cNvPr id="14" name="CuadroTexto 13">
            <a:extLst>
              <a:ext uri="{FF2B5EF4-FFF2-40B4-BE49-F238E27FC236}">
                <a16:creationId xmlns:a16="http://schemas.microsoft.com/office/drawing/2014/main" id="{59C69001-F387-A722-D6B4-6B2C4A0263CA}"/>
              </a:ext>
            </a:extLst>
          </xdr:cNvPr>
          <xdr:cNvSpPr txBox="1"/>
        </xdr:nvSpPr>
        <xdr:spPr>
          <a:xfrm>
            <a:off x="5001492" y="1153091"/>
            <a:ext cx="789709" cy="64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B2433A8B-6328-41C6-9EFF-32F3BB3DD516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0</a:t>
            </a:fld>
            <a:endParaRPr lang="es-PE" sz="6000">
              <a:latin typeface="Algerian" panose="04020705040A02060702" pitchFamily="82" charset="0"/>
            </a:endParaRPr>
          </a:p>
        </xdr:txBody>
      </xdr:sp>
    </xdr:grpSp>
    <xdr:clientData/>
  </xdr:twoCellAnchor>
  <xdr:twoCellAnchor editAs="oneCell">
    <xdr:from>
      <xdr:col>8</xdr:col>
      <xdr:colOff>636695</xdr:colOff>
      <xdr:row>1</xdr:row>
      <xdr:rowOff>83128</xdr:rowOff>
    </xdr:from>
    <xdr:to>
      <xdr:col>12</xdr:col>
      <xdr:colOff>419563</xdr:colOff>
      <xdr:row>13</xdr:row>
      <xdr:rowOff>0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682F0529-6956-1ECA-39AD-8140F9AA8ADC}"/>
            </a:ext>
          </a:extLst>
        </xdr:cNvPr>
        <xdr:cNvGrpSpPr/>
      </xdr:nvGrpSpPr>
      <xdr:grpSpPr>
        <a:xfrm>
          <a:off x="9281931" y="263237"/>
          <a:ext cx="4105487" cy="2078181"/>
          <a:chOff x="8285016" y="304800"/>
          <a:chExt cx="4350329" cy="2078181"/>
        </a:xfrm>
      </xdr:grpSpPr>
      <xdr:sp macro="" textlink="">
        <xdr:nvSpPr>
          <xdr:cNvPr id="23" name="Rectángulo: esquinas redondeadas 22">
            <a:extLst>
              <a:ext uri="{FF2B5EF4-FFF2-40B4-BE49-F238E27FC236}">
                <a16:creationId xmlns:a16="http://schemas.microsoft.com/office/drawing/2014/main" id="{5B2F9932-4567-A5FC-90C7-42402E9C0593}"/>
              </a:ext>
            </a:extLst>
          </xdr:cNvPr>
          <xdr:cNvSpPr/>
        </xdr:nvSpPr>
        <xdr:spPr>
          <a:xfrm>
            <a:off x="8285016" y="304800"/>
            <a:ext cx="4211782" cy="2078181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F6DA2568-2EB7-7B70-C690-39AF647A05B8}"/>
              </a:ext>
            </a:extLst>
          </xdr:cNvPr>
          <xdr:cNvSpPr txBox="1"/>
        </xdr:nvSpPr>
        <xdr:spPr>
          <a:xfrm>
            <a:off x="8285016" y="554181"/>
            <a:ext cx="3532912" cy="6404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1600">
                <a:latin typeface="Algerian" panose="04020705040A02060702" pitchFamily="82" charset="0"/>
              </a:rPr>
              <a:t>ACCIDENTES</a:t>
            </a:r>
            <a:r>
              <a:rPr lang="es-PE" sz="1600" baseline="0">
                <a:latin typeface="Algerian" panose="04020705040A02060702" pitchFamily="82" charset="0"/>
              </a:rPr>
              <a:t> QUE REQUIRIERON CIRUGIA</a:t>
            </a:r>
            <a:endParaRPr lang="es-PE" sz="1600">
              <a:latin typeface="Algerian" panose="04020705040A02060702" pitchFamily="82" charset="0"/>
            </a:endParaRPr>
          </a:p>
        </xdr:txBody>
      </xdr:sp>
      <xdr:sp macro="" textlink="STATS!I11">
        <xdr:nvSpPr>
          <xdr:cNvPr id="26" name="CuadroTexto 25">
            <a:extLst>
              <a:ext uri="{FF2B5EF4-FFF2-40B4-BE49-F238E27FC236}">
                <a16:creationId xmlns:a16="http://schemas.microsoft.com/office/drawing/2014/main" id="{160C0543-BC26-C52B-6CBE-4AE5096E321F}"/>
              </a:ext>
            </a:extLst>
          </xdr:cNvPr>
          <xdr:cNvSpPr txBox="1"/>
        </xdr:nvSpPr>
        <xdr:spPr>
          <a:xfrm>
            <a:off x="9601199" y="1260764"/>
            <a:ext cx="789709" cy="64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26D4FD59-90DF-400B-AD7D-3C861E4975B0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0</a:t>
            </a:fld>
            <a:endParaRPr lang="es-PE" sz="6000">
              <a:latin typeface="Algerian" panose="04020705040A02060702" pitchFamily="82" charset="0"/>
            </a:endParaRPr>
          </a:p>
        </xdr:txBody>
      </xdr:sp>
      <xdr:pic>
        <xdr:nvPicPr>
          <xdr:cNvPr id="30" name="Gráfico 29" descr="Doctor con relleno sólido">
            <a:extLst>
              <a:ext uri="{FF2B5EF4-FFF2-40B4-BE49-F238E27FC236}">
                <a16:creationId xmlns:a16="http://schemas.microsoft.com/office/drawing/2014/main" id="{4A5C0126-766D-CE29-95E0-03A4E584F2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111345" y="637309"/>
            <a:ext cx="1524000" cy="1524000"/>
          </a:xfrm>
          <a:prstGeom prst="rect">
            <a:avLst/>
          </a:prstGeom>
        </xdr:spPr>
      </xdr:pic>
    </xdr:grpSp>
    <xdr:clientData/>
  </xdr:twoCellAnchor>
  <xdr:twoCellAnchor editAs="oneCell">
    <xdr:from>
      <xdr:col>29</xdr:col>
      <xdr:colOff>305655</xdr:colOff>
      <xdr:row>1</xdr:row>
      <xdr:rowOff>95807</xdr:rowOff>
    </xdr:from>
    <xdr:to>
      <xdr:col>33</xdr:col>
      <xdr:colOff>39850</xdr:colOff>
      <xdr:row>13</xdr:row>
      <xdr:rowOff>12679</xdr:rowOff>
    </xdr:to>
    <xdr:grpSp>
      <xdr:nvGrpSpPr>
        <xdr:cNvPr id="56" name="Grupo 55">
          <a:extLst>
            <a:ext uri="{FF2B5EF4-FFF2-40B4-BE49-F238E27FC236}">
              <a16:creationId xmlns:a16="http://schemas.microsoft.com/office/drawing/2014/main" id="{E5722134-A465-5D08-B2CF-48FAFE1BF71D}"/>
            </a:ext>
          </a:extLst>
        </xdr:cNvPr>
        <xdr:cNvGrpSpPr/>
      </xdr:nvGrpSpPr>
      <xdr:grpSpPr>
        <a:xfrm>
          <a:off x="31644637" y="275916"/>
          <a:ext cx="4209213" cy="2078181"/>
          <a:chOff x="25939335" y="286307"/>
          <a:chExt cx="4237615" cy="2202872"/>
        </a:xfrm>
      </xdr:grpSpPr>
      <xdr:sp macro="" textlink="">
        <xdr:nvSpPr>
          <xdr:cNvPr id="52" name="Rectángulo: esquinas redondeadas 51">
            <a:extLst>
              <a:ext uri="{FF2B5EF4-FFF2-40B4-BE49-F238E27FC236}">
                <a16:creationId xmlns:a16="http://schemas.microsoft.com/office/drawing/2014/main" id="{1FC32E3E-93C1-EFBD-3BC7-DDB48C557C47}"/>
              </a:ext>
            </a:extLst>
          </xdr:cNvPr>
          <xdr:cNvSpPr/>
        </xdr:nvSpPr>
        <xdr:spPr>
          <a:xfrm>
            <a:off x="25939335" y="286307"/>
            <a:ext cx="4237615" cy="2202872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53" name="CuadroTexto 52">
            <a:extLst>
              <a:ext uri="{FF2B5EF4-FFF2-40B4-BE49-F238E27FC236}">
                <a16:creationId xmlns:a16="http://schemas.microsoft.com/office/drawing/2014/main" id="{F0591A1A-8B2D-D1ED-07DD-1EC9B3519D11}"/>
              </a:ext>
            </a:extLst>
          </xdr:cNvPr>
          <xdr:cNvSpPr txBox="1"/>
        </xdr:nvSpPr>
        <xdr:spPr>
          <a:xfrm>
            <a:off x="25939335" y="550651"/>
            <a:ext cx="3554581" cy="6789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2000">
                <a:latin typeface="Algerian" panose="04020705040A02060702" pitchFamily="82" charset="0"/>
              </a:rPr>
              <a:t>DÍAS SIN ACCIDENTES</a:t>
            </a:r>
          </a:p>
        </xdr:txBody>
      </xdr:sp>
      <xdr:sp macro="" textlink="STATS!J11">
        <xdr:nvSpPr>
          <xdr:cNvPr id="54" name="CuadroTexto 53">
            <a:extLst>
              <a:ext uri="{FF2B5EF4-FFF2-40B4-BE49-F238E27FC236}">
                <a16:creationId xmlns:a16="http://schemas.microsoft.com/office/drawing/2014/main" id="{91E44611-87B3-D1B0-B56B-AD1F5F8CEBAB}"/>
              </a:ext>
            </a:extLst>
          </xdr:cNvPr>
          <xdr:cNvSpPr txBox="1"/>
        </xdr:nvSpPr>
        <xdr:spPr>
          <a:xfrm>
            <a:off x="27170082" y="1093091"/>
            <a:ext cx="1018837" cy="9541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FDE03F1C-9A92-410F-84B9-00099346C212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Sin registros</a:t>
            </a:fld>
            <a:endParaRPr lang="es-PE" sz="6000">
              <a:latin typeface="Algerian" panose="04020705040A02060702" pitchFamily="82" charset="0"/>
            </a:endParaRPr>
          </a:p>
        </xdr:txBody>
      </xdr:sp>
      <xdr:pic>
        <xdr:nvPicPr>
          <xdr:cNvPr id="55" name="Gráfico 54" descr="Cuidado con relleno sólido">
            <a:extLst>
              <a:ext uri="{FF2B5EF4-FFF2-40B4-BE49-F238E27FC236}">
                <a16:creationId xmlns:a16="http://schemas.microsoft.com/office/drawing/2014/main" id="{433C6DFD-2EE6-5EC8-625D-C155797DD3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904142" y="895470"/>
            <a:ext cx="1185785" cy="1219879"/>
          </a:xfrm>
          <a:prstGeom prst="rect">
            <a:avLst/>
          </a:prstGeom>
        </xdr:spPr>
      </xdr:pic>
    </xdr:grpSp>
    <xdr:clientData/>
  </xdr:twoCellAnchor>
  <xdr:twoCellAnchor editAs="oneCell">
    <xdr:from>
      <xdr:col>12</xdr:col>
      <xdr:colOff>538861</xdr:colOff>
      <xdr:row>1</xdr:row>
      <xdr:rowOff>95807</xdr:rowOff>
    </xdr:from>
    <xdr:to>
      <xdr:col>16</xdr:col>
      <xdr:colOff>433076</xdr:colOff>
      <xdr:row>13</xdr:row>
      <xdr:rowOff>12679</xdr:rowOff>
    </xdr:to>
    <xdr:grpSp>
      <xdr:nvGrpSpPr>
        <xdr:cNvPr id="64" name="Grupo 63">
          <a:extLst>
            <a:ext uri="{FF2B5EF4-FFF2-40B4-BE49-F238E27FC236}">
              <a16:creationId xmlns:a16="http://schemas.microsoft.com/office/drawing/2014/main" id="{9C4ED986-C488-C429-F311-4A148585FCDE}"/>
            </a:ext>
          </a:extLst>
        </xdr:cNvPr>
        <xdr:cNvGrpSpPr/>
      </xdr:nvGrpSpPr>
      <xdr:grpSpPr>
        <a:xfrm>
          <a:off x="13506716" y="275916"/>
          <a:ext cx="4216833" cy="2078181"/>
          <a:chOff x="12426061" y="286307"/>
          <a:chExt cx="4237615" cy="2202872"/>
        </a:xfrm>
      </xdr:grpSpPr>
      <xdr:sp macro="" textlink="">
        <xdr:nvSpPr>
          <xdr:cNvPr id="41" name="Rectángulo: esquinas redondeadas 40">
            <a:extLst>
              <a:ext uri="{FF2B5EF4-FFF2-40B4-BE49-F238E27FC236}">
                <a16:creationId xmlns:a16="http://schemas.microsoft.com/office/drawing/2014/main" id="{70CAACC3-A7AF-14BF-18AE-6E0E1A71E07E}"/>
              </a:ext>
            </a:extLst>
          </xdr:cNvPr>
          <xdr:cNvSpPr/>
        </xdr:nvSpPr>
        <xdr:spPr>
          <a:xfrm>
            <a:off x="12426061" y="286307"/>
            <a:ext cx="4237615" cy="2202872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42" name="CuadroTexto 41">
            <a:extLst>
              <a:ext uri="{FF2B5EF4-FFF2-40B4-BE49-F238E27FC236}">
                <a16:creationId xmlns:a16="http://schemas.microsoft.com/office/drawing/2014/main" id="{415CA7C6-D4F0-2DE2-0EB8-F0A9F793ACAC}"/>
              </a:ext>
            </a:extLst>
          </xdr:cNvPr>
          <xdr:cNvSpPr txBox="1"/>
        </xdr:nvSpPr>
        <xdr:spPr>
          <a:xfrm>
            <a:off x="12426061" y="559068"/>
            <a:ext cx="3515505" cy="6808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1600">
                <a:latin typeface="Algerian" panose="04020705040A02060702" pitchFamily="82" charset="0"/>
              </a:rPr>
              <a:t>ACCIDENTES</a:t>
            </a:r>
            <a:r>
              <a:rPr lang="es-PE" sz="1600" baseline="0">
                <a:latin typeface="Algerian" panose="04020705040A02060702" pitchFamily="82" charset="0"/>
              </a:rPr>
              <a:t> DE CARACTER LEVE</a:t>
            </a:r>
            <a:endParaRPr lang="es-PE" sz="1600">
              <a:latin typeface="Algerian" panose="04020705040A02060702" pitchFamily="82" charset="0"/>
            </a:endParaRPr>
          </a:p>
        </xdr:txBody>
      </xdr:sp>
      <xdr:sp macro="" textlink="STATS!K9">
        <xdr:nvSpPr>
          <xdr:cNvPr id="43" name="CuadroTexto 42">
            <a:extLst>
              <a:ext uri="{FF2B5EF4-FFF2-40B4-BE49-F238E27FC236}">
                <a16:creationId xmlns:a16="http://schemas.microsoft.com/office/drawing/2014/main" id="{5B27F2D5-18A2-6F2E-ED24-360AB2DB5A75}"/>
              </a:ext>
            </a:extLst>
          </xdr:cNvPr>
          <xdr:cNvSpPr txBox="1"/>
        </xdr:nvSpPr>
        <xdr:spPr>
          <a:xfrm>
            <a:off x="13748181" y="1296213"/>
            <a:ext cx="796688" cy="6885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6E7FED2F-34B2-46F7-A91E-40E07D7FECCB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0</a:t>
            </a:fld>
            <a:endParaRPr lang="es-PE" sz="6000">
              <a:latin typeface="Algerian" panose="04020705040A02060702" pitchFamily="82" charset="0"/>
            </a:endParaRPr>
          </a:p>
        </xdr:txBody>
      </xdr:sp>
      <xdr:pic>
        <xdr:nvPicPr>
          <xdr:cNvPr id="58" name="Gráfico 57" descr="vendaje adhesivo con relleno sólido">
            <a:extLst>
              <a:ext uri="{FF2B5EF4-FFF2-40B4-BE49-F238E27FC236}">
                <a16:creationId xmlns:a16="http://schemas.microsoft.com/office/drawing/2014/main" id="{62434652-9B96-7253-05B7-367A6593A1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311412" y="855972"/>
            <a:ext cx="1175008" cy="1175008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642895</xdr:colOff>
      <xdr:row>1</xdr:row>
      <xdr:rowOff>95807</xdr:rowOff>
    </xdr:from>
    <xdr:to>
      <xdr:col>20</xdr:col>
      <xdr:colOff>536023</xdr:colOff>
      <xdr:row>13</xdr:row>
      <xdr:rowOff>12679</xdr:rowOff>
    </xdr:to>
    <xdr:grpSp>
      <xdr:nvGrpSpPr>
        <xdr:cNvPr id="65" name="Grupo 64">
          <a:extLst>
            <a:ext uri="{FF2B5EF4-FFF2-40B4-BE49-F238E27FC236}">
              <a16:creationId xmlns:a16="http://schemas.microsoft.com/office/drawing/2014/main" id="{B6F4D735-CFDA-798D-A65C-444BAD3B0D2A}"/>
            </a:ext>
          </a:extLst>
        </xdr:cNvPr>
        <xdr:cNvGrpSpPr/>
      </xdr:nvGrpSpPr>
      <xdr:grpSpPr>
        <a:xfrm>
          <a:off x="17933368" y="275916"/>
          <a:ext cx="4215746" cy="2078181"/>
          <a:chOff x="16873495" y="286307"/>
          <a:chExt cx="4236528" cy="2202872"/>
        </a:xfrm>
      </xdr:grpSpPr>
      <xdr:sp macro="" textlink="">
        <xdr:nvSpPr>
          <xdr:cNvPr id="46" name="Rectángulo: esquinas redondeadas 45">
            <a:extLst>
              <a:ext uri="{FF2B5EF4-FFF2-40B4-BE49-F238E27FC236}">
                <a16:creationId xmlns:a16="http://schemas.microsoft.com/office/drawing/2014/main" id="{31F9A4EC-ACAB-0913-4AD6-03A825D5F868}"/>
              </a:ext>
            </a:extLst>
          </xdr:cNvPr>
          <xdr:cNvSpPr/>
        </xdr:nvSpPr>
        <xdr:spPr>
          <a:xfrm>
            <a:off x="16873495" y="286307"/>
            <a:ext cx="4236528" cy="2202872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47" name="CuadroTexto 46">
            <a:extLst>
              <a:ext uri="{FF2B5EF4-FFF2-40B4-BE49-F238E27FC236}">
                <a16:creationId xmlns:a16="http://schemas.microsoft.com/office/drawing/2014/main" id="{0534B2B5-F121-7179-E1A5-D02F188674D8}"/>
              </a:ext>
            </a:extLst>
          </xdr:cNvPr>
          <xdr:cNvSpPr txBox="1"/>
        </xdr:nvSpPr>
        <xdr:spPr>
          <a:xfrm>
            <a:off x="17297400" y="608049"/>
            <a:ext cx="2842935" cy="6789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1600">
                <a:latin typeface="Algerian" panose="04020705040A02060702" pitchFamily="82" charset="0"/>
              </a:rPr>
              <a:t>ACCIDENTES DE CARACTER GRAVE</a:t>
            </a:r>
          </a:p>
        </xdr:txBody>
      </xdr:sp>
      <xdr:sp macro="" textlink="STATS!L9">
        <xdr:nvSpPr>
          <xdr:cNvPr id="48" name="CuadroTexto 47">
            <a:extLst>
              <a:ext uri="{FF2B5EF4-FFF2-40B4-BE49-F238E27FC236}">
                <a16:creationId xmlns:a16="http://schemas.microsoft.com/office/drawing/2014/main" id="{C507DB90-F194-0B8E-132C-B1C8454F2987}"/>
              </a:ext>
            </a:extLst>
          </xdr:cNvPr>
          <xdr:cNvSpPr txBox="1"/>
        </xdr:nvSpPr>
        <xdr:spPr>
          <a:xfrm>
            <a:off x="18197411" y="1299629"/>
            <a:ext cx="794349" cy="686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C78A0459-0C2D-4221-9A3F-6BAC9FF7BED6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0</a:t>
            </a:fld>
            <a:endParaRPr lang="es-PE" sz="6000">
              <a:latin typeface="Algerian" panose="04020705040A02060702" pitchFamily="82" charset="0"/>
            </a:endParaRPr>
          </a:p>
        </xdr:txBody>
      </xdr:sp>
      <xdr:pic>
        <xdr:nvPicPr>
          <xdr:cNvPr id="60" name="Gráfico 59" descr="Ambulancia con relleno sólido">
            <a:extLst>
              <a:ext uri="{FF2B5EF4-FFF2-40B4-BE49-F238E27FC236}">
                <a16:creationId xmlns:a16="http://schemas.microsoft.com/office/drawing/2014/main" id="{BA2B208D-5194-86EF-1B56-F8DE61FB8B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9632172" y="968742"/>
            <a:ext cx="1272786" cy="1272786"/>
          </a:xfrm>
          <a:prstGeom prst="rect">
            <a:avLst/>
          </a:prstGeom>
        </xdr:spPr>
      </xdr:pic>
    </xdr:grpSp>
    <xdr:clientData/>
  </xdr:twoCellAnchor>
  <xdr:twoCellAnchor editAs="oneCell">
    <xdr:from>
      <xdr:col>20</xdr:col>
      <xdr:colOff>793626</xdr:colOff>
      <xdr:row>1</xdr:row>
      <xdr:rowOff>95807</xdr:rowOff>
    </xdr:from>
    <xdr:to>
      <xdr:col>24</xdr:col>
      <xdr:colOff>687842</xdr:colOff>
      <xdr:row>13</xdr:row>
      <xdr:rowOff>12679</xdr:rowOff>
    </xdr:to>
    <xdr:grpSp>
      <xdr:nvGrpSpPr>
        <xdr:cNvPr id="66" name="Grupo 65">
          <a:extLst>
            <a:ext uri="{FF2B5EF4-FFF2-40B4-BE49-F238E27FC236}">
              <a16:creationId xmlns:a16="http://schemas.microsoft.com/office/drawing/2014/main" id="{55554634-32F3-3B1C-2ACC-7912A70B11CB}"/>
            </a:ext>
          </a:extLst>
        </xdr:cNvPr>
        <xdr:cNvGrpSpPr/>
      </xdr:nvGrpSpPr>
      <xdr:grpSpPr>
        <a:xfrm>
          <a:off x="22406717" y="275916"/>
          <a:ext cx="4216834" cy="2078181"/>
          <a:chOff x="21367626" y="286307"/>
          <a:chExt cx="4237616" cy="2202872"/>
        </a:xfrm>
      </xdr:grpSpPr>
      <xdr:sp macro="" textlink="">
        <xdr:nvSpPr>
          <xdr:cNvPr id="33" name="Rectángulo: esquinas redondeadas 32">
            <a:extLst>
              <a:ext uri="{FF2B5EF4-FFF2-40B4-BE49-F238E27FC236}">
                <a16:creationId xmlns:a16="http://schemas.microsoft.com/office/drawing/2014/main" id="{679E6E2C-24D1-7C47-C498-00D428E20988}"/>
              </a:ext>
            </a:extLst>
          </xdr:cNvPr>
          <xdr:cNvSpPr/>
        </xdr:nvSpPr>
        <xdr:spPr>
          <a:xfrm>
            <a:off x="21367626" y="286307"/>
            <a:ext cx="4237616" cy="2202872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EECE29C5-17B4-1A78-E4EC-7FC245C0BC67}"/>
              </a:ext>
            </a:extLst>
          </xdr:cNvPr>
          <xdr:cNvSpPr txBox="1"/>
        </xdr:nvSpPr>
        <xdr:spPr>
          <a:xfrm>
            <a:off x="21367626" y="550651"/>
            <a:ext cx="3554582" cy="6789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2000">
                <a:latin typeface="Algerian" panose="04020705040A02060702" pitchFamily="82" charset="0"/>
              </a:rPr>
              <a:t>TOTAL DE ACCIDENTADOS</a:t>
            </a:r>
          </a:p>
        </xdr:txBody>
      </xdr:sp>
      <xdr:sp macro="" textlink="STATS!J9">
        <xdr:nvSpPr>
          <xdr:cNvPr id="35" name="CuadroTexto 34">
            <a:extLst>
              <a:ext uri="{FF2B5EF4-FFF2-40B4-BE49-F238E27FC236}">
                <a16:creationId xmlns:a16="http://schemas.microsoft.com/office/drawing/2014/main" id="{C5964D1A-7C2C-233A-FBBF-3D8085830D1B}"/>
              </a:ext>
            </a:extLst>
          </xdr:cNvPr>
          <xdr:cNvSpPr txBox="1"/>
        </xdr:nvSpPr>
        <xdr:spPr>
          <a:xfrm>
            <a:off x="22699529" y="1172429"/>
            <a:ext cx="794554" cy="686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EDB2CF7C-5CD6-48EC-B116-63872538993B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0</a:t>
            </a:fld>
            <a:endParaRPr lang="es-PE" sz="6000">
              <a:latin typeface="Algerian" panose="04020705040A02060702" pitchFamily="82" charset="0"/>
            </a:endParaRPr>
          </a:p>
        </xdr:txBody>
      </xdr:sp>
      <xdr:pic>
        <xdr:nvPicPr>
          <xdr:cNvPr id="63" name="Gráfico 62" descr="Corazón con pulso con relleno sólido">
            <a:extLst>
              <a:ext uri="{FF2B5EF4-FFF2-40B4-BE49-F238E27FC236}">
                <a16:creationId xmlns:a16="http://schemas.microsoft.com/office/drawing/2014/main" id="{91E8EC63-C4C2-D015-30DC-56366CD4AA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4420535" y="968742"/>
            <a:ext cx="1184707" cy="118470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589581</xdr:colOff>
      <xdr:row>16</xdr:row>
      <xdr:rowOff>93288</xdr:rowOff>
    </xdr:from>
    <xdr:to>
      <xdr:col>10</xdr:col>
      <xdr:colOff>519817</xdr:colOff>
      <xdr:row>38</xdr:row>
      <xdr:rowOff>114301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20159D8A-7591-417A-A7AB-1C857C130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589731</xdr:colOff>
      <xdr:row>14</xdr:row>
      <xdr:rowOff>106684</xdr:rowOff>
    </xdr:from>
    <xdr:to>
      <xdr:col>10</xdr:col>
      <xdr:colOff>519817</xdr:colOff>
      <xdr:row>16</xdr:row>
      <xdr:rowOff>86322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2521683A-FF7D-04C7-C0CC-9BE05EA4300B}"/>
            </a:ext>
          </a:extLst>
        </xdr:cNvPr>
        <xdr:cNvSpPr/>
      </xdr:nvSpPr>
      <xdr:spPr>
        <a:xfrm>
          <a:off x="4933131" y="2773684"/>
          <a:ext cx="6445186" cy="360638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latin typeface="Algerian" panose="04020705040A02060702" pitchFamily="82" charset="0"/>
            </a:rPr>
            <a:t>% DE ACCIDENTES POR GÉNERO</a:t>
          </a:r>
        </a:p>
      </xdr:txBody>
    </xdr:sp>
    <xdr:clientData/>
  </xdr:twoCellAnchor>
  <xdr:twoCellAnchor>
    <xdr:from>
      <xdr:col>18</xdr:col>
      <xdr:colOff>609600</xdr:colOff>
      <xdr:row>55</xdr:row>
      <xdr:rowOff>171450</xdr:rowOff>
    </xdr:from>
    <xdr:to>
      <xdr:col>35</xdr:col>
      <xdr:colOff>685800</xdr:colOff>
      <xdr:row>76</xdr:row>
      <xdr:rowOff>144779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37D26404-D0AE-04A9-54DF-F349C4EABC83}"/>
            </a:ext>
          </a:extLst>
        </xdr:cNvPr>
        <xdr:cNvGrpSpPr/>
      </xdr:nvGrpSpPr>
      <xdr:grpSpPr>
        <a:xfrm>
          <a:off x="20061382" y="10077450"/>
          <a:ext cx="18017836" cy="3755620"/>
          <a:chOff x="11639550" y="2762250"/>
          <a:chExt cx="8271771" cy="4564379"/>
        </a:xfrm>
      </xdr:grpSpPr>
      <xdr:sp macro="" textlink="">
        <xdr:nvSpPr>
          <xdr:cNvPr id="70" name="Rectángulo 69">
            <a:extLst>
              <a:ext uri="{FF2B5EF4-FFF2-40B4-BE49-F238E27FC236}">
                <a16:creationId xmlns:a16="http://schemas.microsoft.com/office/drawing/2014/main" id="{9C8FD9E5-083F-4A4B-A397-AD1B9B5BE69E}"/>
              </a:ext>
            </a:extLst>
          </xdr:cNvPr>
          <xdr:cNvSpPr/>
        </xdr:nvSpPr>
        <xdr:spPr>
          <a:xfrm>
            <a:off x="11639550" y="2762250"/>
            <a:ext cx="8271771" cy="364542"/>
          </a:xfrm>
          <a:prstGeom prst="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24000">
                <a:schemeClr val="accent1">
                  <a:alpha val="74000"/>
                  <a:lumMod val="77000"/>
                </a:schemeClr>
              </a:gs>
              <a:gs pos="10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PE" sz="2000">
                <a:latin typeface="Algerian" panose="04020705040A02060702" pitchFamily="82" charset="0"/>
              </a:rPr>
              <a:t>NÚMERO</a:t>
            </a:r>
            <a:r>
              <a:rPr lang="es-PE" sz="2000" baseline="0">
                <a:latin typeface="Algerian" panose="04020705040A02060702" pitchFamily="82" charset="0"/>
              </a:rPr>
              <a:t> DE ACCIDENTES POR MES</a:t>
            </a:r>
            <a:endParaRPr lang="es-PE" sz="2000">
              <a:latin typeface="Algerian" panose="04020705040A02060702" pitchFamily="82" charset="0"/>
            </a:endParaRPr>
          </a:p>
        </xdr:txBody>
      </xdr:sp>
      <xdr:graphicFrame macro="">
        <xdr:nvGraphicFramePr>
          <xdr:cNvPr id="71" name="Gráfico 70">
            <a:extLst>
              <a:ext uri="{FF2B5EF4-FFF2-40B4-BE49-F238E27FC236}">
                <a16:creationId xmlns:a16="http://schemas.microsoft.com/office/drawing/2014/main" id="{4A37F393-CB0C-4D34-9FDE-13B82C0623B3}"/>
              </a:ext>
            </a:extLst>
          </xdr:cNvPr>
          <xdr:cNvGraphicFramePr>
            <a:graphicFrameLocks/>
          </xdr:cNvGraphicFramePr>
        </xdr:nvGraphicFramePr>
        <xdr:xfrm>
          <a:off x="11639550" y="3118956"/>
          <a:ext cx="8271771" cy="42076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18</xdr:col>
      <xdr:colOff>582944</xdr:colOff>
      <xdr:row>14</xdr:row>
      <xdr:rowOff>76200</xdr:rowOff>
    </xdr:from>
    <xdr:to>
      <xdr:col>28</xdr:col>
      <xdr:colOff>781049</xdr:colOff>
      <xdr:row>55</xdr:row>
      <xdr:rowOff>19050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C33756CD-E0D2-4662-859F-61AE6D3D3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19</xdr:col>
      <xdr:colOff>274054</xdr:colOff>
      <xdr:row>31</xdr:row>
      <xdr:rowOff>176264</xdr:rowOff>
    </xdr:from>
    <xdr:to>
      <xdr:col>19</xdr:col>
      <xdr:colOff>998424</xdr:colOff>
      <xdr:row>36</xdr:row>
      <xdr:rowOff>127190</xdr:rowOff>
    </xdr:to>
    <xdr:sp macro="[0]!ActualizarMapaCalor" textlink="">
      <xdr:nvSpPr>
        <xdr:cNvPr id="27" name="Brazos">
          <a:extLst>
            <a:ext uri="{FF2B5EF4-FFF2-40B4-BE49-F238E27FC236}">
              <a16:creationId xmlns:a16="http://schemas.microsoft.com/office/drawing/2014/main" id="{A0D8C151-A039-443D-AD7C-155A7344A7CB}"/>
            </a:ext>
          </a:extLst>
        </xdr:cNvPr>
        <xdr:cNvSpPr/>
      </xdr:nvSpPr>
      <xdr:spPr>
        <a:xfrm rot="17677687">
          <a:off x="20742939" y="5823197"/>
          <a:ext cx="851471" cy="724370"/>
        </a:xfrm>
        <a:custGeom>
          <a:avLst/>
          <a:gdLst>
            <a:gd name="csX0" fmla="*/ 251056 w 1033326"/>
            <a:gd name="csY0" fmla="*/ 813487 h 830980"/>
            <a:gd name="csX1" fmla="*/ 699187 w 1033326"/>
            <a:gd name="csY1" fmla="*/ 536548 h 830980"/>
            <a:gd name="csX2" fmla="*/ 961913 w 1033326"/>
            <a:gd name="csY2" fmla="*/ 356765 h 830980"/>
            <a:gd name="csX3" fmla="*/ 993498 w 1033326"/>
            <a:gd name="csY3" fmla="*/ 92333 h 830980"/>
            <a:gd name="csX4" fmla="*/ 993498 w 1033326"/>
            <a:gd name="csY4" fmla="*/ 92333 h 830980"/>
            <a:gd name="csX5" fmla="*/ 735699 w 1033326"/>
            <a:gd name="csY5" fmla="*/ 25814 h 830980"/>
            <a:gd name="csX6" fmla="*/ 472973 w 1033326"/>
            <a:gd name="csY6" fmla="*/ 205598 h 830980"/>
            <a:gd name="csX7" fmla="*/ 52574 w 1033326"/>
            <a:gd name="csY7" fmla="*/ 523029 h 830980"/>
            <a:gd name="csX8" fmla="*/ 31980 w 1033326"/>
            <a:gd name="csY8" fmla="*/ 732060 h 830980"/>
            <a:gd name="csX9" fmla="*/ 49036 w 1033326"/>
            <a:gd name="csY9" fmla="*/ 756886 h 830980"/>
            <a:gd name="csX10" fmla="*/ 251056 w 1033326"/>
            <a:gd name="csY10" fmla="*/ 813487 h 83098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1033326" h="830980">
              <a:moveTo>
                <a:pt x="251056" y="813487"/>
              </a:moveTo>
              <a:lnTo>
                <a:pt x="699187" y="536548"/>
              </a:lnTo>
              <a:lnTo>
                <a:pt x="961913" y="356765"/>
              </a:lnTo>
              <a:cubicBezTo>
                <a:pt x="1043036" y="292122"/>
                <a:pt x="1057111" y="174265"/>
                <a:pt x="993498" y="92333"/>
              </a:cubicBezTo>
              <a:lnTo>
                <a:pt x="993498" y="92333"/>
              </a:lnTo>
              <a:cubicBezTo>
                <a:pt x="940365" y="3187"/>
                <a:pt x="825326" y="-26497"/>
                <a:pt x="735699" y="25814"/>
              </a:cubicBezTo>
              <a:lnTo>
                <a:pt x="472973" y="205598"/>
              </a:lnTo>
              <a:lnTo>
                <a:pt x="52574" y="523029"/>
              </a:lnTo>
              <a:cubicBezTo>
                <a:pt x="-8588" y="576244"/>
                <a:pt x="-17621" y="667930"/>
                <a:pt x="31980" y="732060"/>
              </a:cubicBezTo>
              <a:lnTo>
                <a:pt x="49036" y="756886"/>
              </a:lnTo>
              <a:cubicBezTo>
                <a:pt x="90779" y="826247"/>
                <a:pt x="179351" y="851061"/>
                <a:pt x="251056" y="813487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21</xdr:col>
      <xdr:colOff>126411</xdr:colOff>
      <xdr:row>32</xdr:row>
      <xdr:rowOff>22854</xdr:rowOff>
    </xdr:from>
    <xdr:to>
      <xdr:col>21</xdr:col>
      <xdr:colOff>1005596</xdr:colOff>
      <xdr:row>35</xdr:row>
      <xdr:rowOff>172198</xdr:rowOff>
    </xdr:to>
    <xdr:sp macro="[0]!ActualizarMapaCalor" textlink="">
      <xdr:nvSpPr>
        <xdr:cNvPr id="44" name="Brazos">
          <a:extLst>
            <a:ext uri="{FF2B5EF4-FFF2-40B4-BE49-F238E27FC236}">
              <a16:creationId xmlns:a16="http://schemas.microsoft.com/office/drawing/2014/main" id="{E419AE06-7189-4C72-8051-6611ACEE8C7E}"/>
            </a:ext>
          </a:extLst>
        </xdr:cNvPr>
        <xdr:cNvSpPr/>
      </xdr:nvSpPr>
      <xdr:spPr>
        <a:xfrm rot="19041250">
          <a:off x="22820156" y="5786345"/>
          <a:ext cx="879185" cy="689671"/>
        </a:xfrm>
        <a:custGeom>
          <a:avLst/>
          <a:gdLst>
            <a:gd name="csX0" fmla="*/ 251056 w 1033326"/>
            <a:gd name="csY0" fmla="*/ 813487 h 830980"/>
            <a:gd name="csX1" fmla="*/ 699187 w 1033326"/>
            <a:gd name="csY1" fmla="*/ 536548 h 830980"/>
            <a:gd name="csX2" fmla="*/ 961913 w 1033326"/>
            <a:gd name="csY2" fmla="*/ 356765 h 830980"/>
            <a:gd name="csX3" fmla="*/ 993498 w 1033326"/>
            <a:gd name="csY3" fmla="*/ 92333 h 830980"/>
            <a:gd name="csX4" fmla="*/ 993498 w 1033326"/>
            <a:gd name="csY4" fmla="*/ 92333 h 830980"/>
            <a:gd name="csX5" fmla="*/ 735699 w 1033326"/>
            <a:gd name="csY5" fmla="*/ 25814 h 830980"/>
            <a:gd name="csX6" fmla="*/ 472973 w 1033326"/>
            <a:gd name="csY6" fmla="*/ 205598 h 830980"/>
            <a:gd name="csX7" fmla="*/ 52574 w 1033326"/>
            <a:gd name="csY7" fmla="*/ 523029 h 830980"/>
            <a:gd name="csX8" fmla="*/ 31980 w 1033326"/>
            <a:gd name="csY8" fmla="*/ 732060 h 830980"/>
            <a:gd name="csX9" fmla="*/ 49036 w 1033326"/>
            <a:gd name="csY9" fmla="*/ 756886 h 830980"/>
            <a:gd name="csX10" fmla="*/ 251056 w 1033326"/>
            <a:gd name="csY10" fmla="*/ 813487 h 83098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1033326" h="830980">
              <a:moveTo>
                <a:pt x="251056" y="813487"/>
              </a:moveTo>
              <a:lnTo>
                <a:pt x="699187" y="536548"/>
              </a:lnTo>
              <a:lnTo>
                <a:pt x="961913" y="356765"/>
              </a:lnTo>
              <a:cubicBezTo>
                <a:pt x="1043036" y="292122"/>
                <a:pt x="1057111" y="174265"/>
                <a:pt x="993498" y="92333"/>
              </a:cubicBezTo>
              <a:lnTo>
                <a:pt x="993498" y="92333"/>
              </a:lnTo>
              <a:cubicBezTo>
                <a:pt x="940365" y="3187"/>
                <a:pt x="825326" y="-26497"/>
                <a:pt x="735699" y="25814"/>
              </a:cubicBezTo>
              <a:lnTo>
                <a:pt x="472973" y="205598"/>
              </a:lnTo>
              <a:lnTo>
                <a:pt x="52574" y="523029"/>
              </a:lnTo>
              <a:cubicBezTo>
                <a:pt x="-8588" y="576244"/>
                <a:pt x="-17621" y="667930"/>
                <a:pt x="31980" y="732060"/>
              </a:cubicBezTo>
              <a:lnTo>
                <a:pt x="49036" y="756886"/>
              </a:lnTo>
              <a:cubicBezTo>
                <a:pt x="90779" y="826247"/>
                <a:pt x="179351" y="851061"/>
                <a:pt x="251056" y="813487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20</xdr:col>
      <xdr:colOff>145887</xdr:colOff>
      <xdr:row>31</xdr:row>
      <xdr:rowOff>74846</xdr:rowOff>
    </xdr:from>
    <xdr:to>
      <xdr:col>20</xdr:col>
      <xdr:colOff>1046741</xdr:colOff>
      <xdr:row>35</xdr:row>
      <xdr:rowOff>86008</xdr:rowOff>
    </xdr:to>
    <xdr:sp macro="[0]!ActualizarMapaCalor" textlink="">
      <xdr:nvSpPr>
        <xdr:cNvPr id="25" name="Torso Bajo">
          <a:extLst>
            <a:ext uri="{FF2B5EF4-FFF2-40B4-BE49-F238E27FC236}">
              <a16:creationId xmlns:a16="http://schemas.microsoft.com/office/drawing/2014/main" id="{09660491-97AD-49BF-A0CA-0CCAB0849278}"/>
            </a:ext>
          </a:extLst>
        </xdr:cNvPr>
        <xdr:cNvSpPr/>
      </xdr:nvSpPr>
      <xdr:spPr>
        <a:xfrm rot="10800000">
          <a:off x="21758978" y="5658228"/>
          <a:ext cx="910379" cy="731598"/>
        </a:xfrm>
        <a:custGeom>
          <a:avLst/>
          <a:gdLst>
            <a:gd name="csX0" fmla="*/ 147882 w 1048755"/>
            <a:gd name="csY0" fmla="*/ 840925 h 979268"/>
            <a:gd name="csX1" fmla="*/ 335119 w 1048755"/>
            <a:gd name="csY1" fmla="*/ 979269 h 979268"/>
            <a:gd name="csX2" fmla="*/ 721533 w 1048755"/>
            <a:gd name="csY2" fmla="*/ 979269 h 979268"/>
            <a:gd name="csX3" fmla="*/ 909654 w 1048755"/>
            <a:gd name="csY3" fmla="*/ 838019 h 979268"/>
            <a:gd name="csX4" fmla="*/ 1022856 w 1048755"/>
            <a:gd name="csY4" fmla="*/ 448258 h 979268"/>
            <a:gd name="csX5" fmla="*/ 1048756 w 1048755"/>
            <a:gd name="csY5" fmla="*/ 266137 h 979268"/>
            <a:gd name="csX6" fmla="*/ 1048756 w 1048755"/>
            <a:gd name="csY6" fmla="*/ 195828 h 979268"/>
            <a:gd name="csX7" fmla="*/ 852928 w 1048755"/>
            <a:gd name="csY7" fmla="*/ 0 h 979268"/>
            <a:gd name="csX8" fmla="*/ 195828 w 1048755"/>
            <a:gd name="csY8" fmla="*/ 0 h 979268"/>
            <a:gd name="csX9" fmla="*/ 0 w 1048755"/>
            <a:gd name="csY9" fmla="*/ 195828 h 979268"/>
            <a:gd name="csX10" fmla="*/ 0 w 1048755"/>
            <a:gd name="csY10" fmla="*/ 261020 h 979268"/>
            <a:gd name="csX11" fmla="*/ 28742 w 1048755"/>
            <a:gd name="csY11" fmla="*/ 452743 h 97926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</a:cxnLst>
          <a:rect l="l" t="t" r="r" b="b"/>
          <a:pathLst>
            <a:path w="1048755" h="979268">
              <a:moveTo>
                <a:pt x="147882" y="840925"/>
              </a:moveTo>
              <a:cubicBezTo>
                <a:pt x="173131" y="923160"/>
                <a:pt x="249094" y="979287"/>
                <a:pt x="335119" y="979269"/>
              </a:cubicBezTo>
              <a:lnTo>
                <a:pt x="721533" y="979269"/>
              </a:lnTo>
              <a:cubicBezTo>
                <a:pt x="808683" y="979294"/>
                <a:pt x="885366" y="921720"/>
                <a:pt x="909654" y="838019"/>
              </a:cubicBezTo>
              <a:lnTo>
                <a:pt x="1022856" y="448258"/>
              </a:lnTo>
              <a:cubicBezTo>
                <a:pt x="1040039" y="389079"/>
                <a:pt x="1048756" y="327760"/>
                <a:pt x="1048756" y="266137"/>
              </a:cubicBezTo>
              <a:lnTo>
                <a:pt x="1048756" y="195828"/>
              </a:lnTo>
              <a:cubicBezTo>
                <a:pt x="1048756" y="87674"/>
                <a:pt x="961082" y="0"/>
                <a:pt x="852928" y="0"/>
              </a:cubicBezTo>
              <a:lnTo>
                <a:pt x="195828" y="0"/>
              </a:lnTo>
              <a:cubicBezTo>
                <a:pt x="87674" y="0"/>
                <a:pt x="0" y="87674"/>
                <a:pt x="0" y="195828"/>
              </a:cubicBezTo>
              <a:lnTo>
                <a:pt x="0" y="261020"/>
              </a:lnTo>
              <a:cubicBezTo>
                <a:pt x="-13" y="326004"/>
                <a:pt x="9671" y="390621"/>
                <a:pt x="28742" y="452743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20</xdr:col>
      <xdr:colOff>70872</xdr:colOff>
      <xdr:row>25</xdr:row>
      <xdr:rowOff>72198</xdr:rowOff>
    </xdr:from>
    <xdr:to>
      <xdr:col>21</xdr:col>
      <xdr:colOff>40275</xdr:colOff>
      <xdr:row>30</xdr:row>
      <xdr:rowOff>146508</xdr:rowOff>
    </xdr:to>
    <xdr:sp macro="[0]!ActualizarMapaCalor" textlink="">
      <xdr:nvSpPr>
        <xdr:cNvPr id="5" name="Torso Alto">
          <a:extLst>
            <a:ext uri="{FF2B5EF4-FFF2-40B4-BE49-F238E27FC236}">
              <a16:creationId xmlns:a16="http://schemas.microsoft.com/office/drawing/2014/main" id="{43D51A22-DAB6-BB2E-E86D-339D3537A86D}"/>
            </a:ext>
          </a:extLst>
        </xdr:cNvPr>
        <xdr:cNvSpPr/>
      </xdr:nvSpPr>
      <xdr:spPr>
        <a:xfrm>
          <a:off x="21683963" y="4574925"/>
          <a:ext cx="1050057" cy="974856"/>
        </a:xfrm>
        <a:custGeom>
          <a:avLst/>
          <a:gdLst>
            <a:gd name="csX0" fmla="*/ 147882 w 1048755"/>
            <a:gd name="csY0" fmla="*/ 840925 h 979268"/>
            <a:gd name="csX1" fmla="*/ 335119 w 1048755"/>
            <a:gd name="csY1" fmla="*/ 979269 h 979268"/>
            <a:gd name="csX2" fmla="*/ 721533 w 1048755"/>
            <a:gd name="csY2" fmla="*/ 979269 h 979268"/>
            <a:gd name="csX3" fmla="*/ 909654 w 1048755"/>
            <a:gd name="csY3" fmla="*/ 838019 h 979268"/>
            <a:gd name="csX4" fmla="*/ 1022856 w 1048755"/>
            <a:gd name="csY4" fmla="*/ 448258 h 979268"/>
            <a:gd name="csX5" fmla="*/ 1048756 w 1048755"/>
            <a:gd name="csY5" fmla="*/ 266137 h 979268"/>
            <a:gd name="csX6" fmla="*/ 1048756 w 1048755"/>
            <a:gd name="csY6" fmla="*/ 195828 h 979268"/>
            <a:gd name="csX7" fmla="*/ 852928 w 1048755"/>
            <a:gd name="csY7" fmla="*/ 0 h 979268"/>
            <a:gd name="csX8" fmla="*/ 195828 w 1048755"/>
            <a:gd name="csY8" fmla="*/ 0 h 979268"/>
            <a:gd name="csX9" fmla="*/ 0 w 1048755"/>
            <a:gd name="csY9" fmla="*/ 195828 h 979268"/>
            <a:gd name="csX10" fmla="*/ 0 w 1048755"/>
            <a:gd name="csY10" fmla="*/ 261020 h 979268"/>
            <a:gd name="csX11" fmla="*/ 28742 w 1048755"/>
            <a:gd name="csY11" fmla="*/ 452743 h 97926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</a:cxnLst>
          <a:rect l="l" t="t" r="r" b="b"/>
          <a:pathLst>
            <a:path w="1048755" h="979268">
              <a:moveTo>
                <a:pt x="147882" y="840925"/>
              </a:moveTo>
              <a:cubicBezTo>
                <a:pt x="173131" y="923160"/>
                <a:pt x="249094" y="979287"/>
                <a:pt x="335119" y="979269"/>
              </a:cubicBezTo>
              <a:lnTo>
                <a:pt x="721533" y="979269"/>
              </a:lnTo>
              <a:cubicBezTo>
                <a:pt x="808683" y="979294"/>
                <a:pt x="885366" y="921720"/>
                <a:pt x="909654" y="838019"/>
              </a:cubicBezTo>
              <a:lnTo>
                <a:pt x="1022856" y="448258"/>
              </a:lnTo>
              <a:cubicBezTo>
                <a:pt x="1040039" y="389079"/>
                <a:pt x="1048756" y="327760"/>
                <a:pt x="1048756" y="266137"/>
              </a:cubicBezTo>
              <a:lnTo>
                <a:pt x="1048756" y="195828"/>
              </a:lnTo>
              <a:cubicBezTo>
                <a:pt x="1048756" y="87674"/>
                <a:pt x="961082" y="0"/>
                <a:pt x="852928" y="0"/>
              </a:cubicBezTo>
              <a:lnTo>
                <a:pt x="195828" y="0"/>
              </a:lnTo>
              <a:cubicBezTo>
                <a:pt x="87674" y="0"/>
                <a:pt x="0" y="87674"/>
                <a:pt x="0" y="195828"/>
              </a:cubicBezTo>
              <a:lnTo>
                <a:pt x="0" y="261020"/>
              </a:lnTo>
              <a:cubicBezTo>
                <a:pt x="-13" y="326004"/>
                <a:pt x="9671" y="390621"/>
                <a:pt x="28742" y="452743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20</xdr:col>
      <xdr:colOff>611561</xdr:colOff>
      <xdr:row>35</xdr:row>
      <xdr:rowOff>159604</xdr:rowOff>
    </xdr:from>
    <xdr:to>
      <xdr:col>21</xdr:col>
      <xdr:colOff>113069</xdr:colOff>
      <xdr:row>42</xdr:row>
      <xdr:rowOff>151557</xdr:rowOff>
    </xdr:to>
    <xdr:sp macro="[0]!ActualizarMapaCalor" textlink="">
      <xdr:nvSpPr>
        <xdr:cNvPr id="6" name="Muslos">
          <a:extLst>
            <a:ext uri="{FF2B5EF4-FFF2-40B4-BE49-F238E27FC236}">
              <a16:creationId xmlns:a16="http://schemas.microsoft.com/office/drawing/2014/main" id="{FD73DD06-2D61-FC76-15CF-98B2979B2BA9}"/>
            </a:ext>
          </a:extLst>
        </xdr:cNvPr>
        <xdr:cNvSpPr/>
      </xdr:nvSpPr>
      <xdr:spPr>
        <a:xfrm>
          <a:off x="22224652" y="6463422"/>
          <a:ext cx="582162" cy="1252717"/>
        </a:xfrm>
        <a:custGeom>
          <a:avLst/>
          <a:gdLst>
            <a:gd name="csX0" fmla="*/ 349941 w 579890"/>
            <a:gd name="csY0" fmla="*/ 1253085 h 1254288"/>
            <a:gd name="csX1" fmla="*/ 453352 w 579890"/>
            <a:gd name="csY1" fmla="*/ 1239566 h 1254288"/>
            <a:gd name="csX2" fmla="*/ 579693 w 579890"/>
            <a:gd name="csY2" fmla="*/ 1087957 h 1254288"/>
            <a:gd name="csX3" fmla="*/ 537431 w 579890"/>
            <a:gd name="csY3" fmla="*/ 272047 h 1254288"/>
            <a:gd name="csX4" fmla="*/ 536421 w 579890"/>
            <a:gd name="csY4" fmla="*/ 260740 h 1254288"/>
            <a:gd name="csX5" fmla="*/ 519238 w 579890"/>
            <a:gd name="csY5" fmla="*/ 126503 h 1254288"/>
            <a:gd name="csX6" fmla="*/ 356385 w 579890"/>
            <a:gd name="csY6" fmla="*/ 1235 h 1254288"/>
            <a:gd name="csX7" fmla="*/ 126634 w 579890"/>
            <a:gd name="csY7" fmla="*/ 31178 h 1254288"/>
            <a:gd name="csX8" fmla="*/ 1222 w 579890"/>
            <a:gd name="csY8" fmla="*/ 193937 h 1254288"/>
            <a:gd name="csX9" fmla="*/ 1240 w 579890"/>
            <a:gd name="csY9" fmla="*/ 194095 h 1254288"/>
            <a:gd name="csX10" fmla="*/ 18739 w 579890"/>
            <a:gd name="csY10" fmla="*/ 328206 h 1254288"/>
            <a:gd name="csX11" fmla="*/ 20634 w 579890"/>
            <a:gd name="csY11" fmla="*/ 339387 h 1254288"/>
            <a:gd name="csX12" fmla="*/ 189173 w 579890"/>
            <a:gd name="csY12" fmla="*/ 1138809 h 1254288"/>
            <a:gd name="csX13" fmla="*/ 349941 w 579890"/>
            <a:gd name="csY13" fmla="*/ 1253085 h 125428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</a:cxnLst>
          <a:rect l="l" t="t" r="r" b="b"/>
          <a:pathLst>
            <a:path w="579890" h="1254288">
              <a:moveTo>
                <a:pt x="349941" y="1253085"/>
              </a:moveTo>
              <a:lnTo>
                <a:pt x="453352" y="1239566"/>
              </a:lnTo>
              <a:cubicBezTo>
                <a:pt x="528594" y="1229768"/>
                <a:pt x="583628" y="1163730"/>
                <a:pt x="579693" y="1087957"/>
              </a:cubicBezTo>
              <a:lnTo>
                <a:pt x="537431" y="272047"/>
              </a:lnTo>
              <a:cubicBezTo>
                <a:pt x="537431" y="268257"/>
                <a:pt x="536926" y="264530"/>
                <a:pt x="536421" y="260740"/>
              </a:cubicBezTo>
              <a:lnTo>
                <a:pt x="519238" y="126503"/>
              </a:lnTo>
              <a:cubicBezTo>
                <a:pt x="508853" y="46946"/>
                <a:pt x="435948" y="-9137"/>
                <a:pt x="356385" y="1235"/>
              </a:cubicBezTo>
              <a:lnTo>
                <a:pt x="126634" y="31178"/>
              </a:lnTo>
              <a:cubicBezTo>
                <a:pt x="47058" y="41494"/>
                <a:pt x="-9094" y="114361"/>
                <a:pt x="1222" y="193937"/>
              </a:cubicBezTo>
              <a:cubicBezTo>
                <a:pt x="1228" y="193988"/>
                <a:pt x="1234" y="194044"/>
                <a:pt x="1240" y="194095"/>
              </a:cubicBezTo>
              <a:lnTo>
                <a:pt x="18739" y="328206"/>
              </a:lnTo>
              <a:cubicBezTo>
                <a:pt x="19175" y="331964"/>
                <a:pt x="19806" y="335698"/>
                <a:pt x="20634" y="339387"/>
              </a:cubicBezTo>
              <a:lnTo>
                <a:pt x="189173" y="1138809"/>
              </a:lnTo>
              <a:cubicBezTo>
                <a:pt x="204738" y="1213016"/>
                <a:pt x="274743" y="1262775"/>
                <a:pt x="349941" y="1253085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20</xdr:col>
      <xdr:colOff>866873</xdr:colOff>
      <xdr:row>43</xdr:row>
      <xdr:rowOff>133371</xdr:rowOff>
    </xdr:from>
    <xdr:to>
      <xdr:col>21</xdr:col>
      <xdr:colOff>283535</xdr:colOff>
      <xdr:row>50</xdr:row>
      <xdr:rowOff>108439</xdr:rowOff>
    </xdr:to>
    <xdr:sp macro="[0]!ActualizarMapaCalor" textlink="">
      <xdr:nvSpPr>
        <xdr:cNvPr id="9" name="Pantorrilla">
          <a:extLst>
            <a:ext uri="{FF2B5EF4-FFF2-40B4-BE49-F238E27FC236}">
              <a16:creationId xmlns:a16="http://schemas.microsoft.com/office/drawing/2014/main" id="{06B9B439-2C73-BF1B-ABBB-7B1FEDFF9A8A}"/>
            </a:ext>
          </a:extLst>
        </xdr:cNvPr>
        <xdr:cNvSpPr/>
      </xdr:nvSpPr>
      <xdr:spPr>
        <a:xfrm>
          <a:off x="22479964" y="7878062"/>
          <a:ext cx="497316" cy="1235832"/>
        </a:xfrm>
        <a:custGeom>
          <a:avLst/>
          <a:gdLst>
            <a:gd name="csX0" fmla="*/ 372874 w 494618"/>
            <a:gd name="csY0" fmla="*/ 1234146 h 1236125"/>
            <a:gd name="csX1" fmla="*/ 372874 w 494618"/>
            <a:gd name="csY1" fmla="*/ 1234146 h 1236125"/>
            <a:gd name="csX2" fmla="*/ 493971 w 494618"/>
            <a:gd name="csY2" fmla="*/ 1077167 h 1236125"/>
            <a:gd name="csX3" fmla="*/ 425368 w 494618"/>
            <a:gd name="csY3" fmla="*/ 347486 h 1236125"/>
            <a:gd name="csX4" fmla="*/ 424042 w 494618"/>
            <a:gd name="csY4" fmla="*/ 337504 h 1236125"/>
            <a:gd name="csX5" fmla="*/ 388666 w 494618"/>
            <a:gd name="csY5" fmla="*/ 121967 h 1236125"/>
            <a:gd name="csX6" fmla="*/ 221915 w 494618"/>
            <a:gd name="csY6" fmla="*/ 1911 h 1236125"/>
            <a:gd name="csX7" fmla="*/ 221707 w 494618"/>
            <a:gd name="csY7" fmla="*/ 1943 h 1236125"/>
            <a:gd name="csX8" fmla="*/ 121961 w 494618"/>
            <a:gd name="csY8" fmla="*/ 18367 h 1236125"/>
            <a:gd name="csX9" fmla="*/ 1912 w 494618"/>
            <a:gd name="csY9" fmla="*/ 185125 h 1236125"/>
            <a:gd name="csX10" fmla="*/ 1937 w 494618"/>
            <a:gd name="csY10" fmla="*/ 185264 h 1236125"/>
            <a:gd name="csX11" fmla="*/ 37312 w 494618"/>
            <a:gd name="csY11" fmla="*/ 400801 h 1236125"/>
            <a:gd name="csX12" fmla="*/ 39334 w 494618"/>
            <a:gd name="csY12" fmla="*/ 410656 h 1236125"/>
            <a:gd name="csX13" fmla="*/ 207746 w 494618"/>
            <a:gd name="csY13" fmla="*/ 1124482 h 1236125"/>
            <a:gd name="csX14" fmla="*/ 372874 w 494618"/>
            <a:gd name="csY14" fmla="*/ 1234146 h 12361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</a:cxnLst>
          <a:rect l="l" t="t" r="r" b="b"/>
          <a:pathLst>
            <a:path w="494618" h="1236125">
              <a:moveTo>
                <a:pt x="372874" y="1234146"/>
              </a:moveTo>
              <a:lnTo>
                <a:pt x="372874" y="1234146"/>
              </a:lnTo>
              <a:cubicBezTo>
                <a:pt x="448217" y="1221764"/>
                <a:pt x="501122" y="1153187"/>
                <a:pt x="493971" y="1077167"/>
              </a:cubicBezTo>
              <a:lnTo>
                <a:pt x="425368" y="347486"/>
              </a:lnTo>
              <a:cubicBezTo>
                <a:pt x="425052" y="344137"/>
                <a:pt x="424610" y="340852"/>
                <a:pt x="424042" y="337504"/>
              </a:cubicBezTo>
              <a:lnTo>
                <a:pt x="388666" y="121967"/>
              </a:lnTo>
              <a:cubicBezTo>
                <a:pt x="375773" y="42770"/>
                <a:pt x="301118" y="-10988"/>
                <a:pt x="221915" y="1911"/>
              </a:cubicBezTo>
              <a:cubicBezTo>
                <a:pt x="221846" y="1918"/>
                <a:pt x="221776" y="1930"/>
                <a:pt x="221707" y="1943"/>
              </a:cubicBezTo>
              <a:lnTo>
                <a:pt x="121961" y="18367"/>
              </a:lnTo>
              <a:cubicBezTo>
                <a:pt x="42764" y="31267"/>
                <a:pt x="-10988" y="105928"/>
                <a:pt x="1912" y="185125"/>
              </a:cubicBezTo>
              <a:cubicBezTo>
                <a:pt x="1924" y="185169"/>
                <a:pt x="1930" y="185219"/>
                <a:pt x="1937" y="185264"/>
              </a:cubicBezTo>
              <a:lnTo>
                <a:pt x="37312" y="400801"/>
              </a:lnTo>
              <a:cubicBezTo>
                <a:pt x="37881" y="404149"/>
                <a:pt x="38512" y="407434"/>
                <a:pt x="39334" y="410656"/>
              </a:cubicBezTo>
              <a:lnTo>
                <a:pt x="207746" y="1124482"/>
              </a:lnTo>
              <a:cubicBezTo>
                <a:pt x="225434" y="1198739"/>
                <a:pt x="297568" y="1246648"/>
                <a:pt x="372874" y="1234146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20</xdr:col>
      <xdr:colOff>1020238</xdr:colOff>
      <xdr:row>50</xdr:row>
      <xdr:rowOff>175073</xdr:rowOff>
    </xdr:from>
    <xdr:to>
      <xdr:col>21</xdr:col>
      <xdr:colOff>460576</xdr:colOff>
      <xdr:row>52</xdr:row>
      <xdr:rowOff>84859</xdr:rowOff>
    </xdr:to>
    <xdr:sp macro="[0]!ActualizarMapaCalor" textlink="">
      <xdr:nvSpPr>
        <xdr:cNvPr id="12" name="Pies">
          <a:extLst>
            <a:ext uri="{FF2B5EF4-FFF2-40B4-BE49-F238E27FC236}">
              <a16:creationId xmlns:a16="http://schemas.microsoft.com/office/drawing/2014/main" id="{62BD117A-1D3D-6263-FE12-80C5F818B4B3}"/>
            </a:ext>
          </a:extLst>
        </xdr:cNvPr>
        <xdr:cNvSpPr/>
      </xdr:nvSpPr>
      <xdr:spPr>
        <a:xfrm>
          <a:off x="22633329" y="9180528"/>
          <a:ext cx="520992" cy="270004"/>
        </a:xfrm>
        <a:custGeom>
          <a:avLst/>
          <a:gdLst>
            <a:gd name="csX0" fmla="*/ 261020 w 522230"/>
            <a:gd name="csY0" fmla="*/ 0 h 261146"/>
            <a:gd name="csX1" fmla="*/ 0 w 522230"/>
            <a:gd name="csY1" fmla="*/ 261147 h 261146"/>
            <a:gd name="csX2" fmla="*/ 522230 w 522230"/>
            <a:gd name="csY2" fmla="*/ 261147 h 261146"/>
            <a:gd name="csX3" fmla="*/ 261083 w 522230"/>
            <a:gd name="csY3" fmla="*/ 0 h 261146"/>
            <a:gd name="csX4" fmla="*/ 261020 w 522230"/>
            <a:gd name="csY4" fmla="*/ 0 h 26114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</a:cxnLst>
          <a:rect l="l" t="t" r="r" b="b"/>
          <a:pathLst>
            <a:path w="522230" h="261146">
              <a:moveTo>
                <a:pt x="261020" y="0"/>
              </a:moveTo>
              <a:cubicBezTo>
                <a:pt x="116827" y="32"/>
                <a:pt x="-38" y="116954"/>
                <a:pt x="0" y="261147"/>
              </a:cubicBezTo>
              <a:lnTo>
                <a:pt x="522230" y="261147"/>
              </a:lnTo>
              <a:cubicBezTo>
                <a:pt x="522230" y="116923"/>
                <a:pt x="405308" y="0"/>
                <a:pt x="261083" y="0"/>
              </a:cubicBezTo>
              <a:cubicBezTo>
                <a:pt x="261064" y="0"/>
                <a:pt x="261039" y="0"/>
                <a:pt x="261020" y="0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19</xdr:col>
      <xdr:colOff>1078607</xdr:colOff>
      <xdr:row>35</xdr:row>
      <xdr:rowOff>159604</xdr:rowOff>
    </xdr:from>
    <xdr:to>
      <xdr:col>20</xdr:col>
      <xdr:colOff>576756</xdr:colOff>
      <xdr:row>42</xdr:row>
      <xdr:rowOff>151465</xdr:rowOff>
    </xdr:to>
    <xdr:sp macro="[0]!ActualizarMapaCalor" textlink="">
      <xdr:nvSpPr>
        <xdr:cNvPr id="15" name="Muslos">
          <a:extLst>
            <a:ext uri="{FF2B5EF4-FFF2-40B4-BE49-F238E27FC236}">
              <a16:creationId xmlns:a16="http://schemas.microsoft.com/office/drawing/2014/main" id="{1E86176B-CFFE-2F96-AB0A-01FD9BE4E058}"/>
            </a:ext>
          </a:extLst>
        </xdr:cNvPr>
        <xdr:cNvSpPr/>
      </xdr:nvSpPr>
      <xdr:spPr>
        <a:xfrm>
          <a:off x="21611043" y="6463422"/>
          <a:ext cx="578804" cy="1252625"/>
        </a:xfrm>
        <a:custGeom>
          <a:avLst/>
          <a:gdLst>
            <a:gd name="csX0" fmla="*/ 453573 w 580332"/>
            <a:gd name="csY0" fmla="*/ 31178 h 1254189"/>
            <a:gd name="csX1" fmla="*/ 223822 w 580332"/>
            <a:gd name="csY1" fmla="*/ 1235 h 1254189"/>
            <a:gd name="csX2" fmla="*/ 60969 w 580332"/>
            <a:gd name="csY2" fmla="*/ 126503 h 1254189"/>
            <a:gd name="csX3" fmla="*/ 43470 w 580332"/>
            <a:gd name="csY3" fmla="*/ 260613 h 1254189"/>
            <a:gd name="csX4" fmla="*/ 42460 w 580332"/>
            <a:gd name="csY4" fmla="*/ 271921 h 1254189"/>
            <a:gd name="csX5" fmla="*/ 198 w 580332"/>
            <a:gd name="csY5" fmla="*/ 1087830 h 1254189"/>
            <a:gd name="csX6" fmla="*/ 126539 w 580332"/>
            <a:gd name="csY6" fmla="*/ 1239440 h 1254189"/>
            <a:gd name="csX7" fmla="*/ 229949 w 580332"/>
            <a:gd name="csY7" fmla="*/ 1252958 h 1254189"/>
            <a:gd name="csX8" fmla="*/ 390908 w 580332"/>
            <a:gd name="csY8" fmla="*/ 1138809 h 1254189"/>
            <a:gd name="csX9" fmla="*/ 559699 w 580332"/>
            <a:gd name="csY9" fmla="*/ 339387 h 1254189"/>
            <a:gd name="csX10" fmla="*/ 561594 w 580332"/>
            <a:gd name="csY10" fmla="*/ 328206 h 1254189"/>
            <a:gd name="csX11" fmla="*/ 579093 w 580332"/>
            <a:gd name="csY11" fmla="*/ 194095 h 1254189"/>
            <a:gd name="csX12" fmla="*/ 453838 w 580332"/>
            <a:gd name="csY12" fmla="*/ 31210 h 1254189"/>
            <a:gd name="csX13" fmla="*/ 453573 w 580332"/>
            <a:gd name="csY13" fmla="*/ 31178 h 125418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</a:cxnLst>
          <a:rect l="l" t="t" r="r" b="b"/>
          <a:pathLst>
            <a:path w="580332" h="1254189">
              <a:moveTo>
                <a:pt x="453573" y="31178"/>
              </a:moveTo>
              <a:lnTo>
                <a:pt x="223822" y="1235"/>
              </a:lnTo>
              <a:cubicBezTo>
                <a:pt x="144259" y="-9137"/>
                <a:pt x="71354" y="46946"/>
                <a:pt x="60969" y="126503"/>
              </a:cubicBezTo>
              <a:lnTo>
                <a:pt x="43470" y="260613"/>
              </a:lnTo>
              <a:cubicBezTo>
                <a:pt x="42965" y="264404"/>
                <a:pt x="42649" y="268131"/>
                <a:pt x="42460" y="271921"/>
              </a:cubicBezTo>
              <a:lnTo>
                <a:pt x="198" y="1087830"/>
              </a:lnTo>
              <a:cubicBezTo>
                <a:pt x="-3737" y="1163603"/>
                <a:pt x="51297" y="1229642"/>
                <a:pt x="126539" y="1239440"/>
              </a:cubicBezTo>
              <a:lnTo>
                <a:pt x="229949" y="1252958"/>
              </a:lnTo>
              <a:cubicBezTo>
                <a:pt x="305173" y="1262762"/>
                <a:pt x="375286" y="1213047"/>
                <a:pt x="390908" y="1138809"/>
              </a:cubicBezTo>
              <a:lnTo>
                <a:pt x="559699" y="339387"/>
              </a:lnTo>
              <a:cubicBezTo>
                <a:pt x="560457" y="335723"/>
                <a:pt x="561152" y="331996"/>
                <a:pt x="561594" y="328206"/>
              </a:cubicBezTo>
              <a:lnTo>
                <a:pt x="579093" y="194095"/>
              </a:lnTo>
              <a:cubicBezTo>
                <a:pt x="589484" y="114525"/>
                <a:pt x="533401" y="41601"/>
                <a:pt x="453838" y="31210"/>
              </a:cubicBezTo>
              <a:cubicBezTo>
                <a:pt x="453750" y="31204"/>
                <a:pt x="453661" y="31191"/>
                <a:pt x="453573" y="31178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19</xdr:col>
      <xdr:colOff>908154</xdr:colOff>
      <xdr:row>43</xdr:row>
      <xdr:rowOff>133547</xdr:rowOff>
    </xdr:from>
    <xdr:to>
      <xdr:col>20</xdr:col>
      <xdr:colOff>319391</xdr:colOff>
      <xdr:row>50</xdr:row>
      <xdr:rowOff>108432</xdr:rowOff>
    </xdr:to>
    <xdr:sp macro="[0]!ActualizarMapaCalor" textlink="">
      <xdr:nvSpPr>
        <xdr:cNvPr id="16" name="Pantorrilla">
          <a:extLst>
            <a:ext uri="{FF2B5EF4-FFF2-40B4-BE49-F238E27FC236}">
              <a16:creationId xmlns:a16="http://schemas.microsoft.com/office/drawing/2014/main" id="{8EE42A01-F207-21A5-859E-EE4E860F2CD4}"/>
            </a:ext>
          </a:extLst>
        </xdr:cNvPr>
        <xdr:cNvSpPr/>
      </xdr:nvSpPr>
      <xdr:spPr>
        <a:xfrm>
          <a:off x="21440590" y="7878238"/>
          <a:ext cx="491892" cy="1235649"/>
        </a:xfrm>
        <a:custGeom>
          <a:avLst/>
          <a:gdLst>
            <a:gd name="csX0" fmla="*/ 372646 w 494368"/>
            <a:gd name="csY0" fmla="*/ 18368 h 1235928"/>
            <a:gd name="csX1" fmla="*/ 272899 w 494368"/>
            <a:gd name="csY1" fmla="*/ 1944 h 1235928"/>
            <a:gd name="csX2" fmla="*/ 105971 w 494368"/>
            <a:gd name="csY2" fmla="*/ 121759 h 1235928"/>
            <a:gd name="csX3" fmla="*/ 105940 w 494368"/>
            <a:gd name="csY3" fmla="*/ 121968 h 1235928"/>
            <a:gd name="csX4" fmla="*/ 70564 w 494368"/>
            <a:gd name="csY4" fmla="*/ 337506 h 1235928"/>
            <a:gd name="csX5" fmla="*/ 69238 w 494368"/>
            <a:gd name="csY5" fmla="*/ 347486 h 1235928"/>
            <a:gd name="csX6" fmla="*/ 635 w 494368"/>
            <a:gd name="csY6" fmla="*/ 1077169 h 1235928"/>
            <a:gd name="csX7" fmla="*/ 131840 w 494368"/>
            <a:gd name="csY7" fmla="*/ 1235297 h 1235928"/>
            <a:gd name="csX8" fmla="*/ 286671 w 494368"/>
            <a:gd name="csY8" fmla="*/ 1124167 h 1235928"/>
            <a:gd name="csX9" fmla="*/ 455083 w 494368"/>
            <a:gd name="csY9" fmla="*/ 410341 h 1235928"/>
            <a:gd name="csX10" fmla="*/ 457041 w 494368"/>
            <a:gd name="csY10" fmla="*/ 400486 h 1235928"/>
            <a:gd name="csX11" fmla="*/ 492480 w 494368"/>
            <a:gd name="csY11" fmla="*/ 184949 h 1235928"/>
            <a:gd name="csX12" fmla="*/ 372646 w 494368"/>
            <a:gd name="csY12" fmla="*/ 18368 h 123592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</a:cxnLst>
          <a:rect l="l" t="t" r="r" b="b"/>
          <a:pathLst>
            <a:path w="494368" h="1235928">
              <a:moveTo>
                <a:pt x="372646" y="18368"/>
              </a:moveTo>
              <a:lnTo>
                <a:pt x="272899" y="1944"/>
              </a:lnTo>
              <a:cubicBezTo>
                <a:pt x="193722" y="-11063"/>
                <a:pt x="118984" y="42575"/>
                <a:pt x="105971" y="121759"/>
              </a:cubicBezTo>
              <a:cubicBezTo>
                <a:pt x="105965" y="121829"/>
                <a:pt x="105952" y="121898"/>
                <a:pt x="105940" y="121968"/>
              </a:cubicBezTo>
              <a:lnTo>
                <a:pt x="70564" y="337506"/>
              </a:lnTo>
              <a:cubicBezTo>
                <a:pt x="69996" y="340853"/>
                <a:pt x="69554" y="344138"/>
                <a:pt x="69238" y="347486"/>
              </a:cubicBezTo>
              <a:lnTo>
                <a:pt x="635" y="1077169"/>
              </a:lnTo>
              <a:cubicBezTo>
                <a:pt x="-6801" y="1157067"/>
                <a:pt x="51942" y="1227862"/>
                <a:pt x="131840" y="1235297"/>
              </a:cubicBezTo>
              <a:cubicBezTo>
                <a:pt x="203930" y="1242005"/>
                <a:pt x="269962" y="1194615"/>
                <a:pt x="286671" y="1124167"/>
              </a:cubicBezTo>
              <a:lnTo>
                <a:pt x="455083" y="410341"/>
              </a:lnTo>
              <a:cubicBezTo>
                <a:pt x="455904" y="407119"/>
                <a:pt x="456536" y="404024"/>
                <a:pt x="457041" y="400486"/>
              </a:cubicBezTo>
              <a:lnTo>
                <a:pt x="492480" y="184949"/>
              </a:lnTo>
              <a:cubicBezTo>
                <a:pt x="505278" y="105885"/>
                <a:pt x="451678" y="31375"/>
                <a:pt x="372646" y="18368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19</xdr:col>
      <xdr:colOff>727364</xdr:colOff>
      <xdr:row>50</xdr:row>
      <xdr:rowOff>175073</xdr:rowOff>
    </xdr:from>
    <xdr:to>
      <xdr:col>20</xdr:col>
      <xdr:colOff>171437</xdr:colOff>
      <xdr:row>52</xdr:row>
      <xdr:rowOff>84859</xdr:rowOff>
    </xdr:to>
    <xdr:sp macro="[0]!ActualizarMapaCalor" textlink="">
      <xdr:nvSpPr>
        <xdr:cNvPr id="17" name="Pies">
          <a:extLst>
            <a:ext uri="{FF2B5EF4-FFF2-40B4-BE49-F238E27FC236}">
              <a16:creationId xmlns:a16="http://schemas.microsoft.com/office/drawing/2014/main" id="{1C9E61BD-6A1B-ACD1-94D0-F23909859A3A}"/>
            </a:ext>
          </a:extLst>
        </xdr:cNvPr>
        <xdr:cNvSpPr/>
      </xdr:nvSpPr>
      <xdr:spPr>
        <a:xfrm>
          <a:off x="21259800" y="9180528"/>
          <a:ext cx="524728" cy="270004"/>
        </a:xfrm>
        <a:custGeom>
          <a:avLst/>
          <a:gdLst>
            <a:gd name="csX0" fmla="*/ 261083 w 522166"/>
            <a:gd name="csY0" fmla="*/ 0 h 261146"/>
            <a:gd name="csX1" fmla="*/ 0 w 522166"/>
            <a:gd name="csY1" fmla="*/ 261084 h 261146"/>
            <a:gd name="csX2" fmla="*/ 0 w 522166"/>
            <a:gd name="csY2" fmla="*/ 261147 h 261146"/>
            <a:gd name="csX3" fmla="*/ 522167 w 522166"/>
            <a:gd name="csY3" fmla="*/ 261147 h 261146"/>
            <a:gd name="csX4" fmla="*/ 261083 w 522166"/>
            <a:gd name="csY4" fmla="*/ 0 h 26114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</a:cxnLst>
          <a:rect l="l" t="t" r="r" b="b"/>
          <a:pathLst>
            <a:path w="522166" h="261146">
              <a:moveTo>
                <a:pt x="261083" y="0"/>
              </a:moveTo>
              <a:cubicBezTo>
                <a:pt x="116891" y="0"/>
                <a:pt x="0" y="116891"/>
                <a:pt x="0" y="261084"/>
              </a:cubicBezTo>
              <a:cubicBezTo>
                <a:pt x="0" y="261103"/>
                <a:pt x="0" y="261128"/>
                <a:pt x="0" y="261147"/>
              </a:cubicBezTo>
              <a:lnTo>
                <a:pt x="522167" y="261147"/>
              </a:lnTo>
              <a:cubicBezTo>
                <a:pt x="522167" y="116941"/>
                <a:pt x="405289" y="38"/>
                <a:pt x="261083" y="0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20</xdr:col>
      <xdr:colOff>234733</xdr:colOff>
      <xdr:row>19</xdr:row>
      <xdr:rowOff>109158</xdr:rowOff>
    </xdr:from>
    <xdr:to>
      <xdr:col>20</xdr:col>
      <xdr:colOff>956944</xdr:colOff>
      <xdr:row>24</xdr:row>
      <xdr:rowOff>121112</xdr:rowOff>
    </xdr:to>
    <xdr:sp macro="[0]!ActualizarMapaCalor" textlink="">
      <xdr:nvSpPr>
        <xdr:cNvPr id="22" name="Cabeza">
          <a:extLst>
            <a:ext uri="{FF2B5EF4-FFF2-40B4-BE49-F238E27FC236}">
              <a16:creationId xmlns:a16="http://schemas.microsoft.com/office/drawing/2014/main" id="{E624706B-C89D-D5F0-B0B9-EBDA5B8FC21A}"/>
            </a:ext>
          </a:extLst>
        </xdr:cNvPr>
        <xdr:cNvSpPr/>
      </xdr:nvSpPr>
      <xdr:spPr>
        <a:xfrm>
          <a:off x="21847824" y="3531231"/>
          <a:ext cx="722211" cy="912499"/>
        </a:xfrm>
        <a:custGeom>
          <a:avLst/>
          <a:gdLst>
            <a:gd name="csX0" fmla="*/ 251671 w 719258"/>
            <a:gd name="csY0" fmla="*/ 914961 h 914960"/>
            <a:gd name="csX1" fmla="*/ 467588 w 719258"/>
            <a:gd name="csY1" fmla="*/ 914961 h 914960"/>
            <a:gd name="csX2" fmla="*/ 647876 w 719258"/>
            <a:gd name="csY2" fmla="*/ 763920 h 914960"/>
            <a:gd name="csX3" fmla="*/ 719259 w 719258"/>
            <a:gd name="csY3" fmla="*/ 359629 h 914960"/>
            <a:gd name="csX4" fmla="*/ 359629 w 719258"/>
            <a:gd name="csY4" fmla="*/ 0 h 914960"/>
            <a:gd name="csX5" fmla="*/ 0 w 719258"/>
            <a:gd name="csY5" fmla="*/ 359629 h 914960"/>
            <a:gd name="csX6" fmla="*/ 71383 w 719258"/>
            <a:gd name="csY6" fmla="*/ 763920 h 914960"/>
            <a:gd name="csX7" fmla="*/ 251671 w 719258"/>
            <a:gd name="csY7" fmla="*/ 914961 h 91496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719258" h="914960">
              <a:moveTo>
                <a:pt x="251671" y="914961"/>
              </a:moveTo>
              <a:lnTo>
                <a:pt x="467588" y="914961"/>
              </a:lnTo>
              <a:cubicBezTo>
                <a:pt x="556336" y="914929"/>
                <a:pt x="632298" y="851291"/>
                <a:pt x="647876" y="763920"/>
              </a:cubicBezTo>
              <a:lnTo>
                <a:pt x="719259" y="359629"/>
              </a:lnTo>
              <a:cubicBezTo>
                <a:pt x="719259" y="161011"/>
                <a:pt x="558250" y="0"/>
                <a:pt x="359629" y="0"/>
              </a:cubicBezTo>
              <a:cubicBezTo>
                <a:pt x="161009" y="0"/>
                <a:pt x="0" y="161011"/>
                <a:pt x="0" y="359629"/>
              </a:cubicBezTo>
              <a:lnTo>
                <a:pt x="71383" y="763920"/>
              </a:lnTo>
              <a:cubicBezTo>
                <a:pt x="86961" y="851291"/>
                <a:pt x="162923" y="914929"/>
                <a:pt x="251671" y="914961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19</xdr:col>
      <xdr:colOff>1035348</xdr:colOff>
      <xdr:row>42</xdr:row>
      <xdr:rowOff>118475</xdr:rowOff>
    </xdr:from>
    <xdr:to>
      <xdr:col>20</xdr:col>
      <xdr:colOff>391800</xdr:colOff>
      <xdr:row>43</xdr:row>
      <xdr:rowOff>167464</xdr:rowOff>
    </xdr:to>
    <xdr:sp macro="[0]!ActualizarMapaCalor" textlink="">
      <xdr:nvSpPr>
        <xdr:cNvPr id="36" name="Rodillas">
          <a:extLst>
            <a:ext uri="{FF2B5EF4-FFF2-40B4-BE49-F238E27FC236}">
              <a16:creationId xmlns:a16="http://schemas.microsoft.com/office/drawing/2014/main" id="{B9D08076-C3B8-41F7-9C26-1B1B798DF72D}"/>
            </a:ext>
          </a:extLst>
        </xdr:cNvPr>
        <xdr:cNvSpPr/>
      </xdr:nvSpPr>
      <xdr:spPr>
        <a:xfrm rot="434092">
          <a:off x="21567784" y="7683057"/>
          <a:ext cx="437107" cy="229098"/>
        </a:xfrm>
        <a:prstGeom prst="ellipse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20</xdr:col>
      <xdr:colOff>826931</xdr:colOff>
      <xdr:row>42</xdr:row>
      <xdr:rowOff>124635</xdr:rowOff>
    </xdr:from>
    <xdr:to>
      <xdr:col>21</xdr:col>
      <xdr:colOff>186584</xdr:colOff>
      <xdr:row>43</xdr:row>
      <xdr:rowOff>173624</xdr:rowOff>
    </xdr:to>
    <xdr:sp macro="[0]!ActualizarMapaCalor" textlink="">
      <xdr:nvSpPr>
        <xdr:cNvPr id="37" name="Rodillas">
          <a:extLst>
            <a:ext uri="{FF2B5EF4-FFF2-40B4-BE49-F238E27FC236}">
              <a16:creationId xmlns:a16="http://schemas.microsoft.com/office/drawing/2014/main" id="{72BE60F8-A350-44E5-B815-1437554DEECA}"/>
            </a:ext>
          </a:extLst>
        </xdr:cNvPr>
        <xdr:cNvSpPr/>
      </xdr:nvSpPr>
      <xdr:spPr>
        <a:xfrm rot="21007094">
          <a:off x="22440022" y="7689217"/>
          <a:ext cx="440307" cy="229098"/>
        </a:xfrm>
        <a:prstGeom prst="ellipse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19</xdr:col>
      <xdr:colOff>273155</xdr:colOff>
      <xdr:row>26</xdr:row>
      <xdr:rowOff>35075</xdr:rowOff>
    </xdr:from>
    <xdr:to>
      <xdr:col>20</xdr:col>
      <xdr:colOff>227205</xdr:colOff>
      <xdr:row>30</xdr:row>
      <xdr:rowOff>139255</xdr:rowOff>
    </xdr:to>
    <xdr:sp macro="[0]!ActualizarMapaCalor" textlink="">
      <xdr:nvSpPr>
        <xdr:cNvPr id="18" name="Brazos">
          <a:extLst>
            <a:ext uri="{FF2B5EF4-FFF2-40B4-BE49-F238E27FC236}">
              <a16:creationId xmlns:a16="http://schemas.microsoft.com/office/drawing/2014/main" id="{15C43DE6-FAE5-F1CD-C893-2334B13C8D63}"/>
            </a:ext>
          </a:extLst>
        </xdr:cNvPr>
        <xdr:cNvSpPr/>
      </xdr:nvSpPr>
      <xdr:spPr>
        <a:xfrm rot="19527444">
          <a:off x="20805591" y="4717911"/>
          <a:ext cx="1034705" cy="824617"/>
        </a:xfrm>
        <a:custGeom>
          <a:avLst/>
          <a:gdLst>
            <a:gd name="csX0" fmla="*/ 251056 w 1033326"/>
            <a:gd name="csY0" fmla="*/ 813487 h 830980"/>
            <a:gd name="csX1" fmla="*/ 699187 w 1033326"/>
            <a:gd name="csY1" fmla="*/ 536548 h 830980"/>
            <a:gd name="csX2" fmla="*/ 961913 w 1033326"/>
            <a:gd name="csY2" fmla="*/ 356765 h 830980"/>
            <a:gd name="csX3" fmla="*/ 993498 w 1033326"/>
            <a:gd name="csY3" fmla="*/ 92333 h 830980"/>
            <a:gd name="csX4" fmla="*/ 993498 w 1033326"/>
            <a:gd name="csY4" fmla="*/ 92333 h 830980"/>
            <a:gd name="csX5" fmla="*/ 735699 w 1033326"/>
            <a:gd name="csY5" fmla="*/ 25814 h 830980"/>
            <a:gd name="csX6" fmla="*/ 472973 w 1033326"/>
            <a:gd name="csY6" fmla="*/ 205598 h 830980"/>
            <a:gd name="csX7" fmla="*/ 52574 w 1033326"/>
            <a:gd name="csY7" fmla="*/ 523029 h 830980"/>
            <a:gd name="csX8" fmla="*/ 31980 w 1033326"/>
            <a:gd name="csY8" fmla="*/ 732060 h 830980"/>
            <a:gd name="csX9" fmla="*/ 49036 w 1033326"/>
            <a:gd name="csY9" fmla="*/ 756886 h 830980"/>
            <a:gd name="csX10" fmla="*/ 251056 w 1033326"/>
            <a:gd name="csY10" fmla="*/ 813487 h 83098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1033326" h="830980">
              <a:moveTo>
                <a:pt x="251056" y="813487"/>
              </a:moveTo>
              <a:lnTo>
                <a:pt x="699187" y="536548"/>
              </a:lnTo>
              <a:lnTo>
                <a:pt x="961913" y="356765"/>
              </a:lnTo>
              <a:cubicBezTo>
                <a:pt x="1043036" y="292122"/>
                <a:pt x="1057111" y="174265"/>
                <a:pt x="993498" y="92333"/>
              </a:cubicBezTo>
              <a:lnTo>
                <a:pt x="993498" y="92333"/>
              </a:lnTo>
              <a:cubicBezTo>
                <a:pt x="940365" y="3187"/>
                <a:pt x="825326" y="-26497"/>
                <a:pt x="735699" y="25814"/>
              </a:cubicBezTo>
              <a:lnTo>
                <a:pt x="472973" y="205598"/>
              </a:lnTo>
              <a:lnTo>
                <a:pt x="52574" y="523029"/>
              </a:lnTo>
              <a:cubicBezTo>
                <a:pt x="-8588" y="576244"/>
                <a:pt x="-17621" y="667930"/>
                <a:pt x="31980" y="732060"/>
              </a:cubicBezTo>
              <a:lnTo>
                <a:pt x="49036" y="756886"/>
              </a:lnTo>
              <a:cubicBezTo>
                <a:pt x="90779" y="826247"/>
                <a:pt x="179351" y="851061"/>
                <a:pt x="251056" y="813487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20</xdr:col>
      <xdr:colOff>1073777</xdr:colOff>
      <xdr:row>25</xdr:row>
      <xdr:rowOff>93403</xdr:rowOff>
    </xdr:from>
    <xdr:to>
      <xdr:col>21</xdr:col>
      <xdr:colOff>848888</xdr:colOff>
      <xdr:row>31</xdr:row>
      <xdr:rowOff>9523</xdr:rowOff>
    </xdr:to>
    <xdr:sp macro="[0]!ActualizarMapaCalor" textlink="">
      <xdr:nvSpPr>
        <xdr:cNvPr id="40" name="Brazos">
          <a:extLst>
            <a:ext uri="{FF2B5EF4-FFF2-40B4-BE49-F238E27FC236}">
              <a16:creationId xmlns:a16="http://schemas.microsoft.com/office/drawing/2014/main" id="{83EA76C8-2BBC-42AE-8D6C-66095E4900A3}"/>
            </a:ext>
          </a:extLst>
        </xdr:cNvPr>
        <xdr:cNvSpPr/>
      </xdr:nvSpPr>
      <xdr:spPr>
        <a:xfrm rot="16952002">
          <a:off x="22616363" y="4666635"/>
          <a:ext cx="996775" cy="855765"/>
        </a:xfrm>
        <a:custGeom>
          <a:avLst/>
          <a:gdLst>
            <a:gd name="csX0" fmla="*/ 251056 w 1033326"/>
            <a:gd name="csY0" fmla="*/ 813487 h 830980"/>
            <a:gd name="csX1" fmla="*/ 699187 w 1033326"/>
            <a:gd name="csY1" fmla="*/ 536548 h 830980"/>
            <a:gd name="csX2" fmla="*/ 961913 w 1033326"/>
            <a:gd name="csY2" fmla="*/ 356765 h 830980"/>
            <a:gd name="csX3" fmla="*/ 993498 w 1033326"/>
            <a:gd name="csY3" fmla="*/ 92333 h 830980"/>
            <a:gd name="csX4" fmla="*/ 993498 w 1033326"/>
            <a:gd name="csY4" fmla="*/ 92333 h 830980"/>
            <a:gd name="csX5" fmla="*/ 735699 w 1033326"/>
            <a:gd name="csY5" fmla="*/ 25814 h 830980"/>
            <a:gd name="csX6" fmla="*/ 472973 w 1033326"/>
            <a:gd name="csY6" fmla="*/ 205598 h 830980"/>
            <a:gd name="csX7" fmla="*/ 52574 w 1033326"/>
            <a:gd name="csY7" fmla="*/ 523029 h 830980"/>
            <a:gd name="csX8" fmla="*/ 31980 w 1033326"/>
            <a:gd name="csY8" fmla="*/ 732060 h 830980"/>
            <a:gd name="csX9" fmla="*/ 49036 w 1033326"/>
            <a:gd name="csY9" fmla="*/ 756886 h 830980"/>
            <a:gd name="csX10" fmla="*/ 251056 w 1033326"/>
            <a:gd name="csY10" fmla="*/ 813487 h 83098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1033326" h="830980">
              <a:moveTo>
                <a:pt x="251056" y="813487"/>
              </a:moveTo>
              <a:lnTo>
                <a:pt x="699187" y="536548"/>
              </a:lnTo>
              <a:lnTo>
                <a:pt x="961913" y="356765"/>
              </a:lnTo>
              <a:cubicBezTo>
                <a:pt x="1043036" y="292122"/>
                <a:pt x="1057111" y="174265"/>
                <a:pt x="993498" y="92333"/>
              </a:cubicBezTo>
              <a:lnTo>
                <a:pt x="993498" y="92333"/>
              </a:lnTo>
              <a:cubicBezTo>
                <a:pt x="940365" y="3187"/>
                <a:pt x="825326" y="-26497"/>
                <a:pt x="735699" y="25814"/>
              </a:cubicBezTo>
              <a:lnTo>
                <a:pt x="472973" y="205598"/>
              </a:lnTo>
              <a:lnTo>
                <a:pt x="52574" y="523029"/>
              </a:lnTo>
              <a:cubicBezTo>
                <a:pt x="-8588" y="576244"/>
                <a:pt x="-17621" y="667930"/>
                <a:pt x="31980" y="732060"/>
              </a:cubicBezTo>
              <a:lnTo>
                <a:pt x="49036" y="756886"/>
              </a:lnTo>
              <a:cubicBezTo>
                <a:pt x="90779" y="826247"/>
                <a:pt x="179351" y="851061"/>
                <a:pt x="251056" y="813487"/>
              </a:cubicBezTo>
              <a:close/>
            </a:path>
          </a:pathLst>
        </a:custGeom>
        <a:solidFill>
          <a:srgbClr val="000000"/>
        </a:solidFill>
        <a:ln w="63103" cap="flat">
          <a:noFill/>
          <a:prstDash val="solid"/>
          <a:miter/>
        </a:ln>
      </xdr:spPr>
    </xdr:sp>
    <xdr:clientData/>
  </xdr:twoCellAnchor>
  <xdr:twoCellAnchor editAs="oneCell">
    <xdr:from>
      <xdr:col>19</xdr:col>
      <xdr:colOff>422299</xdr:colOff>
      <xdr:row>31</xdr:row>
      <xdr:rowOff>5579</xdr:rowOff>
    </xdr:from>
    <xdr:to>
      <xdr:col>19</xdr:col>
      <xdr:colOff>750332</xdr:colOff>
      <xdr:row>32</xdr:row>
      <xdr:rowOff>64379</xdr:rowOff>
    </xdr:to>
    <xdr:sp macro="[0]!ActualizarMapaCalor" textlink="">
      <xdr:nvSpPr>
        <xdr:cNvPr id="38" name="Codos">
          <a:extLst>
            <a:ext uri="{FF2B5EF4-FFF2-40B4-BE49-F238E27FC236}">
              <a16:creationId xmlns:a16="http://schemas.microsoft.com/office/drawing/2014/main" id="{5657A410-8D5C-4157-904E-E530ABDEB1E3}"/>
            </a:ext>
          </a:extLst>
        </xdr:cNvPr>
        <xdr:cNvSpPr/>
      </xdr:nvSpPr>
      <xdr:spPr>
        <a:xfrm rot="486154">
          <a:off x="20954735" y="5588961"/>
          <a:ext cx="328033" cy="238909"/>
        </a:xfrm>
        <a:prstGeom prst="ellipse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21</xdr:col>
      <xdr:colOff>477327</xdr:colOff>
      <xdr:row>30</xdr:row>
      <xdr:rowOff>130248</xdr:rowOff>
    </xdr:from>
    <xdr:to>
      <xdr:col>21</xdr:col>
      <xdr:colOff>805360</xdr:colOff>
      <xdr:row>32</xdr:row>
      <xdr:rowOff>1108</xdr:rowOff>
    </xdr:to>
    <xdr:sp macro="[0]!ActualizarMapaCalor" textlink="">
      <xdr:nvSpPr>
        <xdr:cNvPr id="49" name="Codos">
          <a:extLst>
            <a:ext uri="{FF2B5EF4-FFF2-40B4-BE49-F238E27FC236}">
              <a16:creationId xmlns:a16="http://schemas.microsoft.com/office/drawing/2014/main" id="{DD932D3E-D9D6-48DC-9A75-8729C5CFF131}"/>
            </a:ext>
          </a:extLst>
        </xdr:cNvPr>
        <xdr:cNvSpPr/>
      </xdr:nvSpPr>
      <xdr:spPr>
        <a:xfrm rot="10597759">
          <a:off x="23171072" y="5533521"/>
          <a:ext cx="328033" cy="229099"/>
        </a:xfrm>
        <a:prstGeom prst="ellipse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21</xdr:col>
      <xdr:colOff>272623</xdr:colOff>
      <xdr:row>36</xdr:row>
      <xdr:rowOff>75247</xdr:rowOff>
    </xdr:from>
    <xdr:to>
      <xdr:col>21</xdr:col>
      <xdr:colOff>621387</xdr:colOff>
      <xdr:row>38</xdr:row>
      <xdr:rowOff>8188</xdr:rowOff>
    </xdr:to>
    <xdr:sp macro="[0]!ActualizarMapaCalor" textlink="">
      <xdr:nvSpPr>
        <xdr:cNvPr id="57" name="Manos">
          <a:extLst>
            <a:ext uri="{FF2B5EF4-FFF2-40B4-BE49-F238E27FC236}">
              <a16:creationId xmlns:a16="http://schemas.microsoft.com/office/drawing/2014/main" id="{5417CF2F-AF52-F222-9A5F-2B50316D3B93}"/>
            </a:ext>
          </a:extLst>
        </xdr:cNvPr>
        <xdr:cNvSpPr/>
      </xdr:nvSpPr>
      <xdr:spPr>
        <a:xfrm>
          <a:off x="22966368" y="6559174"/>
          <a:ext cx="348764" cy="293159"/>
        </a:xfrm>
        <a:prstGeom prst="ellipse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19</xdr:col>
      <xdr:colOff>619103</xdr:colOff>
      <xdr:row>36</xdr:row>
      <xdr:rowOff>124834</xdr:rowOff>
    </xdr:from>
    <xdr:to>
      <xdr:col>19</xdr:col>
      <xdr:colOff>973044</xdr:colOff>
      <xdr:row>38</xdr:row>
      <xdr:rowOff>67584</xdr:rowOff>
    </xdr:to>
    <xdr:sp macro="[0]!ActualizarMapaCalor" textlink="">
      <xdr:nvSpPr>
        <xdr:cNvPr id="59" name="Manos">
          <a:extLst>
            <a:ext uri="{FF2B5EF4-FFF2-40B4-BE49-F238E27FC236}">
              <a16:creationId xmlns:a16="http://schemas.microsoft.com/office/drawing/2014/main" id="{724C557B-A0DF-4323-A38F-9B5C9BCF5050}"/>
            </a:ext>
          </a:extLst>
        </xdr:cNvPr>
        <xdr:cNvSpPr/>
      </xdr:nvSpPr>
      <xdr:spPr>
        <a:xfrm>
          <a:off x="21151539" y="6608761"/>
          <a:ext cx="353941" cy="302968"/>
        </a:xfrm>
        <a:prstGeom prst="ellipse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18</xdr:col>
      <xdr:colOff>586155</xdr:colOff>
      <xdr:row>14</xdr:row>
      <xdr:rowOff>73441</xdr:rowOff>
    </xdr:from>
    <xdr:to>
      <xdr:col>28</xdr:col>
      <xdr:colOff>788895</xdr:colOff>
      <xdr:row>16</xdr:row>
      <xdr:rowOff>76033</xdr:rowOff>
    </xdr:to>
    <xdr:sp macro="" textlink="">
      <xdr:nvSpPr>
        <xdr:cNvPr id="77" name="Rectángulo 76">
          <a:extLst>
            <a:ext uri="{FF2B5EF4-FFF2-40B4-BE49-F238E27FC236}">
              <a16:creationId xmlns:a16="http://schemas.microsoft.com/office/drawing/2014/main" id="{7841649A-BE4D-416F-A646-870509DB2F18}"/>
            </a:ext>
          </a:extLst>
        </xdr:cNvPr>
        <xdr:cNvSpPr/>
      </xdr:nvSpPr>
      <xdr:spPr>
        <a:xfrm>
          <a:off x="19989277" y="2675392"/>
          <a:ext cx="10982252" cy="374300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>
              <a:latin typeface="Algerian" panose="04020705040A02060702" pitchFamily="82" charset="0"/>
            </a:rPr>
            <a:t>PARTE DEL CUERPO MÁS ACCIDENTADA</a:t>
          </a:r>
        </a:p>
      </xdr:txBody>
    </xdr:sp>
    <xdr:clientData/>
  </xdr:twoCellAnchor>
  <xdr:twoCellAnchor>
    <xdr:from>
      <xdr:col>28</xdr:col>
      <xdr:colOff>952500</xdr:colOff>
      <xdr:row>14</xdr:row>
      <xdr:rowOff>38100</xdr:rowOff>
    </xdr:from>
    <xdr:to>
      <xdr:col>35</xdr:col>
      <xdr:colOff>666750</xdr:colOff>
      <xdr:row>55</xdr:row>
      <xdr:rowOff>19050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4C4F096A-B1E7-4CF2-8196-1AB1521F4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28</xdr:col>
      <xdr:colOff>949568</xdr:colOff>
      <xdr:row>14</xdr:row>
      <xdr:rowOff>42493</xdr:rowOff>
    </xdr:from>
    <xdr:to>
      <xdr:col>35</xdr:col>
      <xdr:colOff>674076</xdr:colOff>
      <xdr:row>16</xdr:row>
      <xdr:rowOff>144818</xdr:rowOff>
    </xdr:to>
    <xdr:sp macro="" textlink="">
      <xdr:nvSpPr>
        <xdr:cNvPr id="80" name="Rectángulo 79">
          <a:extLst>
            <a:ext uri="{FF2B5EF4-FFF2-40B4-BE49-F238E27FC236}">
              <a16:creationId xmlns:a16="http://schemas.microsoft.com/office/drawing/2014/main" id="{0EA61936-839C-4FBE-8226-239E424ACA31}"/>
            </a:ext>
          </a:extLst>
        </xdr:cNvPr>
        <xdr:cNvSpPr/>
      </xdr:nvSpPr>
      <xdr:spPr>
        <a:xfrm>
          <a:off x="31353368" y="2709493"/>
          <a:ext cx="6925408" cy="483325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>
              <a:latin typeface="Algerian" panose="04020705040A02060702" pitchFamily="82" charset="0"/>
            </a:rPr>
            <a:t>AGENTE CAUNSANTE DE ACCIDENTES</a:t>
          </a:r>
        </a:p>
      </xdr:txBody>
    </xdr:sp>
    <xdr:clientData/>
  </xdr:twoCellAnchor>
  <xdr:twoCellAnchor editAs="oneCell">
    <xdr:from>
      <xdr:col>25</xdr:col>
      <xdr:colOff>21861</xdr:colOff>
      <xdr:row>1</xdr:row>
      <xdr:rowOff>85715</xdr:rowOff>
    </xdr:from>
    <xdr:to>
      <xdr:col>28</xdr:col>
      <xdr:colOff>1007590</xdr:colOff>
      <xdr:row>13</xdr:row>
      <xdr:rowOff>5059</xdr:rowOff>
    </xdr:to>
    <xdr:grpSp>
      <xdr:nvGrpSpPr>
        <xdr:cNvPr id="81" name="Grupo 80">
          <a:extLst>
            <a:ext uri="{FF2B5EF4-FFF2-40B4-BE49-F238E27FC236}">
              <a16:creationId xmlns:a16="http://schemas.microsoft.com/office/drawing/2014/main" id="{88C0B1A0-2AEC-47EF-9A64-4EB88E305A4A}"/>
            </a:ext>
          </a:extLst>
        </xdr:cNvPr>
        <xdr:cNvGrpSpPr/>
      </xdr:nvGrpSpPr>
      <xdr:grpSpPr>
        <a:xfrm>
          <a:off x="27038225" y="265824"/>
          <a:ext cx="4227692" cy="2080653"/>
          <a:chOff x="25939335" y="286307"/>
          <a:chExt cx="4237615" cy="2202872"/>
        </a:xfrm>
      </xdr:grpSpPr>
      <xdr:sp macro="" textlink="">
        <xdr:nvSpPr>
          <xdr:cNvPr id="82" name="Rectángulo: esquinas redondeadas 81">
            <a:extLst>
              <a:ext uri="{FF2B5EF4-FFF2-40B4-BE49-F238E27FC236}">
                <a16:creationId xmlns:a16="http://schemas.microsoft.com/office/drawing/2014/main" id="{B1E06146-97ED-E8D5-4460-C234A812A8D7}"/>
              </a:ext>
            </a:extLst>
          </xdr:cNvPr>
          <xdr:cNvSpPr/>
        </xdr:nvSpPr>
        <xdr:spPr>
          <a:xfrm>
            <a:off x="25939335" y="286307"/>
            <a:ext cx="4237615" cy="2202872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83" name="CuadroTexto 82">
            <a:extLst>
              <a:ext uri="{FF2B5EF4-FFF2-40B4-BE49-F238E27FC236}">
                <a16:creationId xmlns:a16="http://schemas.microsoft.com/office/drawing/2014/main" id="{D16BB658-0435-5401-8B6B-94E18F121DC9}"/>
              </a:ext>
            </a:extLst>
          </xdr:cNvPr>
          <xdr:cNvSpPr txBox="1"/>
        </xdr:nvSpPr>
        <xdr:spPr>
          <a:xfrm>
            <a:off x="25939335" y="550651"/>
            <a:ext cx="3554581" cy="6789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2000">
                <a:latin typeface="Algerian" panose="04020705040A02060702" pitchFamily="82" charset="0"/>
              </a:rPr>
              <a:t>% ACCIDENTADO POR MES</a:t>
            </a:r>
          </a:p>
        </xdr:txBody>
      </xdr:sp>
      <xdr:sp macro="" textlink="STATS!N9">
        <xdr:nvSpPr>
          <xdr:cNvPr id="84" name="CuadroTexto 83">
            <a:extLst>
              <a:ext uri="{FF2B5EF4-FFF2-40B4-BE49-F238E27FC236}">
                <a16:creationId xmlns:a16="http://schemas.microsoft.com/office/drawing/2014/main" id="{DA5B5317-93EF-5142-2C5B-42B6DE3F2EF5}"/>
              </a:ext>
            </a:extLst>
          </xdr:cNvPr>
          <xdr:cNvSpPr txBox="1"/>
        </xdr:nvSpPr>
        <xdr:spPr>
          <a:xfrm>
            <a:off x="27042309" y="1196400"/>
            <a:ext cx="1515248" cy="7157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15C68E72-36BD-4AE0-A05D-E80C10608407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0%</a:t>
            </a:fld>
            <a:endParaRPr lang="es-PE" sz="6000">
              <a:latin typeface="Algerian" panose="04020705040A02060702" pitchFamily="82" charset="0"/>
            </a:endParaRPr>
          </a:p>
        </xdr:txBody>
      </xdr:sp>
    </xdr:grpSp>
    <xdr:clientData/>
  </xdr:twoCellAnchor>
  <xdr:twoCellAnchor editAs="oneCell">
    <xdr:from>
      <xdr:col>27</xdr:col>
      <xdr:colOff>872158</xdr:colOff>
      <xdr:row>5</xdr:row>
      <xdr:rowOff>53009</xdr:rowOff>
    </xdr:from>
    <xdr:to>
      <xdr:col>28</xdr:col>
      <xdr:colOff>951123</xdr:colOff>
      <xdr:row>11</xdr:row>
      <xdr:rowOff>74543</xdr:rowOff>
    </xdr:to>
    <xdr:pic>
      <xdr:nvPicPr>
        <xdr:cNvPr id="87" name="Gráfico 86" descr="Presentación con gráfico circular con relleno sólido">
          <a:extLst>
            <a:ext uri="{FF2B5EF4-FFF2-40B4-BE49-F238E27FC236}">
              <a16:creationId xmlns:a16="http://schemas.microsoft.com/office/drawing/2014/main" id="{E9C6278C-DAA2-FD8F-6F90-FFE838C15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30033567" y="980661"/>
          <a:ext cx="1159017" cy="1134717"/>
        </a:xfrm>
        <a:prstGeom prst="rect">
          <a:avLst/>
        </a:prstGeom>
      </xdr:spPr>
    </xdr:pic>
    <xdr:clientData/>
  </xdr:twoCellAnchor>
  <xdr:twoCellAnchor>
    <xdr:from>
      <xdr:col>4</xdr:col>
      <xdr:colOff>600024</xdr:colOff>
      <xdr:row>42</xdr:row>
      <xdr:rowOff>177998</xdr:rowOff>
    </xdr:from>
    <xdr:to>
      <xdr:col>18</xdr:col>
      <xdr:colOff>304800</xdr:colOff>
      <xdr:row>75</xdr:row>
      <xdr:rowOff>57150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417933B5-B721-44FD-9425-9D3BC7AC6D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591662</xdr:colOff>
      <xdr:row>40</xdr:row>
      <xdr:rowOff>73057</xdr:rowOff>
    </xdr:from>
    <xdr:to>
      <xdr:col>18</xdr:col>
      <xdr:colOff>310054</xdr:colOff>
      <xdr:row>42</xdr:row>
      <xdr:rowOff>175381</xdr:rowOff>
    </xdr:to>
    <xdr:sp macro="" textlink="">
      <xdr:nvSpPr>
        <xdr:cNvPr id="89" name="Rectángulo 88">
          <a:extLst>
            <a:ext uri="{FF2B5EF4-FFF2-40B4-BE49-F238E27FC236}">
              <a16:creationId xmlns:a16="http://schemas.microsoft.com/office/drawing/2014/main" id="{B6AAFB77-E493-4160-9674-7376A86799D4}"/>
            </a:ext>
          </a:extLst>
        </xdr:cNvPr>
        <xdr:cNvSpPr/>
      </xdr:nvSpPr>
      <xdr:spPr>
        <a:xfrm>
          <a:off x="4921924" y="7430298"/>
          <a:ext cx="14874309" cy="470186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>
              <a:latin typeface="Algerian" panose="04020705040A02060702" pitchFamily="82" charset="0"/>
            </a:rPr>
            <a:t>ACCIDENTES REGISTRADOS</a:t>
          </a:r>
          <a:r>
            <a:rPr lang="es-PE" sz="2400" baseline="0">
              <a:latin typeface="Algerian" panose="04020705040A02060702" pitchFamily="82" charset="0"/>
            </a:rPr>
            <a:t> POR AREA DE TRABAJO</a:t>
          </a:r>
          <a:endParaRPr lang="es-PE" sz="2400">
            <a:latin typeface="Algerian" panose="04020705040A02060702" pitchFamily="82" charset="0"/>
          </a:endParaRPr>
        </a:p>
      </xdr:txBody>
    </xdr:sp>
    <xdr:clientData/>
  </xdr:twoCellAnchor>
  <xdr:twoCellAnchor>
    <xdr:from>
      <xdr:col>10</xdr:col>
      <xdr:colOff>914400</xdr:colOff>
      <xdr:row>16</xdr:row>
      <xdr:rowOff>38100</xdr:rowOff>
    </xdr:from>
    <xdr:to>
      <xdr:col>18</xdr:col>
      <xdr:colOff>209550</xdr:colOff>
      <xdr:row>38</xdr:row>
      <xdr:rowOff>133350</xdr:rowOff>
    </xdr:to>
    <xdr:graphicFrame macro="">
      <xdr:nvGraphicFramePr>
        <xdr:cNvPr id="90" name="Gráfico 89">
          <a:extLst>
            <a:ext uri="{FF2B5EF4-FFF2-40B4-BE49-F238E27FC236}">
              <a16:creationId xmlns:a16="http://schemas.microsoft.com/office/drawing/2014/main" id="{83813865-0366-4068-9CD0-FCC79FC06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907718</xdr:colOff>
      <xdr:row>14</xdr:row>
      <xdr:rowOff>46603</xdr:rowOff>
    </xdr:from>
    <xdr:to>
      <xdr:col>18</xdr:col>
      <xdr:colOff>216876</xdr:colOff>
      <xdr:row>16</xdr:row>
      <xdr:rowOff>26241</xdr:rowOff>
    </xdr:to>
    <xdr:sp macro="" textlink="">
      <xdr:nvSpPr>
        <xdr:cNvPr id="91" name="Rectángulo 90">
          <a:extLst>
            <a:ext uri="{FF2B5EF4-FFF2-40B4-BE49-F238E27FC236}">
              <a16:creationId xmlns:a16="http://schemas.microsoft.com/office/drawing/2014/main" id="{2CF2AC29-B087-486E-A311-0351B0DF7D09}"/>
            </a:ext>
          </a:extLst>
        </xdr:cNvPr>
        <xdr:cNvSpPr/>
      </xdr:nvSpPr>
      <xdr:spPr>
        <a:xfrm>
          <a:off x="11751564" y="2590511"/>
          <a:ext cx="7984235" cy="343053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latin typeface="Algerian" panose="04020705040A02060702" pitchFamily="82" charset="0"/>
            </a:rPr>
            <a:t>% DE ACCIDENTES POR PERFIL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0.6739</cdr:x>
      <cdr:y>0.53064</cdr:y>
    </cdr:from>
    <cdr:to>
      <cdr:x>0.81614</cdr:x>
      <cdr:y>0.78084</cdr:y>
    </cdr:to>
    <cdr:pic>
      <cdr:nvPicPr>
        <cdr:cNvPr id="3" name="Gráfico 2" descr="Mujer con relleno sólido">
          <a:extLst xmlns:a="http://schemas.openxmlformats.org/drawingml/2006/main">
            <a:ext uri="{FF2B5EF4-FFF2-40B4-BE49-F238E27FC236}">
              <a16:creationId xmlns:a16="http://schemas.microsoft.com/office/drawing/2014/main" id="{1F47D4C3-489E-A372-9BE5-1E8E457FD9B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4137308" y="2084947"/>
          <a:ext cx="873278" cy="98303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0.67383</cdr:x>
      <cdr:y>0.24942</cdr:y>
    </cdr:from>
    <cdr:to>
      <cdr:x>0.81607</cdr:x>
      <cdr:y>0.49961</cdr:y>
    </cdr:to>
    <cdr:pic>
      <cdr:nvPicPr>
        <cdr:cNvPr id="5" name="Gráfico 4" descr="Hombre con relleno sólido">
          <a:extLst xmlns:a="http://schemas.openxmlformats.org/drawingml/2006/main">
            <a:ext uri="{FF2B5EF4-FFF2-40B4-BE49-F238E27FC236}">
              <a16:creationId xmlns:a16="http://schemas.microsoft.com/office/drawing/2014/main" id="{EF9AFC63-ADAE-BCCA-767C-57FE042AC8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4136864" y="979994"/>
          <a:ext cx="873279" cy="98303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2021</xdr:rowOff>
    </xdr:from>
    <xdr:to>
      <xdr:col>42</xdr:col>
      <xdr:colOff>762000</xdr:colOff>
      <xdr:row>102</xdr:row>
      <xdr:rowOff>114300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93C923B-DED9-4C77-BCAD-7E857282032D}"/>
            </a:ext>
            <a:ext uri="{147F2762-F138-4A5C-976F-8EAC2B608ADB}">
              <a16:predDERef xmlns:a16="http://schemas.microsoft.com/office/drawing/2014/main" pred="{669EDC00-6F5D-484D-A7B6-D0AB8A930D35}"/>
            </a:ext>
          </a:extLst>
        </xdr:cNvPr>
        <xdr:cNvSpPr/>
      </xdr:nvSpPr>
      <xdr:spPr>
        <a:xfrm>
          <a:off x="0" y="2021"/>
          <a:ext cx="43167300" cy="19543279"/>
        </a:xfrm>
        <a:prstGeom prst="roundRect">
          <a:avLst>
            <a:gd name="adj" fmla="val 2187"/>
          </a:avLst>
        </a:prstGeom>
        <a:gradFill flip="none" rotWithShape="1">
          <a:gsLst>
            <a:gs pos="0">
              <a:schemeClr val="accent1">
                <a:lumMod val="75000"/>
              </a:schemeClr>
            </a:gs>
            <a:gs pos="85000">
              <a:srgbClr val="779ECE"/>
            </a:gs>
            <a:gs pos="5000">
              <a:srgbClr val="4971A3"/>
            </a:gs>
            <a:gs pos="41000">
              <a:srgbClr val="5B83B4"/>
            </a:gs>
            <a:gs pos="100000">
              <a:schemeClr val="tx2">
                <a:lumMod val="40000"/>
                <a:lumOff val="6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</xdr:col>
      <xdr:colOff>589731</xdr:colOff>
      <xdr:row>14</xdr:row>
      <xdr:rowOff>106684</xdr:rowOff>
    </xdr:from>
    <xdr:to>
      <xdr:col>10</xdr:col>
      <xdr:colOff>519817</xdr:colOff>
      <xdr:row>16</xdr:row>
      <xdr:rowOff>86322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7D52F14F-5B8B-47DE-8A65-C3EC10CA4004}"/>
            </a:ext>
          </a:extLst>
        </xdr:cNvPr>
        <xdr:cNvSpPr/>
      </xdr:nvSpPr>
      <xdr:spPr>
        <a:xfrm>
          <a:off x="4917891" y="2667004"/>
          <a:ext cx="6422326" cy="345398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latin typeface="Algerian" panose="04020705040A02060702" pitchFamily="82" charset="0"/>
            </a:rPr>
            <a:t>CAPACITADOS POR TIPO</a:t>
          </a:r>
          <a:r>
            <a:rPr lang="es-PE" sz="2000" baseline="0">
              <a:latin typeface="Algerian" panose="04020705040A02060702" pitchFamily="82" charset="0"/>
            </a:rPr>
            <a:t> DE CAPACITACIÓN</a:t>
          </a:r>
          <a:endParaRPr lang="es-PE" sz="2000">
            <a:latin typeface="Algerian" panose="04020705040A02060702" pitchFamily="82" charset="0"/>
          </a:endParaRPr>
        </a:p>
      </xdr:txBody>
    </xdr:sp>
    <xdr:clientData/>
  </xdr:twoCellAnchor>
  <xdr:twoCellAnchor>
    <xdr:from>
      <xdr:col>18</xdr:col>
      <xdr:colOff>586154</xdr:colOff>
      <xdr:row>14</xdr:row>
      <xdr:rowOff>105507</xdr:rowOff>
    </xdr:from>
    <xdr:to>
      <xdr:col>24</xdr:col>
      <xdr:colOff>488641</xdr:colOff>
      <xdr:row>16</xdr:row>
      <xdr:rowOff>76033</xdr:rowOff>
    </xdr:to>
    <xdr:sp macro="" textlink="">
      <xdr:nvSpPr>
        <xdr:cNvPr id="61" name="Rectángulo 60">
          <a:extLst>
            <a:ext uri="{FF2B5EF4-FFF2-40B4-BE49-F238E27FC236}">
              <a16:creationId xmlns:a16="http://schemas.microsoft.com/office/drawing/2014/main" id="{4AC29038-1F6F-49DF-A34D-5F1B077351AE}"/>
            </a:ext>
          </a:extLst>
        </xdr:cNvPr>
        <xdr:cNvSpPr/>
      </xdr:nvSpPr>
      <xdr:spPr>
        <a:xfrm>
          <a:off x="20105077" y="2649415"/>
          <a:ext cx="6408795" cy="333941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>
              <a:latin typeface="Algerian" panose="04020705040A02060702" pitchFamily="82" charset="0"/>
            </a:rPr>
            <a:t>APTITUD DE MUJERES</a:t>
          </a:r>
        </a:p>
      </xdr:txBody>
    </xdr:sp>
    <xdr:clientData/>
  </xdr:twoCellAnchor>
  <xdr:twoCellAnchor>
    <xdr:from>
      <xdr:col>4</xdr:col>
      <xdr:colOff>591662</xdr:colOff>
      <xdr:row>40</xdr:row>
      <xdr:rowOff>73057</xdr:rowOff>
    </xdr:from>
    <xdr:to>
      <xdr:col>18</xdr:col>
      <xdr:colOff>310054</xdr:colOff>
      <xdr:row>42</xdr:row>
      <xdr:rowOff>175381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69878B5E-469A-436C-B352-2A72B2842FE4}"/>
            </a:ext>
          </a:extLst>
        </xdr:cNvPr>
        <xdr:cNvSpPr/>
      </xdr:nvSpPr>
      <xdr:spPr>
        <a:xfrm>
          <a:off x="4914280" y="7277421"/>
          <a:ext cx="14847556" cy="462542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>
              <a:latin typeface="Algerian" panose="04020705040A02060702" pitchFamily="82" charset="0"/>
            </a:rPr>
            <a:t>REGISTRO DE TRABAJADORES</a:t>
          </a:r>
          <a:r>
            <a:rPr lang="es-PE" sz="2400" baseline="0">
              <a:latin typeface="Algerian" panose="04020705040A02060702" pitchFamily="82" charset="0"/>
            </a:rPr>
            <a:t> Y EMOS</a:t>
          </a:r>
          <a:endParaRPr lang="es-PE" sz="2400">
            <a:latin typeface="Algerian" panose="04020705040A02060702" pitchFamily="82" charset="0"/>
          </a:endParaRPr>
        </a:p>
      </xdr:txBody>
    </xdr:sp>
    <xdr:clientData/>
  </xdr:twoCellAnchor>
  <xdr:twoCellAnchor>
    <xdr:from>
      <xdr:col>10</xdr:col>
      <xdr:colOff>1022018</xdr:colOff>
      <xdr:row>14</xdr:row>
      <xdr:rowOff>107563</xdr:rowOff>
    </xdr:from>
    <xdr:to>
      <xdr:col>18</xdr:col>
      <xdr:colOff>331176</xdr:colOff>
      <xdr:row>16</xdr:row>
      <xdr:rowOff>87201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79D4DF95-D67D-40ED-ACF3-0EE06A050AA9}"/>
            </a:ext>
          </a:extLst>
        </xdr:cNvPr>
        <xdr:cNvSpPr/>
      </xdr:nvSpPr>
      <xdr:spPr>
        <a:xfrm>
          <a:off x="11842418" y="2667883"/>
          <a:ext cx="7965478" cy="345398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latin typeface="Algerian" panose="04020705040A02060702" pitchFamily="82" charset="0"/>
            </a:rPr>
            <a:t>% DE TRABAJADORES POR ÁREA</a:t>
          </a:r>
          <a:r>
            <a:rPr lang="es-PE" sz="2000" baseline="0">
              <a:latin typeface="Algerian" panose="04020705040A02060702" pitchFamily="82" charset="0"/>
            </a:rPr>
            <a:t> DE TRABAJO</a:t>
          </a:r>
          <a:endParaRPr lang="es-PE" sz="2000">
            <a:latin typeface="Algerian" panose="04020705040A02060702" pitchFamily="82" charset="0"/>
          </a:endParaRPr>
        </a:p>
      </xdr:txBody>
    </xdr:sp>
    <xdr:clientData/>
  </xdr:twoCellAnchor>
  <xdr:twoCellAnchor>
    <xdr:from>
      <xdr:col>4</xdr:col>
      <xdr:colOff>632926</xdr:colOff>
      <xdr:row>1</xdr:row>
      <xdr:rowOff>82388</xdr:rowOff>
    </xdr:from>
    <xdr:to>
      <xdr:col>8</xdr:col>
      <xdr:colOff>853713</xdr:colOff>
      <xdr:row>13</xdr:row>
      <xdr:rowOff>0</xdr:rowOff>
    </xdr:to>
    <xdr:grpSp>
      <xdr:nvGrpSpPr>
        <xdr:cNvPr id="75" name="Grupo 74">
          <a:extLst>
            <a:ext uri="{FF2B5EF4-FFF2-40B4-BE49-F238E27FC236}">
              <a16:creationId xmlns:a16="http://schemas.microsoft.com/office/drawing/2014/main" id="{D4DFB5C7-F32C-3FE9-6AAD-3FD63763092F}"/>
            </a:ext>
          </a:extLst>
        </xdr:cNvPr>
        <xdr:cNvGrpSpPr/>
      </xdr:nvGrpSpPr>
      <xdr:grpSpPr>
        <a:xfrm>
          <a:off x="4900126" y="272888"/>
          <a:ext cx="4487987" cy="2203612"/>
          <a:chOff x="4599029" y="268658"/>
          <a:chExt cx="4540995" cy="2143238"/>
        </a:xfrm>
      </xdr:grpSpPr>
      <xdr:sp macro="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717E0A6F-A4F9-D7AF-73A6-19813887573B}"/>
              </a:ext>
            </a:extLst>
          </xdr:cNvPr>
          <xdr:cNvSpPr/>
        </xdr:nvSpPr>
        <xdr:spPr>
          <a:xfrm>
            <a:off x="4846681" y="268658"/>
            <a:ext cx="4213573" cy="2143238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DAB3EC57-35AA-7634-B706-5B12D83A42F5}"/>
              </a:ext>
            </a:extLst>
          </xdr:cNvPr>
          <xdr:cNvSpPr txBox="1"/>
        </xdr:nvSpPr>
        <xdr:spPr>
          <a:xfrm>
            <a:off x="4599029" y="418977"/>
            <a:ext cx="3970984" cy="8413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spAutoFit/>
          </a:bodyPr>
          <a:lstStyle/>
          <a:p>
            <a:pPr algn="ctr"/>
            <a:r>
              <a:rPr lang="es-PE" sz="2400">
                <a:ln>
                  <a:noFill/>
                </a:ln>
                <a:latin typeface="Algerian" panose="04020705040A02060702" pitchFamily="82" charset="0"/>
              </a:rPr>
              <a:t>TRABAJADORES INGRESADOS</a:t>
            </a:r>
          </a:p>
        </xdr:txBody>
      </xdr:sp>
      <xdr:sp macro="" textlink="STATS!G7">
        <xdr:nvSpPr>
          <xdr:cNvPr id="10" name="CuadroTexto 9">
            <a:extLst>
              <a:ext uri="{FF2B5EF4-FFF2-40B4-BE49-F238E27FC236}">
                <a16:creationId xmlns:a16="http://schemas.microsoft.com/office/drawing/2014/main" id="{0BA19B66-DAD1-4EEB-BDEB-70D70B5A6E64}"/>
              </a:ext>
            </a:extLst>
          </xdr:cNvPr>
          <xdr:cNvSpPr txBox="1"/>
        </xdr:nvSpPr>
        <xdr:spPr>
          <a:xfrm>
            <a:off x="6164874" y="1187056"/>
            <a:ext cx="788595" cy="6643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95B3E592-1708-4A4B-B96F-DB0CDB2C3326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15</a:t>
            </a:fld>
            <a:endParaRPr lang="es-PE" sz="6000">
              <a:latin typeface="Algerian" panose="04020705040A02060702" pitchFamily="82" charset="0"/>
            </a:endParaRPr>
          </a:p>
        </xdr:txBody>
      </xdr:sp>
      <xdr:pic>
        <xdr:nvPicPr>
          <xdr:cNvPr id="74" name="Gráfico 73" descr="Hombre trabajador de la construcción con relleno sólido">
            <a:extLst>
              <a:ext uri="{FF2B5EF4-FFF2-40B4-BE49-F238E27FC236}">
                <a16:creationId xmlns:a16="http://schemas.microsoft.com/office/drawing/2014/main" id="{9CF5B0DA-D4DE-FBB9-A9A3-F8C5283E4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32644" y="702365"/>
            <a:ext cx="1407380" cy="140738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178474</xdr:colOff>
      <xdr:row>1</xdr:row>
      <xdr:rowOff>83128</xdr:rowOff>
    </xdr:from>
    <xdr:to>
      <xdr:col>12</xdr:col>
      <xdr:colOff>952307</xdr:colOff>
      <xdr:row>13</xdr:row>
      <xdr:rowOff>0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01BF6730-CF92-A64D-EC9C-D9419C8AE376}"/>
            </a:ext>
          </a:extLst>
        </xdr:cNvPr>
        <xdr:cNvGrpSpPr/>
      </xdr:nvGrpSpPr>
      <xdr:grpSpPr>
        <a:xfrm>
          <a:off x="9779674" y="273628"/>
          <a:ext cx="3974233" cy="2202872"/>
          <a:chOff x="9270486" y="268658"/>
          <a:chExt cx="4008192" cy="2143238"/>
        </a:xfrm>
      </xdr:grpSpPr>
      <xdr:sp macro="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0979A136-52C4-04D6-109F-C067672085E7}"/>
              </a:ext>
            </a:extLst>
          </xdr:cNvPr>
          <xdr:cNvSpPr/>
        </xdr:nvSpPr>
        <xdr:spPr>
          <a:xfrm>
            <a:off x="9277112" y="268658"/>
            <a:ext cx="3972404" cy="2143238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3C8454AF-F970-3345-1E85-6FC9632ACF89}"/>
              </a:ext>
            </a:extLst>
          </xdr:cNvPr>
          <xdr:cNvSpPr txBox="1"/>
        </xdr:nvSpPr>
        <xdr:spPr>
          <a:xfrm>
            <a:off x="9270486" y="452959"/>
            <a:ext cx="3332118" cy="660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1800">
                <a:latin typeface="Algerian" panose="04020705040A02060702" pitchFamily="82" charset="0"/>
              </a:rPr>
              <a:t>TRABAJADORES ACTIVOS</a:t>
            </a:r>
          </a:p>
        </xdr:txBody>
      </xdr:sp>
      <xdr:sp macro="" textlink="STATS!H7">
        <xdr:nvSpPr>
          <xdr:cNvPr id="14" name="CuadroTexto 13">
            <a:extLst>
              <a:ext uri="{FF2B5EF4-FFF2-40B4-BE49-F238E27FC236}">
                <a16:creationId xmlns:a16="http://schemas.microsoft.com/office/drawing/2014/main" id="{A49A6409-C92F-02F3-8B12-1005862FD638}"/>
              </a:ext>
            </a:extLst>
          </xdr:cNvPr>
          <xdr:cNvSpPr txBox="1"/>
        </xdr:nvSpPr>
        <xdr:spPr>
          <a:xfrm>
            <a:off x="10617881" y="1122027"/>
            <a:ext cx="744826" cy="66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601364CC-0EB6-47AD-BCA2-D27243BAD6E7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253</a:t>
            </a:fld>
            <a:endParaRPr lang="es-PE" sz="6000">
              <a:latin typeface="Algerian" panose="04020705040A02060702" pitchFamily="82" charset="0"/>
            </a:endParaRPr>
          </a:p>
        </xdr:txBody>
      </xdr:sp>
      <xdr:pic>
        <xdr:nvPicPr>
          <xdr:cNvPr id="77" name="Gráfico 76" descr="Mujer trabajadora de la construcción con relleno sólido">
            <a:extLst>
              <a:ext uri="{FF2B5EF4-FFF2-40B4-BE49-F238E27FC236}">
                <a16:creationId xmlns:a16="http://schemas.microsoft.com/office/drawing/2014/main" id="{607CE805-2048-858F-76F9-F678037F0B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926957" y="781879"/>
            <a:ext cx="1351721" cy="1351721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1008205</xdr:colOff>
      <xdr:row>1</xdr:row>
      <xdr:rowOff>95807</xdr:rowOff>
    </xdr:from>
    <xdr:to>
      <xdr:col>21</xdr:col>
      <xdr:colOff>901333</xdr:colOff>
      <xdr:row>13</xdr:row>
      <xdr:rowOff>12679</xdr:rowOff>
    </xdr:to>
    <xdr:grpSp>
      <xdr:nvGrpSpPr>
        <xdr:cNvPr id="87" name="Grupo 86">
          <a:extLst>
            <a:ext uri="{FF2B5EF4-FFF2-40B4-BE49-F238E27FC236}">
              <a16:creationId xmlns:a16="http://schemas.microsoft.com/office/drawing/2014/main" id="{A1F1C7EA-7BAA-363E-1E5A-52113B2093BE}"/>
            </a:ext>
          </a:extLst>
        </xdr:cNvPr>
        <xdr:cNvGrpSpPr/>
      </xdr:nvGrpSpPr>
      <xdr:grpSpPr>
        <a:xfrm>
          <a:off x="19143805" y="286307"/>
          <a:ext cx="4160328" cy="2202872"/>
          <a:chOff x="17998566" y="275101"/>
          <a:chExt cx="4232045" cy="2068402"/>
        </a:xfrm>
      </xdr:grpSpPr>
      <xdr:sp macro="" textlink="">
        <xdr:nvSpPr>
          <xdr:cNvPr id="27" name="Rectángulo: esquinas redondeadas 26">
            <a:extLst>
              <a:ext uri="{FF2B5EF4-FFF2-40B4-BE49-F238E27FC236}">
                <a16:creationId xmlns:a16="http://schemas.microsoft.com/office/drawing/2014/main" id="{C059652F-63EB-3064-2D60-B661D06F42F7}"/>
              </a:ext>
            </a:extLst>
          </xdr:cNvPr>
          <xdr:cNvSpPr/>
        </xdr:nvSpPr>
        <xdr:spPr>
          <a:xfrm>
            <a:off x="17998566" y="275101"/>
            <a:ext cx="4232045" cy="2068402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320493AD-B0A6-DA36-45FD-2507AC5C41F7}"/>
              </a:ext>
            </a:extLst>
          </xdr:cNvPr>
          <xdr:cNvSpPr txBox="1"/>
        </xdr:nvSpPr>
        <xdr:spPr>
          <a:xfrm>
            <a:off x="18036540" y="514449"/>
            <a:ext cx="3469790" cy="6374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2000">
                <a:latin typeface="Algerian" panose="04020705040A02060702" pitchFamily="82" charset="0"/>
              </a:rPr>
              <a:t>TOTAL EMOS VENCIDOS</a:t>
            </a:r>
          </a:p>
        </xdr:txBody>
      </xdr:sp>
      <xdr:sp macro="" textlink="STATS!J5">
        <xdr:nvSpPr>
          <xdr:cNvPr id="29" name="CuadroTexto 28">
            <a:extLst>
              <a:ext uri="{FF2B5EF4-FFF2-40B4-BE49-F238E27FC236}">
                <a16:creationId xmlns:a16="http://schemas.microsoft.com/office/drawing/2014/main" id="{75476128-DDE6-BAE6-D933-75361C8CE09B}"/>
              </a:ext>
            </a:extLst>
          </xdr:cNvPr>
          <xdr:cNvSpPr txBox="1"/>
        </xdr:nvSpPr>
        <xdr:spPr>
          <a:xfrm>
            <a:off x="19321081" y="1101061"/>
            <a:ext cx="793508" cy="644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07C26E1D-B373-4FF0-B11F-ECC2F3FD74CF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0</a:t>
            </a:fld>
            <a:endParaRPr lang="es-PE" sz="6000">
              <a:latin typeface="Algerian" panose="04020705040A02060702" pitchFamily="82" charset="0"/>
            </a:endParaRPr>
          </a:p>
        </xdr:txBody>
      </xdr:sp>
      <xdr:pic>
        <xdr:nvPicPr>
          <xdr:cNvPr id="80" name="Gráfico 79" descr="Portapapeles mezclado con relleno sólido">
            <a:extLst>
              <a:ext uri="{FF2B5EF4-FFF2-40B4-BE49-F238E27FC236}">
                <a16:creationId xmlns:a16="http://schemas.microsoft.com/office/drawing/2014/main" id="{27F817DE-242B-1C1E-E4DB-19C189D454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98927" y="910201"/>
            <a:ext cx="1170791" cy="1150044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507875</xdr:colOff>
      <xdr:row>1</xdr:row>
      <xdr:rowOff>95807</xdr:rowOff>
    </xdr:from>
    <xdr:to>
      <xdr:col>26</xdr:col>
      <xdr:colOff>402091</xdr:colOff>
      <xdr:row>13</xdr:row>
      <xdr:rowOff>12679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1FC28513-59DF-F9A0-551F-8C2D2073E9D5}"/>
            </a:ext>
          </a:extLst>
        </xdr:cNvPr>
        <xdr:cNvGrpSpPr/>
      </xdr:nvGrpSpPr>
      <xdr:grpSpPr>
        <a:xfrm>
          <a:off x="23977475" y="286307"/>
          <a:ext cx="4161416" cy="2202872"/>
          <a:chOff x="22488214" y="275101"/>
          <a:chExt cx="4233134" cy="2068402"/>
        </a:xfrm>
      </xdr:grpSpPr>
      <xdr:sp macro="" textlink="">
        <xdr:nvSpPr>
          <xdr:cNvPr id="32" name="Rectángulo: esquinas redondeadas 31">
            <a:extLst>
              <a:ext uri="{FF2B5EF4-FFF2-40B4-BE49-F238E27FC236}">
                <a16:creationId xmlns:a16="http://schemas.microsoft.com/office/drawing/2014/main" id="{95A1DB28-E4A7-577F-C700-EFCCD9D44A25}"/>
              </a:ext>
            </a:extLst>
          </xdr:cNvPr>
          <xdr:cNvSpPr/>
        </xdr:nvSpPr>
        <xdr:spPr>
          <a:xfrm>
            <a:off x="22488214" y="275101"/>
            <a:ext cx="4233134" cy="2068402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516ED49F-E801-3CFD-8182-7196BF12A976}"/>
              </a:ext>
            </a:extLst>
          </xdr:cNvPr>
          <xdr:cNvSpPr txBox="1"/>
        </xdr:nvSpPr>
        <xdr:spPr>
          <a:xfrm>
            <a:off x="22488214" y="523309"/>
            <a:ext cx="3550822" cy="6374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2400">
                <a:latin typeface="Algerian" panose="04020705040A02060702" pitchFamily="82" charset="0"/>
              </a:rPr>
              <a:t>TOTAL SIN EMO</a:t>
            </a:r>
          </a:p>
        </xdr:txBody>
      </xdr:sp>
      <xdr:sp macro="" textlink="STATS!K5">
        <xdr:nvSpPr>
          <xdr:cNvPr id="34" name="CuadroTexto 33">
            <a:extLst>
              <a:ext uri="{FF2B5EF4-FFF2-40B4-BE49-F238E27FC236}">
                <a16:creationId xmlns:a16="http://schemas.microsoft.com/office/drawing/2014/main" id="{C2E7F821-DCA0-E5DB-4474-6EE6370B14AA}"/>
              </a:ext>
            </a:extLst>
          </xdr:cNvPr>
          <xdr:cNvSpPr txBox="1"/>
        </xdr:nvSpPr>
        <xdr:spPr>
          <a:xfrm>
            <a:off x="23818708" y="1107131"/>
            <a:ext cx="793714" cy="644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439C0195-BD0C-4CF4-BAB3-9D660E0089E1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149</a:t>
            </a:fld>
            <a:endParaRPr lang="es-PE" sz="6000">
              <a:latin typeface="Algerian" panose="04020705040A02060702" pitchFamily="82" charset="0"/>
            </a:endParaRPr>
          </a:p>
        </xdr:txBody>
      </xdr:sp>
      <xdr:pic>
        <xdr:nvPicPr>
          <xdr:cNvPr id="82" name="Gráfico 81" descr="Lista con relleno sólido">
            <a:extLst>
              <a:ext uri="{FF2B5EF4-FFF2-40B4-BE49-F238E27FC236}">
                <a16:creationId xmlns:a16="http://schemas.microsoft.com/office/drawing/2014/main" id="{45D9A590-5E11-9B6B-9E2B-45B6C51D2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5344409" y="841756"/>
            <a:ext cx="1262837" cy="123674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501880</xdr:colOff>
      <xdr:row>1</xdr:row>
      <xdr:rowOff>95807</xdr:rowOff>
    </xdr:from>
    <xdr:to>
      <xdr:col>17</xdr:col>
      <xdr:colOff>396095</xdr:colOff>
      <xdr:row>13</xdr:row>
      <xdr:rowOff>12679</xdr:rowOff>
    </xdr:to>
    <xdr:grpSp>
      <xdr:nvGrpSpPr>
        <xdr:cNvPr id="86" name="Grupo 85">
          <a:extLst>
            <a:ext uri="{FF2B5EF4-FFF2-40B4-BE49-F238E27FC236}">
              <a16:creationId xmlns:a16="http://schemas.microsoft.com/office/drawing/2014/main" id="{C9D45EE4-7277-8292-E0D0-2156D7DE3713}"/>
            </a:ext>
          </a:extLst>
        </xdr:cNvPr>
        <xdr:cNvGrpSpPr/>
      </xdr:nvGrpSpPr>
      <xdr:grpSpPr>
        <a:xfrm>
          <a:off x="14370280" y="286307"/>
          <a:ext cx="4161415" cy="2202872"/>
          <a:chOff x="13555614" y="275101"/>
          <a:chExt cx="4233133" cy="2068402"/>
        </a:xfrm>
      </xdr:grpSpPr>
      <xdr:sp macro="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C03F0153-1931-8A4B-9661-F5DBCFA94B60}"/>
              </a:ext>
            </a:extLst>
          </xdr:cNvPr>
          <xdr:cNvSpPr/>
        </xdr:nvSpPr>
        <xdr:spPr>
          <a:xfrm>
            <a:off x="13555614" y="275101"/>
            <a:ext cx="4233133" cy="2068402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211F6D6B-3EFD-D754-9DBE-1FFF392E278C}"/>
              </a:ext>
            </a:extLst>
          </xdr:cNvPr>
          <xdr:cNvSpPr txBox="1"/>
        </xdr:nvSpPr>
        <xdr:spPr>
          <a:xfrm>
            <a:off x="13555614" y="534241"/>
            <a:ext cx="3510297" cy="6375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2000">
                <a:latin typeface="Algerian" panose="04020705040A02060702" pitchFamily="82" charset="0"/>
              </a:rPr>
              <a:t>TOTAL EMOS VIGENTES</a:t>
            </a:r>
          </a:p>
        </xdr:txBody>
      </xdr:sp>
      <xdr:sp macro="" textlink="STATS!I5">
        <xdr:nvSpPr>
          <xdr:cNvPr id="24" name="CuadroTexto 23">
            <a:extLst>
              <a:ext uri="{FF2B5EF4-FFF2-40B4-BE49-F238E27FC236}">
                <a16:creationId xmlns:a16="http://schemas.microsoft.com/office/drawing/2014/main" id="{42150332-9E86-8F50-D42E-DF1E944C2645}"/>
              </a:ext>
            </a:extLst>
          </xdr:cNvPr>
          <xdr:cNvSpPr txBox="1"/>
        </xdr:nvSpPr>
        <xdr:spPr>
          <a:xfrm>
            <a:off x="14775782" y="1120468"/>
            <a:ext cx="1066411" cy="685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E4ACCDC6-5930-4CB5-95F9-FDDBA106CF1C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52</a:t>
            </a:fld>
            <a:endParaRPr lang="es-PE" sz="6000">
              <a:latin typeface="Algerian" panose="04020705040A02060702" pitchFamily="82" charset="0"/>
            </a:endParaRPr>
          </a:p>
        </xdr:txBody>
      </xdr:sp>
      <xdr:pic>
        <xdr:nvPicPr>
          <xdr:cNvPr id="84" name="Gráfico 83" descr="Lista de comprobación con relleno sólido">
            <a:extLst>
              <a:ext uri="{FF2B5EF4-FFF2-40B4-BE49-F238E27FC236}">
                <a16:creationId xmlns:a16="http://schemas.microsoft.com/office/drawing/2014/main" id="{CD82BB2A-F5B2-E675-45C6-8123CD2BF2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6513119" y="914400"/>
            <a:ext cx="1193536" cy="1137537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931778</xdr:colOff>
      <xdr:row>1</xdr:row>
      <xdr:rowOff>104765</xdr:rowOff>
    </xdr:from>
    <xdr:to>
      <xdr:col>29</xdr:col>
      <xdr:colOff>1918628</xdr:colOff>
      <xdr:row>13</xdr:row>
      <xdr:rowOff>24109</xdr:rowOff>
    </xdr:to>
    <xdr:grpSp>
      <xdr:nvGrpSpPr>
        <xdr:cNvPr id="98" name="Grupo 97">
          <a:extLst>
            <a:ext uri="{FF2B5EF4-FFF2-40B4-BE49-F238E27FC236}">
              <a16:creationId xmlns:a16="http://schemas.microsoft.com/office/drawing/2014/main" id="{4F8CD1CC-24B6-7E1B-E61E-342844F8AD7F}"/>
            </a:ext>
          </a:extLst>
        </xdr:cNvPr>
        <xdr:cNvGrpSpPr/>
      </xdr:nvGrpSpPr>
      <xdr:grpSpPr>
        <a:xfrm>
          <a:off x="28668578" y="295265"/>
          <a:ext cx="4187250" cy="2205344"/>
          <a:chOff x="26458778" y="276215"/>
          <a:chExt cx="4244400" cy="2205344"/>
        </a:xfrm>
      </xdr:grpSpPr>
      <xdr:grpSp>
        <xdr:nvGrpSpPr>
          <xdr:cNvPr id="64" name="Grupo 63">
            <a:extLst>
              <a:ext uri="{FF2B5EF4-FFF2-40B4-BE49-F238E27FC236}">
                <a16:creationId xmlns:a16="http://schemas.microsoft.com/office/drawing/2014/main" id="{6C22C96E-8AF1-42BD-B429-6B4628789BDA}"/>
              </a:ext>
            </a:extLst>
          </xdr:cNvPr>
          <xdr:cNvGrpSpPr/>
        </xdr:nvGrpSpPr>
        <xdr:grpSpPr>
          <a:xfrm>
            <a:off x="26458778" y="276215"/>
            <a:ext cx="4244400" cy="2205344"/>
            <a:chOff x="25939335" y="286307"/>
            <a:chExt cx="4237615" cy="2202872"/>
          </a:xfrm>
        </xdr:grpSpPr>
        <xdr:sp macro="" textlink="">
          <xdr:nvSpPr>
            <xdr:cNvPr id="65" name="Rectángulo: esquinas redondeadas 64">
              <a:extLst>
                <a:ext uri="{FF2B5EF4-FFF2-40B4-BE49-F238E27FC236}">
                  <a16:creationId xmlns:a16="http://schemas.microsoft.com/office/drawing/2014/main" id="{FC09ED8B-40BA-9BCA-8BA1-E57861EE3886}"/>
                </a:ext>
              </a:extLst>
            </xdr:cNvPr>
            <xdr:cNvSpPr/>
          </xdr:nvSpPr>
          <xdr:spPr>
            <a:xfrm>
              <a:off x="25939335" y="286307"/>
              <a:ext cx="4237615" cy="2202872"/>
            </a:xfrm>
            <a:prstGeom prst="roundRect">
              <a:avLst/>
            </a:prstGeom>
            <a:gradFill flip="none" rotWithShape="1">
              <a:gsLst>
                <a:gs pos="0">
                  <a:schemeClr val="tx2">
                    <a:lumMod val="75000"/>
                  </a:schemeClr>
                </a:gs>
                <a:gs pos="46000">
                  <a:schemeClr val="tx2">
                    <a:lumMod val="60000"/>
                    <a:lumOff val="40000"/>
                  </a:schemeClr>
                </a:gs>
                <a:gs pos="100000">
                  <a:schemeClr val="tx2">
                    <a:lumMod val="40000"/>
                    <a:lumOff val="60000"/>
                  </a:schemeClr>
                </a:gs>
              </a:gsLst>
              <a:path path="rect">
                <a:fillToRect l="50000" t="50000" r="50000" b="50000"/>
              </a:path>
              <a:tileRect/>
            </a:gra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PE" sz="1100"/>
            </a:p>
          </xdr:txBody>
        </xdr:sp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991E179-4017-C239-08DB-C877FD9E4FA2}"/>
                </a:ext>
              </a:extLst>
            </xdr:cNvPr>
            <xdr:cNvSpPr txBox="1"/>
          </xdr:nvSpPr>
          <xdr:spPr>
            <a:xfrm>
              <a:off x="26188258" y="778995"/>
              <a:ext cx="3005088" cy="33506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PE" sz="1600">
                  <a:latin typeface="Algerian" panose="04020705040A02060702" pitchFamily="82" charset="0"/>
                </a:rPr>
                <a:t>% EMOS ENTREGADOS AL MES</a:t>
              </a:r>
            </a:p>
          </xdr:txBody>
        </xdr:sp>
        <xdr:sp macro="" textlink="STATS!K7">
          <xdr:nvSpPr>
            <xdr:cNvPr id="67" name="CuadroTexto 66">
              <a:extLst>
                <a:ext uri="{FF2B5EF4-FFF2-40B4-BE49-F238E27FC236}">
                  <a16:creationId xmlns:a16="http://schemas.microsoft.com/office/drawing/2014/main" id="{EB3B4488-AB38-7E5F-ADDD-BC409D03A835}"/>
                </a:ext>
              </a:extLst>
            </xdr:cNvPr>
            <xdr:cNvSpPr txBox="1"/>
          </xdr:nvSpPr>
          <xdr:spPr>
            <a:xfrm>
              <a:off x="26661918" y="1234457"/>
              <a:ext cx="1846725" cy="7157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fld id="{961F38FE-7ADC-49AC-8427-A8397A27A17C}" type="TxLink">
                <a:rPr lang="en-US" sz="6000" b="0" i="0" u="none" strike="noStrike">
                  <a:solidFill>
                    <a:srgbClr val="000000"/>
                  </a:solidFill>
                  <a:latin typeface="Algerian" panose="04020705040A02060702" pitchFamily="82" charset="0"/>
                  <a:ea typeface="Calibri"/>
                  <a:cs typeface="Calibri"/>
                </a:rPr>
                <a:pPr algn="ctr"/>
                <a:t>0%</a:t>
              </a:fld>
              <a:endParaRPr lang="es-PE" sz="6000"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97" name="Gráfico 96" descr="Gráfico circular con relleno sólido">
            <a:extLst>
              <a:ext uri="{FF2B5EF4-FFF2-40B4-BE49-F238E27FC236}">
                <a16:creationId xmlns:a16="http://schemas.microsoft.com/office/drawing/2014/main" id="{56D67D25-E51B-7577-7DC8-FDD22C035C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9241750" y="1047750"/>
            <a:ext cx="1276350" cy="1276350"/>
          </a:xfrm>
          <a:prstGeom prst="rect">
            <a:avLst/>
          </a:prstGeom>
        </xdr:spPr>
      </xdr:pic>
    </xdr:grpSp>
    <xdr:clientData/>
  </xdr:twoCellAnchor>
  <xdr:twoCellAnchor>
    <xdr:from>
      <xdr:col>30</xdr:col>
      <xdr:colOff>321340</xdr:colOff>
      <xdr:row>1</xdr:row>
      <xdr:rowOff>95807</xdr:rowOff>
    </xdr:from>
    <xdr:to>
      <xdr:col>35</xdr:col>
      <xdr:colOff>548594</xdr:colOff>
      <xdr:row>13</xdr:row>
      <xdr:rowOff>12679</xdr:rowOff>
    </xdr:to>
    <xdr:grpSp>
      <xdr:nvGrpSpPr>
        <xdr:cNvPr id="101" name="Grupo 100">
          <a:extLst>
            <a:ext uri="{FF2B5EF4-FFF2-40B4-BE49-F238E27FC236}">
              <a16:creationId xmlns:a16="http://schemas.microsoft.com/office/drawing/2014/main" id="{CB6AB93B-8888-BBC8-44B7-9FD7E45E1867}"/>
            </a:ext>
          </a:extLst>
        </xdr:cNvPr>
        <xdr:cNvGrpSpPr/>
      </xdr:nvGrpSpPr>
      <xdr:grpSpPr>
        <a:xfrm>
          <a:off x="33354040" y="286307"/>
          <a:ext cx="4132504" cy="2202872"/>
          <a:chOff x="33925540" y="286307"/>
          <a:chExt cx="4227754" cy="2202872"/>
        </a:xfrm>
      </xdr:grpSpPr>
      <xdr:sp macro="" textlink="">
        <xdr:nvSpPr>
          <xdr:cNvPr id="17" name="Rectángulo: esquinas redondeadas 16">
            <a:extLst>
              <a:ext uri="{FF2B5EF4-FFF2-40B4-BE49-F238E27FC236}">
                <a16:creationId xmlns:a16="http://schemas.microsoft.com/office/drawing/2014/main" id="{981ADA74-DE86-0999-64B1-027BEEBA6E5A}"/>
              </a:ext>
            </a:extLst>
          </xdr:cNvPr>
          <xdr:cNvSpPr/>
        </xdr:nvSpPr>
        <xdr:spPr>
          <a:xfrm>
            <a:off x="33925540" y="286307"/>
            <a:ext cx="4227754" cy="2202872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</a:schemeClr>
              </a:gs>
              <a:gs pos="46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40000"/>
                  <a:lumOff val="60000"/>
                </a:schemeClr>
              </a:gs>
            </a:gsLst>
            <a:path path="rect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1B662F64-B77E-D465-C80D-CCB89740BBA8}"/>
              </a:ext>
            </a:extLst>
          </xdr:cNvPr>
          <xdr:cNvSpPr txBox="1"/>
        </xdr:nvSpPr>
        <xdr:spPr>
          <a:xfrm>
            <a:off x="33925540" y="550651"/>
            <a:ext cx="3546309" cy="6789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2000">
                <a:latin typeface="Algerian" panose="04020705040A02060702" pitchFamily="82" charset="0"/>
              </a:rPr>
              <a:t>EMOS REALIZADOS</a:t>
            </a:r>
          </a:p>
        </xdr:txBody>
      </xdr:sp>
      <xdr:sp macro="" textlink="STATS!I7">
        <xdr:nvSpPr>
          <xdr:cNvPr id="19" name="CuadroTexto 18">
            <a:extLst>
              <a:ext uri="{FF2B5EF4-FFF2-40B4-BE49-F238E27FC236}">
                <a16:creationId xmlns:a16="http://schemas.microsoft.com/office/drawing/2014/main" id="{13DAB6A8-F3E9-85CD-7ADB-2AB62519F94E}"/>
              </a:ext>
            </a:extLst>
          </xdr:cNvPr>
          <xdr:cNvSpPr txBox="1"/>
        </xdr:nvSpPr>
        <xdr:spPr>
          <a:xfrm>
            <a:off x="35153423" y="1093091"/>
            <a:ext cx="1016466" cy="9541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fld id="{034D1FBE-B938-4B85-A43B-0E46D0CF5718}" type="TxLink">
              <a:rPr lang="en-US" sz="6000" b="0" i="0" u="none" strike="noStrike">
                <a:solidFill>
                  <a:srgbClr val="000000"/>
                </a:solidFill>
                <a:latin typeface="Algerian" panose="04020705040A02060702" pitchFamily="82" charset="0"/>
                <a:ea typeface="Calibri"/>
                <a:cs typeface="Calibri"/>
              </a:rPr>
              <a:pPr algn="ctr"/>
              <a:t>6</a:t>
            </a:fld>
            <a:endParaRPr lang="es-PE" sz="6000">
              <a:latin typeface="Algerian" panose="04020705040A02060702" pitchFamily="82" charset="0"/>
            </a:endParaRPr>
          </a:p>
        </xdr:txBody>
      </xdr:sp>
      <xdr:pic>
        <xdr:nvPicPr>
          <xdr:cNvPr id="100" name="Gráfico 99" descr="Flecha: curva en sentido contrario de las agujas del reloj con relleno sólido">
            <a:extLst>
              <a:ext uri="{FF2B5EF4-FFF2-40B4-BE49-F238E27FC236}">
                <a16:creationId xmlns:a16="http://schemas.microsoft.com/office/drawing/2014/main" id="{F98A6B62-8915-BA07-F9B9-F3DE0D0775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36766500" y="933450"/>
            <a:ext cx="1314450" cy="13144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599089</xdr:colOff>
      <xdr:row>43</xdr:row>
      <xdr:rowOff>1</xdr:rowOff>
    </xdr:from>
    <xdr:to>
      <xdr:col>18</xdr:col>
      <xdr:colOff>310055</xdr:colOff>
      <xdr:row>76</xdr:row>
      <xdr:rowOff>138545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53E64A22-54B2-4557-865E-9F6C85A40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549854</xdr:colOff>
      <xdr:row>16</xdr:row>
      <xdr:rowOff>87189</xdr:rowOff>
    </xdr:from>
    <xdr:to>
      <xdr:col>35</xdr:col>
      <xdr:colOff>641838</xdr:colOff>
      <xdr:row>55</xdr:row>
      <xdr:rowOff>87189</xdr:rowOff>
    </xdr:to>
    <xdr:grpSp>
      <xdr:nvGrpSpPr>
        <xdr:cNvPr id="112" name="Grupo 111">
          <a:extLst>
            <a:ext uri="{FF2B5EF4-FFF2-40B4-BE49-F238E27FC236}">
              <a16:creationId xmlns:a16="http://schemas.microsoft.com/office/drawing/2014/main" id="{BCA6ECDB-FB71-48DF-065A-13C8B7962D1F}"/>
            </a:ext>
            <a:ext uri="{147F2762-F138-4A5C-976F-8EAC2B608ADB}">
              <a16:predDERef xmlns:a16="http://schemas.microsoft.com/office/drawing/2014/main" pred="{53E64A22-54B2-4557-865E-9F6C85A40F16}"/>
            </a:ext>
          </a:extLst>
        </xdr:cNvPr>
        <xdr:cNvGrpSpPr/>
      </xdr:nvGrpSpPr>
      <xdr:grpSpPr>
        <a:xfrm>
          <a:off x="19752254" y="3135189"/>
          <a:ext cx="17827534" cy="7429500"/>
          <a:chOff x="20139116" y="3124200"/>
          <a:chExt cx="18151384" cy="7429500"/>
        </a:xfrm>
      </xdr:grpSpPr>
      <xdr:grpSp>
        <xdr:nvGrpSpPr>
          <xdr:cNvPr id="111" name="Grupo 110">
            <a:extLst>
              <a:ext uri="{FF2B5EF4-FFF2-40B4-BE49-F238E27FC236}">
                <a16:creationId xmlns:a16="http://schemas.microsoft.com/office/drawing/2014/main" id="{3967AC5A-C43F-A9B0-493D-406B127EE0BD}"/>
              </a:ext>
            </a:extLst>
          </xdr:cNvPr>
          <xdr:cNvGrpSpPr/>
        </xdr:nvGrpSpPr>
        <xdr:grpSpPr>
          <a:xfrm>
            <a:off x="20139116" y="3124200"/>
            <a:ext cx="18151384" cy="7429500"/>
            <a:chOff x="20139116" y="3124200"/>
            <a:chExt cx="18151384" cy="7429500"/>
          </a:xfrm>
        </xdr:grpSpPr>
        <xdr:grpSp>
          <xdr:nvGrpSpPr>
            <xdr:cNvPr id="104" name="Grupo 103">
              <a:extLst>
                <a:ext uri="{FF2B5EF4-FFF2-40B4-BE49-F238E27FC236}">
                  <a16:creationId xmlns:a16="http://schemas.microsoft.com/office/drawing/2014/main" id="{A0E8F8F9-E69E-3AFB-12C2-503BDDD27904}"/>
                </a:ext>
              </a:extLst>
            </xdr:cNvPr>
            <xdr:cNvGrpSpPr/>
          </xdr:nvGrpSpPr>
          <xdr:grpSpPr>
            <a:xfrm>
              <a:off x="20139116" y="3124200"/>
              <a:ext cx="18151384" cy="7429500"/>
              <a:chOff x="6063978" y="11748052"/>
              <a:chExt cx="9945811" cy="2743201"/>
            </a:xfrm>
          </xdr:grpSpPr>
          <xdr:graphicFrame macro="">
            <xdr:nvGraphicFramePr>
              <xdr:cNvPr id="107" name="Gráfico 106">
                <a:extLst>
                  <a:ext uri="{FF2B5EF4-FFF2-40B4-BE49-F238E27FC236}">
                    <a16:creationId xmlns:a16="http://schemas.microsoft.com/office/drawing/2014/main" id="{B0AD20CC-A714-CA02-97F7-504037C176C6}"/>
                  </a:ext>
                </a:extLst>
              </xdr:cNvPr>
              <xdr:cNvGraphicFramePr/>
            </xdr:nvGraphicFramePr>
            <xdr:xfrm>
              <a:off x="9527669" y="11748052"/>
              <a:ext cx="3058392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6"/>
              </a:graphicData>
            </a:graphic>
          </xdr:graphicFrame>
          <xdr:graphicFrame macro="">
            <xdr:nvGraphicFramePr>
              <xdr:cNvPr id="108" name="Gráfico 107">
                <a:extLst>
                  <a:ext uri="{FF2B5EF4-FFF2-40B4-BE49-F238E27FC236}">
                    <a16:creationId xmlns:a16="http://schemas.microsoft.com/office/drawing/2014/main" id="{B1F46B0F-4B2C-C51C-F0D3-33AA8BB4321C}"/>
                  </a:ext>
                </a:extLst>
              </xdr:cNvPr>
              <xdr:cNvGraphicFramePr/>
            </xdr:nvGraphicFramePr>
            <xdr:xfrm>
              <a:off x="12545393" y="11748053"/>
              <a:ext cx="3464396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7"/>
              </a:graphicData>
            </a:graphic>
          </xdr:graphicFrame>
          <xdr:graphicFrame macro="">
            <xdr:nvGraphicFramePr>
              <xdr:cNvPr id="109" name="Gráfico 108">
                <a:extLst>
                  <a:ext uri="{FF2B5EF4-FFF2-40B4-BE49-F238E27FC236}">
                    <a16:creationId xmlns:a16="http://schemas.microsoft.com/office/drawing/2014/main" id="{712F5C2E-C0C8-35C2-2215-F22911E31F81}"/>
                  </a:ext>
                </a:extLst>
              </xdr:cNvPr>
              <xdr:cNvGraphicFramePr/>
            </xdr:nvGraphicFramePr>
            <xdr:xfrm>
              <a:off x="6063978" y="11748052"/>
              <a:ext cx="3521766" cy="27432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8"/>
              </a:graphicData>
            </a:graphic>
          </xdr:graphicFrame>
        </xdr:grpSp>
        <xdr:sp macro="" textlink="">
          <xdr:nvSpPr>
            <xdr:cNvPr id="106" name="Abrir llave 105">
              <a:extLst>
                <a:ext uri="{FF2B5EF4-FFF2-40B4-BE49-F238E27FC236}">
                  <a16:creationId xmlns:a16="http://schemas.microsoft.com/office/drawing/2014/main" id="{475EA353-890D-504F-4AD2-D793E65D9826}"/>
                </a:ext>
              </a:extLst>
            </xdr:cNvPr>
            <xdr:cNvSpPr/>
          </xdr:nvSpPr>
          <xdr:spPr>
            <a:xfrm rot="10800000">
              <a:off x="31699199" y="4020552"/>
              <a:ext cx="702249" cy="5690559"/>
            </a:xfrm>
            <a:prstGeom prst="leftBrace">
              <a:avLst/>
            </a:prstGeom>
            <a:ln w="28575">
              <a:solidFill>
                <a:schemeClr val="tx1">
                  <a:lumMod val="95000"/>
                  <a:lumOff val="5000"/>
                </a:schemeClr>
              </a:solidFill>
              <a:prstDash val="sys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s-PE" sz="1100"/>
            </a:p>
          </xdr:txBody>
        </xdr:sp>
      </xdr:grpSp>
      <xdr:sp macro="" textlink="">
        <xdr:nvSpPr>
          <xdr:cNvPr id="110" name="Abrir llave 109">
            <a:extLst>
              <a:ext uri="{FF2B5EF4-FFF2-40B4-BE49-F238E27FC236}">
                <a16:creationId xmlns:a16="http://schemas.microsoft.com/office/drawing/2014/main" id="{DA2D164A-C6C5-4A1E-B63C-4EDCCC53135B}"/>
              </a:ext>
            </a:extLst>
          </xdr:cNvPr>
          <xdr:cNvSpPr/>
        </xdr:nvSpPr>
        <xdr:spPr>
          <a:xfrm>
            <a:off x="26098499" y="4020552"/>
            <a:ext cx="702249" cy="5690559"/>
          </a:xfrm>
          <a:prstGeom prst="leftBrace">
            <a:avLst/>
          </a:prstGeom>
          <a:ln w="28575">
            <a:solidFill>
              <a:schemeClr val="tx1">
                <a:lumMod val="95000"/>
                <a:lumOff val="5000"/>
              </a:schemeClr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  <xdr:twoCellAnchor>
    <xdr:from>
      <xdr:col>29</xdr:col>
      <xdr:colOff>461465</xdr:colOff>
      <xdr:row>14</xdr:row>
      <xdr:rowOff>105507</xdr:rowOff>
    </xdr:from>
    <xdr:to>
      <xdr:col>35</xdr:col>
      <xdr:colOff>679939</xdr:colOff>
      <xdr:row>16</xdr:row>
      <xdr:rowOff>89888</xdr:rowOff>
    </xdr:to>
    <xdr:sp macro="" textlink="">
      <xdr:nvSpPr>
        <xdr:cNvPr id="113" name="Rectángulo 112">
          <a:extLst>
            <a:ext uri="{FF2B5EF4-FFF2-40B4-BE49-F238E27FC236}">
              <a16:creationId xmlns:a16="http://schemas.microsoft.com/office/drawing/2014/main" id="{23E6027E-A504-43A1-8021-21441C1E3DDE}"/>
            </a:ext>
          </a:extLst>
        </xdr:cNvPr>
        <xdr:cNvSpPr/>
      </xdr:nvSpPr>
      <xdr:spPr>
        <a:xfrm>
          <a:off x="31908619" y="2649415"/>
          <a:ext cx="6285166" cy="347796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>
              <a:latin typeface="Algerian" panose="04020705040A02060702" pitchFamily="82" charset="0"/>
            </a:rPr>
            <a:t>APTITUD DE HOMBRES</a:t>
          </a:r>
        </a:p>
      </xdr:txBody>
    </xdr:sp>
    <xdr:clientData/>
  </xdr:twoCellAnchor>
  <xdr:twoCellAnchor>
    <xdr:from>
      <xdr:col>24</xdr:col>
      <xdr:colOff>489175</xdr:colOff>
      <xdr:row>14</xdr:row>
      <xdr:rowOff>105507</xdr:rowOff>
    </xdr:from>
    <xdr:to>
      <xdr:col>29</xdr:col>
      <xdr:colOff>484909</xdr:colOff>
      <xdr:row>16</xdr:row>
      <xdr:rowOff>81897</xdr:rowOff>
    </xdr:to>
    <xdr:sp macro="" textlink="">
      <xdr:nvSpPr>
        <xdr:cNvPr id="114" name="Rectángulo 113">
          <a:extLst>
            <a:ext uri="{FF2B5EF4-FFF2-40B4-BE49-F238E27FC236}">
              <a16:creationId xmlns:a16="http://schemas.microsoft.com/office/drawing/2014/main" id="{A96B3AFD-9A92-44A9-A908-35077602C405}"/>
            </a:ext>
          </a:extLst>
        </xdr:cNvPr>
        <xdr:cNvSpPr/>
      </xdr:nvSpPr>
      <xdr:spPr>
        <a:xfrm>
          <a:off x="26514406" y="2649415"/>
          <a:ext cx="5417657" cy="339805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>
              <a:latin typeface="Algerian" panose="04020705040A02060702" pitchFamily="82" charset="0"/>
            </a:rPr>
            <a:t>APTITUD DE TRABAJADORES</a:t>
          </a:r>
        </a:p>
      </xdr:txBody>
    </xdr:sp>
    <xdr:clientData/>
  </xdr:twoCellAnchor>
  <xdr:twoCellAnchor>
    <xdr:from>
      <xdr:col>18</xdr:col>
      <xdr:colOff>590550</xdr:colOff>
      <xdr:row>55</xdr:row>
      <xdr:rowOff>152400</xdr:rowOff>
    </xdr:from>
    <xdr:to>
      <xdr:col>35</xdr:col>
      <xdr:colOff>704850</xdr:colOff>
      <xdr:row>76</xdr:row>
      <xdr:rowOff>152400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AE3E3829-658B-E24B-AE02-A07B61577B8C}"/>
            </a:ext>
          </a:extLst>
        </xdr:cNvPr>
        <xdr:cNvGrpSpPr/>
      </xdr:nvGrpSpPr>
      <xdr:grpSpPr>
        <a:xfrm>
          <a:off x="19792950" y="10629900"/>
          <a:ext cx="17849850" cy="4000500"/>
          <a:chOff x="19792950" y="10648950"/>
          <a:chExt cx="17849850" cy="4000500"/>
        </a:xfrm>
      </xdr:grpSpPr>
      <xdr:sp macro="" textlink="">
        <xdr:nvSpPr>
          <xdr:cNvPr id="39" name="Rectángulo 38">
            <a:extLst>
              <a:ext uri="{FF2B5EF4-FFF2-40B4-BE49-F238E27FC236}">
                <a16:creationId xmlns:a16="http://schemas.microsoft.com/office/drawing/2014/main" id="{2926C5FF-FBE3-FCD2-1B92-6BC09EEC5506}"/>
              </a:ext>
            </a:extLst>
          </xdr:cNvPr>
          <xdr:cNvSpPr/>
        </xdr:nvSpPr>
        <xdr:spPr>
          <a:xfrm>
            <a:off x="19812000" y="10648950"/>
            <a:ext cx="17811750" cy="317377"/>
          </a:xfrm>
          <a:prstGeom prst="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24000">
                <a:schemeClr val="accent1">
                  <a:alpha val="74000"/>
                  <a:lumMod val="77000"/>
                </a:schemeClr>
              </a:gs>
              <a:gs pos="10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PE" sz="2000">
                <a:latin typeface="Algerian" panose="04020705040A02060702" pitchFamily="82" charset="0"/>
              </a:rPr>
              <a:t>NÚMERO</a:t>
            </a:r>
            <a:r>
              <a:rPr lang="es-PE" sz="2000" baseline="0">
                <a:latin typeface="Algerian" panose="04020705040A02060702" pitchFamily="82" charset="0"/>
              </a:rPr>
              <a:t> DE CAPACITACIONES POR MES</a:t>
            </a:r>
            <a:endParaRPr lang="es-PE" sz="2000">
              <a:latin typeface="Algerian" panose="04020705040A02060702" pitchFamily="82" charset="0"/>
            </a:endParaRPr>
          </a:p>
        </xdr:txBody>
      </xdr:sp>
      <xdr:graphicFrame macro="">
        <xdr:nvGraphicFramePr>
          <xdr:cNvPr id="115" name="Gráfico 114">
            <a:extLst>
              <a:ext uri="{FF2B5EF4-FFF2-40B4-BE49-F238E27FC236}">
                <a16:creationId xmlns:a16="http://schemas.microsoft.com/office/drawing/2014/main" id="{4E1714EF-2E62-420B-9B18-839F8E7C378C}"/>
              </a:ext>
            </a:extLst>
          </xdr:cNvPr>
          <xdr:cNvGraphicFramePr>
            <a:graphicFrameLocks/>
          </xdr:cNvGraphicFramePr>
        </xdr:nvGraphicFramePr>
        <xdr:xfrm>
          <a:off x="19792950" y="10989129"/>
          <a:ext cx="17849850" cy="366032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>
    <xdr:from>
      <xdr:col>10</xdr:col>
      <xdr:colOff>1021080</xdr:colOff>
      <xdr:row>16</xdr:row>
      <xdr:rowOff>68580</xdr:rowOff>
    </xdr:from>
    <xdr:to>
      <xdr:col>18</xdr:col>
      <xdr:colOff>335280</xdr:colOff>
      <xdr:row>38</xdr:row>
      <xdr:rowOff>137160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55AAE47-C685-490F-9C6B-4473C59E9E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583593</xdr:colOff>
      <xdr:row>16</xdr:row>
      <xdr:rowOff>83492</xdr:rowOff>
    </xdr:from>
    <xdr:to>
      <xdr:col>10</xdr:col>
      <xdr:colOff>527539</xdr:colOff>
      <xdr:row>38</xdr:row>
      <xdr:rowOff>140677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776EEF4-7CC6-4A4A-9CF4-BCD869449E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41563</xdr:colOff>
      <xdr:row>0</xdr:row>
      <xdr:rowOff>41563</xdr:rowOff>
    </xdr:from>
    <xdr:to>
      <xdr:col>4</xdr:col>
      <xdr:colOff>435428</xdr:colOff>
      <xdr:row>75</xdr:row>
      <xdr:rowOff>174171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69EDC00-6F5D-484D-A7B6-D0AB8A930D35}"/>
            </a:ext>
          </a:extLst>
        </xdr:cNvPr>
        <xdr:cNvSpPr/>
      </xdr:nvSpPr>
      <xdr:spPr>
        <a:xfrm>
          <a:off x="41563" y="41563"/>
          <a:ext cx="4661065" cy="14420108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69000">
              <a:schemeClr val="accent1">
                <a:lumMod val="60000"/>
                <a:lumOff val="40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0</xdr:col>
      <xdr:colOff>110837</xdr:colOff>
      <xdr:row>35</xdr:row>
      <xdr:rowOff>76200</xdr:rowOff>
    </xdr:from>
    <xdr:to>
      <xdr:col>4</xdr:col>
      <xdr:colOff>315686</xdr:colOff>
      <xdr:row>71</xdr:row>
      <xdr:rowOff>97972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ES 2">
              <a:extLst>
                <a:ext uri="{FF2B5EF4-FFF2-40B4-BE49-F238E27FC236}">
                  <a16:creationId xmlns:a16="http://schemas.microsoft.com/office/drawing/2014/main" id="{1701E7D1-F661-4E18-849F-CB8EABF814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37" y="6553200"/>
              <a:ext cx="4515592" cy="66838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110837</xdr:colOff>
      <xdr:row>13</xdr:row>
      <xdr:rowOff>64942</xdr:rowOff>
    </xdr:from>
    <xdr:to>
      <xdr:col>4</xdr:col>
      <xdr:colOff>304800</xdr:colOff>
      <xdr:row>34</xdr:row>
      <xdr:rowOff>132442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OBRA 3">
              <a:extLst>
                <a:ext uri="{FF2B5EF4-FFF2-40B4-BE49-F238E27FC236}">
                  <a16:creationId xmlns:a16="http://schemas.microsoft.com/office/drawing/2014/main" id="{7E1F617E-BA6B-4FF4-A515-6AD8701D46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B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37" y="2470685"/>
              <a:ext cx="4504706" cy="3953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719564</xdr:colOff>
      <xdr:row>78</xdr:row>
      <xdr:rowOff>123096</xdr:rowOff>
    </xdr:from>
    <xdr:to>
      <xdr:col>9</xdr:col>
      <xdr:colOff>849923</xdr:colOff>
      <xdr:row>101</xdr:row>
      <xdr:rowOff>23445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CC120FDE-52DD-1CAE-C960-36A85283353C}"/>
            </a:ext>
          </a:extLst>
        </xdr:cNvPr>
        <xdr:cNvGrpSpPr/>
      </xdr:nvGrpSpPr>
      <xdr:grpSpPr>
        <a:xfrm>
          <a:off x="4986764" y="14982096"/>
          <a:ext cx="5464359" cy="4281849"/>
          <a:chOff x="5010210" y="14296296"/>
          <a:chExt cx="5493667" cy="4079626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:a16="http://schemas.microsoft.com/office/drawing/2014/main" id="{CC5F0ECD-EBD8-4A25-8E13-5350C9995019}"/>
              </a:ext>
            </a:extLst>
          </xdr:cNvPr>
          <xdr:cNvGraphicFramePr>
            <a:graphicFrameLocks/>
          </xdr:cNvGraphicFramePr>
        </xdr:nvGraphicFramePr>
        <xdr:xfrm>
          <a:off x="5014546" y="14633885"/>
          <a:ext cx="5489331" cy="3742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20" name="Rectángulo 19">
            <a:extLst>
              <a:ext uri="{FF2B5EF4-FFF2-40B4-BE49-F238E27FC236}">
                <a16:creationId xmlns:a16="http://schemas.microsoft.com/office/drawing/2014/main" id="{4BAE7CA1-6F12-42F2-BA5B-08194E949029}"/>
              </a:ext>
            </a:extLst>
          </xdr:cNvPr>
          <xdr:cNvSpPr/>
        </xdr:nvSpPr>
        <xdr:spPr>
          <a:xfrm>
            <a:off x="5010210" y="14296296"/>
            <a:ext cx="5493667" cy="343053"/>
          </a:xfrm>
          <a:prstGeom prst="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24000">
                <a:schemeClr val="accent1">
                  <a:alpha val="74000"/>
                  <a:lumMod val="77000"/>
                </a:schemeClr>
              </a:gs>
              <a:gs pos="10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PE" sz="2000">
                <a:latin typeface="Algerian" panose="04020705040A02060702" pitchFamily="82" charset="0"/>
              </a:rPr>
              <a:t>ESTATUS DE EMOS</a:t>
            </a:r>
          </a:p>
        </xdr:txBody>
      </xdr:sp>
    </xdr:grpSp>
    <xdr:clientData/>
  </xdr:twoCellAnchor>
  <xdr:twoCellAnchor>
    <xdr:from>
      <xdr:col>10</xdr:col>
      <xdr:colOff>277091</xdr:colOff>
      <xdr:row>80</xdr:row>
      <xdr:rowOff>71294</xdr:rowOff>
    </xdr:from>
    <xdr:to>
      <xdr:col>18</xdr:col>
      <xdr:colOff>457199</xdr:colOff>
      <xdr:row>101</xdr:row>
      <xdr:rowOff>13855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3508C518-1997-4E16-9004-4F182004B1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276219</xdr:colOff>
      <xdr:row>78</xdr:row>
      <xdr:rowOff>95387</xdr:rowOff>
    </xdr:from>
    <xdr:to>
      <xdr:col>18</xdr:col>
      <xdr:colOff>457200</xdr:colOff>
      <xdr:row>80</xdr:row>
      <xdr:rowOff>55418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2CF0EB5-4A05-41EB-B59F-4E3C498D29BF}"/>
            </a:ext>
          </a:extLst>
        </xdr:cNvPr>
        <xdr:cNvSpPr/>
      </xdr:nvSpPr>
      <xdr:spPr>
        <a:xfrm>
          <a:off x="11082764" y="14143896"/>
          <a:ext cx="8826218" cy="320249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latin typeface="Algerian" panose="04020705040A02060702" pitchFamily="82" charset="0"/>
            </a:rPr>
            <a:t>VIGENCIA</a:t>
          </a:r>
          <a:r>
            <a:rPr lang="es-PE" sz="2000" baseline="0">
              <a:latin typeface="Algerian" panose="04020705040A02060702" pitchFamily="82" charset="0"/>
            </a:rPr>
            <a:t> DE EMOS</a:t>
          </a:r>
          <a:endParaRPr lang="es-PE" sz="2000">
            <a:latin typeface="Algerian" panose="04020705040A02060702" pitchFamily="82" charset="0"/>
          </a:endParaRPr>
        </a:p>
      </xdr:txBody>
    </xdr:sp>
    <xdr:clientData/>
  </xdr:twoCellAnchor>
  <xdr:twoCellAnchor>
    <xdr:from>
      <xdr:col>18</xdr:col>
      <xdr:colOff>820271</xdr:colOff>
      <xdr:row>80</xdr:row>
      <xdr:rowOff>69256</xdr:rowOff>
    </xdr:from>
    <xdr:to>
      <xdr:col>24</xdr:col>
      <xdr:colOff>663388</xdr:colOff>
      <xdr:row>101</xdr:row>
      <xdr:rowOff>8964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2C3BFBC8-87E8-4A30-A122-A0E67E095C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18</xdr:col>
      <xdr:colOff>827140</xdr:colOff>
      <xdr:row>78</xdr:row>
      <xdr:rowOff>114132</xdr:rowOff>
    </xdr:from>
    <xdr:to>
      <xdr:col>24</xdr:col>
      <xdr:colOff>672353</xdr:colOff>
      <xdr:row>80</xdr:row>
      <xdr:rowOff>74163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498E9157-C4DC-4D0C-A624-3F43AE4C4B36}"/>
            </a:ext>
          </a:extLst>
        </xdr:cNvPr>
        <xdr:cNvSpPr/>
      </xdr:nvSpPr>
      <xdr:spPr>
        <a:xfrm>
          <a:off x="20190905" y="14099073"/>
          <a:ext cx="6299801" cy="318619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latin typeface="Algerian" panose="04020705040A02060702" pitchFamily="82" charset="0"/>
            </a:rPr>
            <a:t>EPIDEMIOLOGÍA</a:t>
          </a:r>
          <a:r>
            <a:rPr lang="es-PE" sz="2000" baseline="0">
              <a:latin typeface="Algerian" panose="04020705040A02060702" pitchFamily="82" charset="0"/>
            </a:rPr>
            <a:t> LABORAL</a:t>
          </a:r>
          <a:endParaRPr lang="es-PE" sz="2000">
            <a:latin typeface="Algerian" panose="04020705040A02060702" pitchFamily="82" charset="0"/>
          </a:endParaRPr>
        </a:p>
      </xdr:txBody>
    </xdr:sp>
    <xdr:clientData/>
  </xdr:twoCellAnchor>
  <xdr:twoCellAnchor>
    <xdr:from>
      <xdr:col>24</xdr:col>
      <xdr:colOff>992777</xdr:colOff>
      <xdr:row>80</xdr:row>
      <xdr:rowOff>45562</xdr:rowOff>
    </xdr:from>
    <xdr:to>
      <xdr:col>32</xdr:col>
      <xdr:colOff>424543</xdr:colOff>
      <xdr:row>101</xdr:row>
      <xdr:rowOff>43543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6D2BCDB0-0E46-4A8A-A45E-93CDCE118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24</xdr:col>
      <xdr:colOff>991708</xdr:colOff>
      <xdr:row>78</xdr:row>
      <xdr:rowOff>106057</xdr:rowOff>
    </xdr:from>
    <xdr:to>
      <xdr:col>32</xdr:col>
      <xdr:colOff>435430</xdr:colOff>
      <xdr:row>80</xdr:row>
      <xdr:rowOff>37390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8B8C318A-0067-48A6-8C24-BE9BA8396750}"/>
            </a:ext>
          </a:extLst>
        </xdr:cNvPr>
        <xdr:cNvSpPr/>
      </xdr:nvSpPr>
      <xdr:spPr>
        <a:xfrm>
          <a:off x="26753934" y="14577431"/>
          <a:ext cx="8475079" cy="302394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24000">
              <a:schemeClr val="accent1">
                <a:alpha val="74000"/>
                <a:lumMod val="77000"/>
              </a:schemeClr>
            </a:gs>
            <a:gs pos="10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>
              <a:latin typeface="Algerian" panose="04020705040A02060702" pitchFamily="82" charset="0"/>
            </a:rPr>
            <a:t>CANTIDAD</a:t>
          </a:r>
          <a:r>
            <a:rPr lang="es-PE" sz="2000" baseline="0">
              <a:latin typeface="Algerian" panose="04020705040A02060702" pitchFamily="82" charset="0"/>
            </a:rPr>
            <a:t> DE TRABAJADORES SEGÚN EDAD</a:t>
          </a:r>
          <a:endParaRPr lang="es-PE" sz="2000">
            <a:latin typeface="Algerian" panose="04020705040A02060702" pitchFamily="82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051.765251273151" createdVersion="8" refreshedVersion="8" minRefreshableVersion="3" recordCount="12" xr:uid="{7EF1DEF8-14C9-4D3C-9181-A7F76C1296E8}">
  <cacheSource type="worksheet">
    <worksheetSource name="Tabla7[MES]"/>
  </cacheSource>
  <cacheFields count="1">
    <cacheField name="M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</cacheFields>
  <extLst>
    <ext xmlns:x14="http://schemas.microsoft.com/office/spreadsheetml/2009/9/main" uri="{725AE2AE-9491-48be-B2B4-4EB974FC3084}">
      <x14:pivotCacheDefinition pivotCacheId="110306684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072.817910763886" createdVersion="8" refreshedVersion="8" minRefreshableVersion="3" recordCount="2" xr:uid="{ED8C0C0E-7D9E-48E2-A4DD-08964AFDA4EF}">
  <cacheSource type="worksheet">
    <worksheetSource name="Tabla14[AÑO]"/>
  </cacheSource>
  <cacheFields count="1">
    <cacheField name="AÑO" numFmtId="0">
      <sharedItems containsSemiMixedTypes="0" containsString="0" containsNumber="1" containsInteger="1" minValue="2025" maxValue="2026" count="2">
        <n v="2025"/>
        <n v="2026"/>
      </sharedItems>
    </cacheField>
  </cacheFields>
  <extLst>
    <ext xmlns:x14="http://schemas.microsoft.com/office/spreadsheetml/2009/9/main" uri="{725AE2AE-9491-48be-B2B4-4EB974FC3084}">
      <x14:pivotCacheDefinition pivotCacheId="148794619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088.760407060188" createdVersion="8" refreshedVersion="8" minRefreshableVersion="3" recordCount="2" xr:uid="{4E4E756C-4D1C-491A-BE9F-ACA10012789F}">
  <cacheSource type="worksheet">
    <worksheetSource name="Tabla9[OBRA]"/>
  </cacheSource>
  <cacheFields count="1">
    <cacheField name="OBRA" numFmtId="0">
      <sharedItems containsBlank="1" count="19">
        <s v="A y C  Asesoria "/>
        <s v="A y C Operador Logistico S.A.C"/>
        <s v="VILLALEGRE" u="1"/>
        <s v="AGROJOSCH SOCIEDAD ANONIMA CERRADA - AGROJOSCH S.A.C." u="1"/>
        <s v="LABORATORIOS DROGAVET S.A.C." u="1"/>
        <s v="QUIMICA JOSCH SOCIEDAD ANONIMA CERRADA - QUIMICA JOSCH S.A.C." u="1"/>
        <s v="GRUPO DROGAVET S.A.C." u="1"/>
        <m u="1"/>
        <s v="GUILLERMO" u="1"/>
        <s v="FRANCISCO" u="1"/>
        <s v="MIGUEL" u="1"/>
        <s v="ANTONIO" u="1"/>
        <s v="MIRTHA" u="1"/>
        <s v="CONTACTO LABORAL" u="1"/>
        <s v="DOMODOSSOPA" u="1"/>
        <s v="IPESA" u="1"/>
        <s v="ITALTRAC" u="1"/>
        <s v="SANTA ANGELA" u="1"/>
        <s v="DOMODOSSOLA" u="1"/>
      </sharedItems>
    </cacheField>
  </cacheFields>
  <extLst>
    <ext xmlns:x14="http://schemas.microsoft.com/office/spreadsheetml/2009/9/main" uri="{725AE2AE-9491-48be-B2B4-4EB974FC3084}">
      <x14:pivotCacheDefinition pivotCacheId="91909161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B4A9AE-CCD2-426C-B04C-0899324FE504}" name="TablaDinámica2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328:C330" firstHeaderRow="1" firstDataRow="1" firstDataCol="1"/>
  <pivotFields count="1">
    <pivotField axis="axisRow" showAll="0">
      <items count="20">
        <item h="1" m="1" x="13"/>
        <item h="1" m="1" x="18"/>
        <item h="1" m="1" x="15"/>
        <item h="1" m="1" x="16"/>
        <item h="1" m="1" x="17"/>
        <item h="1" m="1" x="14"/>
        <item h="1" m="1" x="8"/>
        <item h="1" m="1" x="9"/>
        <item h="1" m="1" x="10"/>
        <item h="1" m="1" x="11"/>
        <item h="1" m="1" x="12"/>
        <item h="1" m="1" x="3"/>
        <item h="1" m="1" x="4"/>
        <item h="1" m="1" x="5"/>
        <item h="1" m="1" x="6"/>
        <item h="1" m="1" x="7"/>
        <item h="1" m="1" x="2"/>
        <item x="0"/>
        <item h="1" x="1"/>
        <item t="default"/>
      </items>
    </pivotField>
  </pivotFields>
  <rowFields count="1">
    <field x="0"/>
  </rowFields>
  <rowItems count="2">
    <i>
      <x v="1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CD77D6-8FBF-4AF6-ADEC-CF9F4C834EFD}" name="TablaDinámica5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328:D330" firstHeaderRow="1" firstDataRow="1" firstDataCol="1"/>
  <pivotFields count="1">
    <pivotField axis="axisRow" showAll="0">
      <items count="3">
        <item h="1" x="0"/>
        <item x="1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EC1C96-A065-4124-BB8E-A1C1FA08E5B8}" name="TablaDiná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328:B330" firstHeaderRow="1" firstDataRow="1" firstDataCol="1"/>
  <pivotFields count="1">
    <pivotField axis="axisRow" showAll="0">
      <items count="13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4E25BBEF-8612-489A-B74E-035A917585E6}" sourceName="MES">
  <pivotTables>
    <pivotTable tabId="16" name="TablaDinámica1"/>
  </pivotTables>
  <data>
    <tabular pivotCacheId="1103066843">
      <items count="12">
        <i x="0"/>
        <i x="1" s="1"/>
        <i x="2"/>
        <i x="3"/>
        <i x="4"/>
        <i x="5"/>
        <i x="6"/>
        <i x="7"/>
        <i x="8"/>
        <i x="9"/>
        <i x="10"/>
        <i x="1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BRA1" xr10:uid="{98847F4C-D7D3-4A89-9E2B-6EEFE65143E5}" sourceName="OBRA">
  <pivotTables>
    <pivotTable tabId="16" name="TablaDinámica2"/>
  </pivotTables>
  <data>
    <tabular pivotCacheId="919091613" showMissing="0">
      <items count="19">
        <i x="0" s="1"/>
        <i x="1"/>
        <i x="3" nd="1"/>
        <i x="11" nd="1"/>
        <i x="13" nd="1"/>
        <i x="18" nd="1"/>
        <i x="14" nd="1"/>
        <i x="9" nd="1"/>
        <i x="6" nd="1"/>
        <i x="8" nd="1"/>
        <i x="15" nd="1"/>
        <i x="16" nd="1"/>
        <i x="4" nd="1"/>
        <i x="10" nd="1"/>
        <i x="12" nd="1"/>
        <i x="5" nd="1"/>
        <i x="17" nd="1"/>
        <i x="2" nd="1"/>
        <i x="7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795DE355-017B-4D4F-91B2-489BDB8D4345}" sourceName="AÑO">
  <pivotTables>
    <pivotTable tabId="16" name="TablaDinámica5"/>
  </pivotTables>
  <data>
    <tabular pivotCacheId="1487946199">
      <items count="2">
        <i x="0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F890C92A-BB8B-4251-BE53-D6383D2C153D}" cache="SegmentaciónDeDatos_AÑO" caption="AÑO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 1" xr10:uid="{7E9B2D9F-224F-4CAF-9627-A189DCEF553C}" cache="SegmentaciónDeDatos_MES" caption="MES" columnCount="2" rowHeight="1008000"/>
  <slicer name="OBRA 2" xr10:uid="{1B40A5CD-4839-47CD-A582-D53A2492D63C}" cache="SegmentaciónDeDatos_OBRA1" caption="OBRA" columnCount="2" rowHeight="118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 2" xr10:uid="{3AB0480F-E187-44F5-8D90-A373D1EDF87F}" cache="SegmentaciónDeDatos_MES" caption="MES" columnCount="2" rowHeight="1008000"/>
  <slicer name="OBRA 3" xr10:uid="{8115609E-A91D-4EBC-B9E5-611DD0C648B9}" cache="SegmentaciónDeDatos_OBRA1" caption="OBRA" columnCount="2" rowHeight="1152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Trabajadores" displayName="tbl_Trabajadores" ref="A1:AH450" headerRowDxfId="203" dataDxfId="201" totalsRowDxfId="200" headerRowBorderDxfId="202" dataCellStyle="40% - Énfasis1">
  <autoFilter ref="A1:AH450" xr:uid="{00000000-0009-0000-0100-000001000000}">
    <filterColumn colId="6">
      <filters>
        <filter val="A y C  Asesoria"/>
      </filters>
    </filterColumn>
  </autoFilter>
  <tableColumns count="34">
    <tableColumn id="1" xr3:uid="{00000000-0010-0000-0000-000001000000}" name="WorkerID" dataDxfId="199" dataCellStyle="40% - Énfasis1">
      <calculatedColumnFormula>IF(B2&lt;&gt;"", "TR-" &amp; TEXT(1000 + ROW(A2) - 1, "0000"), "")</calculatedColumnFormula>
    </tableColumn>
    <tableColumn id="2" xr3:uid="{00000000-0010-0000-0000-000002000000}" name="DNI" dataDxfId="198" dataCellStyle="40% - Énfasis1"/>
    <tableColumn id="3" xr3:uid="{00000000-0010-0000-0000-000003000000}" name="Nombre" dataDxfId="197" dataCellStyle="40% - Énfasis1"/>
    <tableColumn id="17" xr3:uid="{00000000-0010-0000-0000-000011000000}" name="FechaNacimiento" dataDxfId="196" dataCellStyle="40% - Énfasis1"/>
    <tableColumn id="4" xr3:uid="{00000000-0010-0000-0000-000004000000}" name="Edad" dataDxfId="195" dataCellStyle="40% - Énfasis1">
      <calculatedColumnFormula>IF(D2&lt;&gt;"", DATEDIF(D2, TODAY(), "y"), "")</calculatedColumnFormula>
    </tableColumn>
    <tableColumn id="5" xr3:uid="{00000000-0010-0000-0000-000005000000}" name="Sexo" dataDxfId="194" dataCellStyle="40% - Énfasis1"/>
    <tableColumn id="7" xr3:uid="{00000000-0010-0000-0000-000007000000}" name="Planta" dataDxfId="193" dataCellStyle="40% - Énfasis1"/>
    <tableColumn id="10" xr3:uid="{00000000-0010-0000-0000-00000A000000}" name="Área" dataDxfId="192" dataCellStyle="40% - Énfasis1"/>
    <tableColumn id="11" xr3:uid="{00000000-0010-0000-0000-00000B000000}" name="Cargo" dataDxfId="191" dataCellStyle="40% - Énfasis1"/>
    <tableColumn id="12" xr3:uid="{00000000-0010-0000-0000-00000C000000}" name="LugarProyecto" dataDxfId="190" dataCellStyle="40% - Énfasis1"/>
    <tableColumn id="13" xr3:uid="{00000000-0010-0000-0000-00000D000000}" name="Perfil" dataDxfId="189" dataCellStyle="40% - Énfasis1"/>
    <tableColumn id="14" xr3:uid="{00000000-0010-0000-0000-00000E000000}" name="FechaIngreso" dataDxfId="188" dataCellStyle="40% - Énfasis1"/>
    <tableColumn id="6" xr3:uid="{0DBC5DA5-D6D3-4951-8041-0871B0C91F65}" name="Ultimo EMO" dataDxfId="187" totalsRowDxfId="186" dataCellStyle="40% - Énfasis1">
      <calculatedColumnFormula array="1">_xlfn.XLOOKUP(B2&amp;"", 'Registro EMO'!$C$13:$C$4248&amp;"", 'Registro EMO'!$F$13:$F$4248, "Sin registro", 0, -1)</calculatedColumnFormula>
    </tableColumn>
    <tableColumn id="16" xr3:uid="{735716E3-9366-4C67-B4CF-B40ADCA888C8}" name="Tipo de EMO" dataDxfId="185" dataCellStyle="40% - Énfasis1">
      <calculatedColumnFormula array="1">_xlfn.XLOOKUP(B2&amp;"", 'Registro EMO'!$C$13:$C$4248&amp;"", 'Registro EMO'!$E$13:$E$4248, "Sin registro", 0, -1)</calculatedColumnFormula>
    </tableColumn>
    <tableColumn id="21" xr3:uid="{AC2E396B-4053-4729-BD84-3D9AA5D5502C}" name="EMO Entregado" dataDxfId="184" dataCellStyle="40% - Énfasis1">
      <calculatedColumnFormula>IF(P2="NO", "NO", "SI")</calculatedColumnFormula>
    </tableColumn>
    <tableColumn id="32" xr3:uid="{9FB30348-D9B8-4706-9F4F-F894E43F07F8}" name="Fecha de EMO Entregado" dataDxfId="183" dataCellStyle="40% - Énfasis1">
      <calculatedColumnFormula array="1">_xlfn.LET(
    _xlpm.resultado, _xlfn.XLOOKUP(B2&amp;"", 'Registro EMO'!$C$13:$C$4248&amp;"", 'Registro EMO'!$I$13:$I$4248, "NO", 0, -1),
    IF(_xlpm.resultado=0, "NO", _xlpm.resultado)
)</calculatedColumnFormula>
    </tableColumn>
    <tableColumn id="9" xr3:uid="{ED0492CB-3415-4A9B-BCD4-6E246A4A7255}" name="Vigencia" dataDxfId="182" totalsRowDxfId="181" dataCellStyle="40% - Énfasis1">
      <calculatedColumnFormula>IF(M2="Sin registro", "Pendiente", IF(EDATE(M2, IF(K2="Oficina", 24, 12)) &gt;= TODAY(), "Vigente", "Vencido"))</calculatedColumnFormula>
    </tableColumn>
    <tableColumn id="18" xr3:uid="{094644A7-A574-4A14-932F-05E116E89A7E}" name="Fecha_EMO" dataDxfId="180" totalsRowDxfId="179" dataCellStyle="40% - Énfasis1"/>
    <tableColumn id="19" xr3:uid="{2A69A134-E0BB-46EB-BA76-70E299B45B8A}" name="Tipo_EMO" dataDxfId="178" totalsRowDxfId="177" dataCellStyle="40% - Énfasis1"/>
    <tableColumn id="23" xr3:uid="{98FEFED3-989E-42D6-88B1-826636241EF7}" name="Entregado" dataDxfId="176" totalsRowDxfId="175" dataCellStyle="40% - Énfasis1">
      <calculatedColumnFormula>IF(R2="", "", IF(U2="", "NO", "SI"))</calculatedColumnFormula>
    </tableColumn>
    <tableColumn id="33" xr3:uid="{654ED93F-EF59-40BE-A5F4-6F2B4BA43677}" name="Fecha de Entrega" dataDxfId="174" totalsRowDxfId="173" dataCellStyle="40% - Énfasis1"/>
    <tableColumn id="8" xr3:uid="{00000000-0010-0000-0000-000008000000}" name="APTITUD" dataDxfId="172" totalsRowDxfId="171" dataCellStyle="40% - Énfasis1"/>
    <tableColumn id="15" xr3:uid="{00000000-0010-0000-0000-00000F000000}" name="Observaciones" dataDxfId="170" dataCellStyle="40% - Énfasis1"/>
    <tableColumn id="24" xr3:uid="{5CD8A2FC-D00D-44D7-AFDC-E9F5BDE6A7D2}" name="Restricciones Generales" dataDxfId="169" totalsRowDxfId="168" dataCellStyle="40% - Énfasis1"/>
    <tableColumn id="25" xr3:uid="{87783041-48B5-40A0-AFB7-A059F3B7181F}" name="Programa" dataDxfId="167" totalsRowDxfId="166" dataCellStyle="40% - Énfasis1"/>
    <tableColumn id="34" xr3:uid="{82F26964-1AD7-422B-AB8A-8477923CA688}" name="Advertencia" dataDxfId="165" totalsRowDxfId="164" dataCellStyle="40% - Énfasis1"/>
    <tableColumn id="26" xr3:uid="{A1DB1F19-6D1B-477D-9CC4-11ED214A7DEA}" name="Diagnostico / INTERCONSULTA" dataDxfId="163" totalsRowDxfId="162" dataCellStyle="40% - Énfasis1"/>
    <tableColumn id="27" xr3:uid="{CE50EEF4-4576-4C85-BE98-BBF79EE67822}" name="Diagnostico / INTERCONSULTA 2" dataDxfId="161" totalsRowDxfId="160" dataCellStyle="40% - Énfasis1"/>
    <tableColumn id="28" xr3:uid="{82C6EDF1-DA75-4144-8743-81675B1C6EE0}" name="Diagnostico / INTERCONSULTA 3" dataDxfId="159" totalsRowDxfId="158" dataCellStyle="40% - Énfasis1"/>
    <tableColumn id="29" xr3:uid="{AA0895BD-34DF-4EF5-BC43-36A32D76CAF8}" name="Recomendaciones adicionales" dataDxfId="157" totalsRowDxfId="156" dataCellStyle="40% - Énfasis1"/>
    <tableColumn id="30" xr3:uid="{4E30718F-AC31-4405-895E-59E697FA9173}" name="Conclusiones M.O" dataDxfId="155" totalsRowDxfId="154" dataCellStyle="40% - Énfasis1"/>
    <tableColumn id="20" xr3:uid="{B4F45C76-68DF-41F2-8778-6614FAAC9987}" name="Tipo Capacitación" dataDxfId="153" totalsRowDxfId="152" dataCellStyle="40% - Énfasis1"/>
    <tableColumn id="22" xr3:uid="{3AAE2613-A14C-4A9C-BABA-9A3681A9E921}" name="Fecha Capacitación" dataDxfId="151" totalsRowDxfId="150" dataCellStyle="40% - Énfasis1"/>
    <tableColumn id="31" xr3:uid="{6AC22959-BA5B-4336-AAB1-49B08C37117E}" name="Validación" dataDxfId="149" totalsRowDxfId="148" dataCellStyle="40% - Énfasis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Accidentes" displayName="tbl_Accidentes" ref="A1:O4" headerRowDxfId="147" dataDxfId="145" totalsRowDxfId="144" headerRowBorderDxfId="146" dataCellStyle="40% - Énfasis1">
  <autoFilter ref="A1:O4" xr:uid="{00000000-0009-0000-0100-000002000000}"/>
  <tableColumns count="15">
    <tableColumn id="1" xr3:uid="{00000000-0010-0000-0100-000001000000}" name="AccidenteID" dataDxfId="143" dataCellStyle="40% - Énfasis1">
      <calculatedColumnFormula>IF(B2&lt;&gt;"", "ACC-" &amp; TEXT(4000 + ROW(A2) - 1, "0000"), "")</calculatedColumnFormula>
    </tableColumn>
    <tableColumn id="9" xr3:uid="{00000000-0010-0000-0100-000009000000}" name="Nombre" dataDxfId="142" dataCellStyle="40% - Énfasis1"/>
    <tableColumn id="2" xr3:uid="{00000000-0010-0000-0100-000002000000}" name="DNI" dataDxfId="141" dataCellStyle="40% - Énfasis1"/>
    <tableColumn id="3" xr3:uid="{00000000-0010-0000-0100-000003000000}" name="Fecha" dataDxfId="140" dataCellStyle="40% - Énfasis1"/>
    <tableColumn id="4" xr3:uid="{00000000-0010-0000-0100-000004000000}" name="ParteCuerpo" dataDxfId="139" dataCellStyle="40% - Énfasis1"/>
    <tableColumn id="5" xr3:uid="{00000000-0010-0000-0100-000005000000}" name="Agente" dataDxfId="138" dataCellStyle="40% - Énfasis1"/>
    <tableColumn id="6" xr3:uid="{00000000-0010-0000-0100-000006000000}" name="Diagnóstico" dataDxfId="137" dataCellStyle="40% - Énfasis1"/>
    <tableColumn id="7" xr3:uid="{DDF3A0D6-BD3D-4AFF-81FC-75B53F713EB2}" name="Médico Tratante" dataDxfId="136" dataCellStyle="40% - Énfasis1"/>
    <tableColumn id="13" xr3:uid="{DC591CA9-740D-4EAA-99C0-CA4E939394EE}" name="Requiere Cirugía" dataDxfId="135" dataCellStyle="40% - Énfasis1"/>
    <tableColumn id="10" xr3:uid="{00000000-0010-0000-0100-00000A000000}" name="Clínica" dataDxfId="134" dataCellStyle="40% - Énfasis1"/>
    <tableColumn id="8" xr3:uid="{00000000-0010-0000-0100-000008000000}" name="Declaración_Accidentado" dataDxfId="133" dataCellStyle="40% - Énfasis1"/>
    <tableColumn id="11" xr3:uid="{57D21AC7-C1C5-47D2-9A5F-A6A28D76F384}" name="Tipo Ausencia" dataDxfId="132" totalsRowDxfId="131" dataCellStyle="40% - Énfasis1"/>
    <tableColumn id="14" xr3:uid="{03D81CF2-A970-4915-A5AE-0F49372E5D31}" name="Fecha_Inicio" dataDxfId="130" totalsRowDxfId="129" dataCellStyle="40% - Énfasis1"/>
    <tableColumn id="12" xr3:uid="{5CA25D2D-1945-4771-BD05-C2A838DCB4AF}" name="Días perdidos" dataDxfId="128" totalsRowDxfId="127" dataCellStyle="40% - Énfasis1"/>
    <tableColumn id="15" xr3:uid="{0892B97F-726D-434E-9DB8-D4B60E6DBF20}" name="Aptitud de Reincorporación" dataDxfId="126" totalsRowDxfId="125" dataCellStyle="40% - Énfasis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Atenciones" displayName="tbl_Atenciones" ref="A1:P7" headerRowDxfId="124" dataDxfId="122" totalsRowDxfId="121" headerRowBorderDxfId="123" dataCellStyle="40% - Énfasis1">
  <autoFilter ref="A1:P7" xr:uid="{00000000-000C-0000-FFFF-FFFF02000000}"/>
  <tableColumns count="16">
    <tableColumn id="1" xr3:uid="{00000000-0010-0000-0200-000001000000}" name="AtencionID" dataDxfId="120" dataCellStyle="40% - Énfasis1">
      <calculatedColumnFormula>IF(B2&lt;&gt;"", "ATE-" &amp; TEXT(5000 + ROW(A2) - 1, "0000"), "")</calculatedColumnFormula>
    </tableColumn>
    <tableColumn id="8" xr3:uid="{00000000-0010-0000-0200-000008000000}" name="Nombre" dataDxfId="119" dataCellStyle="40% - Énfasis1"/>
    <tableColumn id="2" xr3:uid="{00000000-0010-0000-0200-000002000000}" name="DNI" dataDxfId="118" dataCellStyle="40% - Énfasis1">
      <calculatedColumnFormula>IF(B2="", "", _xlfn.XLOOKUP(B2, tbl_Trabajadores[Nombre], tbl_Trabajadores[DNI], ""))</calculatedColumnFormula>
    </tableColumn>
    <tableColumn id="3" xr3:uid="{00000000-0010-0000-0200-000003000000}" name="Fecha" dataDxfId="117" dataCellStyle="40% - Énfasis1"/>
    <tableColumn id="4" xr3:uid="{00000000-0010-0000-0200-000004000000}" name="Motivo de Atención" dataDxfId="116" dataCellStyle="40% - Énfasis1"/>
    <tableColumn id="6" xr3:uid="{1E629F73-E3C0-463A-AF49-E63047D10AAE}" name="Diagnóstico" dataDxfId="115" dataCellStyle="40% - Énfasis1"/>
    <tableColumn id="7" xr3:uid="{298CF1D6-EAE4-400D-A4D4-0EB616469CB2}" name="Tratamiento" dataDxfId="114" dataCellStyle="40% - Énfasis1"/>
    <tableColumn id="5" xr3:uid="{60F8AAD7-FCDB-4CBD-AEEB-EF6977BABA9E}" name="AccidenteID" dataDxfId="113" totalsRowDxfId="112" dataCellStyle="40% - Énfasis2"/>
    <tableColumn id="10" xr3:uid="{1C2BBFE7-1DF1-46BE-8CC3-70514CF21317}" name="Cirugía" dataDxfId="111" totalsRowDxfId="110" dataCellStyle="40% - Énfasis2"/>
    <tableColumn id="11" xr3:uid="{1F775D00-3B49-451A-9A87-AD4541CFB05F}" name="Diagnóstico Accidente" dataDxfId="109" totalsRowDxfId="108" dataCellStyle="40% - Énfasis2"/>
    <tableColumn id="9" xr3:uid="{237A681E-F747-4637-979F-8836AA2DF431}" name="Clinica" dataDxfId="107" totalsRowDxfId="106" dataCellStyle="40% - Énfasis2"/>
    <tableColumn id="20" xr3:uid="{15184EFC-9F56-4B47-BE37-E8A2641CC59A}" name="Médico Tratante" dataDxfId="105" totalsRowDxfId="104" dataCellStyle="40% - Énfasis2"/>
    <tableColumn id="12" xr3:uid="{F8D249ED-F245-407A-976C-2A1C7EC36900}" name="Tipo Ausencia" dataDxfId="103" totalsRowDxfId="102" dataCellStyle="40% - Énfasis2"/>
    <tableColumn id="13" xr3:uid="{96F2B202-7675-464C-96CD-F120A93F63CD}" name="Fecha Inicio" dataDxfId="101" totalsRowDxfId="100" dataCellStyle="40% - Énfasis2"/>
    <tableColumn id="14" xr3:uid="{97E356FB-A987-486F-9FC3-E7900CA1A265}" name="Días perdidos" dataDxfId="99" totalsRowDxfId="98" dataCellStyle="40% - Énfasis2"/>
    <tableColumn id="15" xr3:uid="{AD378EAD-668D-4C2D-AF6A-995F21D2DD49}" name="Aptitud de Reincorporación" dataDxfId="97" totalsRowDxfId="96" dataCellStyle="40% - Énfasis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Vacunaciones" displayName="tbl_Vacunaciones" ref="A1:E2" headerRowDxfId="95" dataDxfId="93" totalsRowDxfId="92" headerRowBorderDxfId="94">
  <autoFilter ref="A1:E2" xr:uid="{00000000-0009-0000-0100-000006000000}"/>
  <tableColumns count="5">
    <tableColumn id="1" xr3:uid="{00000000-0010-0000-0500-000001000000}" name="VacunacionID" dataDxfId="91">
      <calculatedColumnFormula>IF(B2&lt;&gt;"", "VAC-" &amp; TEXT(10000 + ROW(A2) - 1, "0000"), "")</calculatedColumnFormula>
    </tableColumn>
    <tableColumn id="4" xr3:uid="{00000000-0010-0000-0500-000004000000}" name="Nombre" dataDxfId="90"/>
    <tableColumn id="2" xr3:uid="{00000000-0010-0000-0500-000002000000}" name="DNI" dataDxfId="89">
      <calculatedColumnFormula>IF(B2="", "", _xlfn.XLOOKUP(B2, tbl_Trabajadores[Nombre], tbl_Trabajadores[DNI], ""))</calculatedColumnFormula>
    </tableColumn>
    <tableColumn id="3" xr3:uid="{00000000-0010-0000-0500-000003000000}" name="Vacuna" dataDxfId="88"/>
    <tableColumn id="5" xr3:uid="{00000000-0010-0000-0500-000005000000}" name="Fecha" dataDxfId="8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_Seguimiento_Vigilancia" displayName="Tabla_Seguimiento_Vigilancia" ref="A1:L2" totalsRowShown="0" headerRowDxfId="86" dataDxfId="84" headerRowBorderDxfId="85" dataCellStyle="40% - Énfasis1">
  <autoFilter ref="A1:L2" xr:uid="{00000000-0009-0000-0100-000004000000}"/>
  <tableColumns count="12">
    <tableColumn id="1" xr3:uid="{00000000-0010-0000-0300-000001000000}" name="SeguimientoID" dataDxfId="83" dataCellStyle="40% - Énfasis1">
      <calculatedColumnFormula>IF(B2&lt;&gt;"", "SEG-" &amp; TEXT(8000 + ROW(A2) - 1, "0000"), "")</calculatedColumnFormula>
    </tableColumn>
    <tableColumn id="2" xr3:uid="{00000000-0010-0000-0300-000002000000}" name="AccidenteID" dataDxfId="82" dataCellStyle="40% - Énfasis1"/>
    <tableColumn id="10" xr3:uid="{00000000-0010-0000-0300-00000A000000}" name="Nombre" dataDxfId="81" dataCellStyle="40% - Énfasis1"/>
    <tableColumn id="3" xr3:uid="{00000000-0010-0000-0300-000003000000}" name="DNI" dataDxfId="80" dataCellStyle="40% - Énfasis1"/>
    <tableColumn id="4" xr3:uid="{00000000-0010-0000-0300-000004000000}" name="Parte_Cuerpo" dataDxfId="79" dataCellStyle="40% - Énfasis1"/>
    <tableColumn id="6" xr3:uid="{00000000-0010-0000-0300-000006000000}" name="Fecha" dataDxfId="78" dataCellStyle="40% - Énfasis1"/>
    <tableColumn id="5" xr3:uid="{00000000-0010-0000-0300-000005000000}" name="Cirugía" dataDxfId="77" dataCellStyle="40% - Énfasis1"/>
    <tableColumn id="12" xr3:uid="{0C099E59-5343-4F33-A824-F7C2F7C9F446}" name="Clinica" dataDxfId="76" dataCellStyle="40% - Énfasis1"/>
    <tableColumn id="11" xr3:uid="{0BC71936-7B66-4926-9520-42FBE193B82F}" name="Medico Tratante" dataDxfId="75" dataCellStyle="40% - Énfasis1"/>
    <tableColumn id="7" xr3:uid="{00000000-0010-0000-0300-000007000000}" name="Diagnostico" dataDxfId="74" dataCellStyle="40% - Énfasis1"/>
    <tableColumn id="8" xr3:uid="{00000000-0010-0000-0300-000008000000}" name="DM" dataDxfId="73" dataCellStyle="40% - Énfasis1"/>
    <tableColumn id="9" xr3:uid="{00000000-0010-0000-0300-000009000000}" name="Evidencia" dataDxfId="72" dataCellStyle="40% - Énfasis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Programaciones" displayName="tbl_Programaciones" ref="A1:J2" headerRowDxfId="71" dataDxfId="69" totalsRowDxfId="68" headerRowBorderDxfId="70" dataCellStyle="40% - Énfasis1">
  <autoFilter ref="A1:J2" xr:uid="{00000000-0009-0000-0100-000008000000}"/>
  <tableColumns count="10">
    <tableColumn id="1" xr3:uid="{00000000-0010-0000-0700-000001000000}" name="ProgramacionID" dataDxfId="67" dataCellStyle="40% - Énfasis1">
      <calculatedColumnFormula>IF(B2&lt;&gt;"", "PRG-" &amp; TEXT(2000 + ROW(A2) - 1, "0000"), "")</calculatedColumnFormula>
    </tableColumn>
    <tableColumn id="11" xr3:uid="{00000000-0010-0000-0700-00000B000000}" name="Nombre" dataDxfId="66" dataCellStyle="40% - Énfasis1"/>
    <tableColumn id="2" xr3:uid="{00000000-0010-0000-0700-000002000000}" name="DNI" dataDxfId="65" dataCellStyle="40% - Énfasis1"/>
    <tableColumn id="3" xr3:uid="{00000000-0010-0000-0700-000003000000}" name="Tipo_Programación" dataDxfId="64" dataCellStyle="40% - Énfasis1"/>
    <tableColumn id="5" xr3:uid="{00000000-0010-0000-0700-000005000000}" name="Fecha" dataDxfId="63" dataCellStyle="40% - Énfasis1"/>
    <tableColumn id="6" xr3:uid="{00000000-0010-0000-0700-000006000000}" name="Tipo_Examen" dataDxfId="62" dataCellStyle="40% - Énfasis4"/>
    <tableColumn id="10" xr3:uid="{00000000-0010-0000-0700-00000A000000}" name="ID_Referencia" dataDxfId="61" dataCellStyle="40% - Énfasis2"/>
    <tableColumn id="7" xr3:uid="{00000000-0010-0000-0700-000007000000}" name="Estado" dataDxfId="60" dataCellStyle="40% - Énfasis1"/>
    <tableColumn id="8" xr3:uid="{BC4C86DC-A95B-472D-B008-2771ED8695A0}" name="Motivo Cancelación" dataDxfId="59" totalsRowDxfId="58" dataCellStyle="40% - Énfasis1"/>
    <tableColumn id="4" xr3:uid="{E1FACD55-B816-4798-9BE0-4178D6D6B6BA}" name="Enviado" dataDxfId="57" totalsRowDxfId="56" dataCellStyle="40% - Énfasis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F71F51F-E4C3-4FD9-A8DB-0FD8B86C7371}" name="Capacitaciones" displayName="Capacitaciones" ref="A1:E2" totalsRowShown="0" headerRowDxfId="55" dataDxfId="54" dataCellStyle="60% - Énfasis1">
  <autoFilter ref="A1:E2" xr:uid="{FF71F51F-E4C3-4FD9-A8DB-0FD8B86C7371}"/>
  <tableColumns count="5">
    <tableColumn id="1" xr3:uid="{6838242C-F57E-46A6-BB36-BDB60C8B42B5}" name="CapacitacionID" dataDxfId="53" dataCellStyle="60% - Énfasis1">
      <calculatedColumnFormula>IF(B2&lt;&gt;"", "CAPA-" &amp; TEXT(12000 + ROW(A2) - 1, "0000"), "")</calculatedColumnFormula>
    </tableColumn>
    <tableColumn id="2" xr3:uid="{525AFF8F-657B-4B36-AEC6-58AC74D67E1B}" name="Nombre" dataDxfId="52" dataCellStyle="60% - Énfasis1"/>
    <tableColumn id="3" xr3:uid="{6833EF38-543B-47F4-A4A5-0B057B1768FA}" name="DNI" dataDxfId="51" dataCellStyle="60% - Énfasis1"/>
    <tableColumn id="4" xr3:uid="{7A6C6EB8-D3CF-4613-AEC3-526C91F08E8E}" name="Tipo de Capacitación" dataDxfId="50" dataCellStyle="60% - Énfasis1"/>
    <tableColumn id="5" xr3:uid="{60F00CA2-99AE-45F3-BA7D-3D16A3F3F7D6}" name="Fecha" dataDxfId="49" dataCellStyle="60% - Énfasis1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873A2EA-D5C2-42DC-A638-066AE072B59F}" name="tbl_VMO_Vigilancia6" displayName="tbl_VMO_Vigilancia6" ref="A1:E2" headerRowDxfId="48" dataDxfId="46" totalsRowDxfId="45" headerRowBorderDxfId="47" dataCellStyle="40% - Énfasis1">
  <autoFilter ref="A1:E2" xr:uid="{00000000-0009-0000-0100-000007000000}"/>
  <tableColumns count="5">
    <tableColumn id="1" xr3:uid="{DF29C711-BA46-411C-B16B-BD88BA4EA938}" name="VMO_ID" dataDxfId="44" dataCellStyle="40% - Énfasis1">
      <calculatedColumnFormula>IF(B2&lt;&gt;"", "VMO_SEG-" &amp; TEXT(7000 + ROW(A2) - 1, "0000"), "")</calculatedColumnFormula>
    </tableColumn>
    <tableColumn id="6" xr3:uid="{E5075E6D-4DBB-4267-9A99-835150FF9FFA}" name="Nombre" dataDxfId="43" dataCellStyle="40% - Énfasis1"/>
    <tableColumn id="2" xr3:uid="{266A4648-0CD1-49C5-85D6-52910DD5BD8A}" name="DNI" dataDxfId="42" dataCellStyle="40% - Énfasis1">
      <calculatedColumnFormula>IF(B2="", "", _xlfn.XLOOKUP(B2, tbl_Trabajadores[Nombre], tbl_Trabajadores[DNI], ""))</calculatedColumnFormula>
    </tableColumn>
    <tableColumn id="4" xr3:uid="{B01D9E4C-12A7-4CCA-8DAC-3F8F2BEC0086}" name="Recomendaciones adicionales" dataDxfId="41" dataCellStyle="40% - Énfasis1"/>
    <tableColumn id="5" xr3:uid="{4777A90B-CB02-4B56-AC20-FD01FADFB56F}" name="Conclusiones M.O" dataDxfId="40" dataCellStyle="40% - Énfasis1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684FC58-D8DC-42F7-B2AF-46513BA466E4}" name="Tabla12" displayName="Tabla12" ref="A12:I175" totalsRowShown="0" headerRowDxfId="39" dataDxfId="38">
  <autoFilter ref="A12:I175" xr:uid="{3684FC58-D8DC-42F7-B2AF-46513BA466E4}"/>
  <tableColumns count="9">
    <tableColumn id="1" xr3:uid="{12148C15-D218-4B73-9E09-9547FCB705BA}" name="N" dataDxfId="37">
      <calculatedColumnFormula>IF(B12&lt;&gt;"", "EMO-" &amp; TEXT(1000 + ROW(A2) - 1, "0000"), "")</calculatedColumnFormula>
    </tableColumn>
    <tableColumn id="2" xr3:uid="{E335CA11-1416-4D81-A787-974EFDAFF54C}" name="NOMBRE" dataDxfId="36"/>
    <tableColumn id="3" xr3:uid="{A609C352-031B-4BDD-8486-746B83EFAFB5}" name="DNI" dataDxfId="35"/>
    <tableColumn id="4" xr3:uid="{E8DE7948-9EAD-4507-98D0-5A9134C2B343}" name="OCUPACION ACTUAL" dataDxfId="34"/>
    <tableColumn id="5" xr3:uid="{612CC3E8-8B85-4D1C-BBE6-5FAD2407230A}" name="TIPO DE EMO" dataDxfId="33"/>
    <tableColumn id="6" xr3:uid="{B9ADD0A2-0A9C-48E3-BB21-28D4D4045291}" name="FECHA" dataDxfId="32"/>
    <tableColumn id="7" xr3:uid="{AD786080-4010-434A-826B-139FD21A7239}" name="APTITUD" dataDxfId="31"/>
    <tableColumn id="8" xr3:uid="{09873352-EC5C-40CD-B7BA-275E8456B823}" name="ENTREGADO" dataDxfId="30"/>
    <tableColumn id="9" xr3:uid="{A4883EFF-006D-4E0B-95BF-AFD013385EED}" name="FECHA ENTREGA" dataDxfId="2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a_Descansos_Medicos" displayName="Tabla_Descansos_Medicos" ref="A1:K2" totalsRowShown="0" headerRowDxfId="28" dataDxfId="26" headerRowBorderDxfId="27" dataCellStyle="60% - Énfasis1">
  <autoFilter ref="A1:K2" xr:uid="{00000000-0009-0000-0100-00000A000000}"/>
  <tableColumns count="11">
    <tableColumn id="1" xr3:uid="{00000000-0010-0000-0900-000001000000}" name="DescansoID" dataDxfId="25" dataCellStyle="60% - Énfasis1">
      <calculatedColumnFormula>IF(C2&lt;&gt;"", "DM-" &amp; TEXT(9000 + ROW(A2) - 1, "0000"), "")</calculatedColumnFormula>
    </tableColumn>
    <tableColumn id="10" xr3:uid="{CF3DD75B-1C82-4ECD-9CE5-BDDF3D170250}" name="AccidenteID" dataDxfId="24" dataCellStyle="60% - Énfasis1"/>
    <tableColumn id="8" xr3:uid="{00000000-0010-0000-0900-000008000000}" name="Nombre" dataDxfId="23" dataCellStyle="60% - Énfasis1"/>
    <tableColumn id="2" xr3:uid="{00000000-0010-0000-0900-000002000000}" name="DNI" dataDxfId="22" dataCellStyle="60% - Énfasis1"/>
    <tableColumn id="9" xr3:uid="{C3975C0C-F70A-4B48-A5F5-4658D545402B}" name="Tipo de Descanso" dataDxfId="21" dataCellStyle="60% - Énfasis1"/>
    <tableColumn id="6" xr3:uid="{00000000-0010-0000-0900-000006000000}" name="Duracion_Dias" dataDxfId="20" dataCellStyle="60% - Énfasis1"/>
    <tableColumn id="3" xr3:uid="{00000000-0010-0000-0900-000003000000}" name="Diagnostico" dataDxfId="19" dataCellStyle="60% - Énfasis1"/>
    <tableColumn id="4" xr3:uid="{00000000-0010-0000-0900-000004000000}" name="FechaInicio" dataDxfId="18" dataCellStyle="60% - Énfasis1"/>
    <tableColumn id="5" xr3:uid="{00000000-0010-0000-0900-000005000000}" name="FechaFin" dataDxfId="17" dataCellStyle="60% - Énfasis1">
      <calculatedColumnFormula>IF(B2="", "",H2+F2)</calculatedColumnFormula>
    </tableColumn>
    <tableColumn id="7" xr3:uid="{00000000-0010-0000-0900-000007000000}" name="Aptitud_Reincorporación" dataDxfId="16" dataCellStyle="60% - Énfasis1"/>
    <tableColumn id="11" xr3:uid="{1D58D55A-B4CC-4C4E-92AC-BDB49AE7B318}" name="Anunciado" dataDxfId="15" dataCellStyle="60% - Énfasis1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_Anuncios" displayName="tbl_Anuncios" ref="A1:E2" headerRowDxfId="14" dataDxfId="12" totalsRowDxfId="11" headerRowBorderDxfId="13">
  <autoFilter ref="A1:E2" xr:uid="{00000000-0009-0000-0100-00000B000000}"/>
  <tableColumns count="5">
    <tableColumn id="1" xr3:uid="{00000000-0010-0000-0A00-000001000000}" name="AnuncioID" dataDxfId="10">
      <calculatedColumnFormula>IF(B2&lt;&gt;"", "ANU-" &amp; TEXT(11000 + ROW(A2) - 1, "0000"), "")</calculatedColumnFormula>
    </tableColumn>
    <tableColumn id="2" xr3:uid="{00000000-0010-0000-0A00-000002000000}" name="DNI" dataDxfId="9"/>
    <tableColumn id="3" xr3:uid="{00000000-0010-0000-0A00-000003000000}" name="TipoAlerta" dataDxfId="8"/>
    <tableColumn id="4" xr3:uid="{00000000-0010-0000-0A00-000004000000}" name="FechaObjetivo" dataDxfId="7"/>
    <tableColumn id="5" xr3:uid="{00000000-0010-0000-0A00-000005000000}" name="Mensaje" dataDxfId="6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3EC345-9076-4AD1-BBE2-CFBA6E27E52F}" name="Tabla7" displayName="Tabla7" ref="C1:C13" totalsRowShown="0" headerRowDxfId="5" dataDxfId="4">
  <autoFilter ref="C1:C13" xr:uid="{253EC345-9076-4AD1-BBE2-CFBA6E27E52F}"/>
  <tableColumns count="1">
    <tableColumn id="1" xr3:uid="{896F15D0-35FE-41FE-94CB-2A8458C76AC7}" name="MES" dataDxfId="3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5F591-E4F8-462B-BD02-798D9C70EDFB}" name="Tabla14" displayName="Tabla14" ref="C15:C17" totalsRowShown="0" headerRowDxfId="2" dataDxfId="1">
  <autoFilter ref="C15:C17" xr:uid="{33E5F591-E4F8-462B-BD02-798D9C70EDFB}">
    <filterColumn colId="0">
      <filters>
        <filter val="2026"/>
      </filters>
    </filterColumn>
  </autoFilter>
  <tableColumns count="1">
    <tableColumn id="1" xr3:uid="{346A0F90-25C9-4222-B1A9-9B728C3169E3}" name="AÑO" dataDxfId="0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EA8539E-4644-4221-B087-8AFA96CC55A3}" name="Tabla9" displayName="Tabla9" ref="D1:D3" totalsRowShown="0">
  <autoFilter ref="D1:D3" xr:uid="{CEA8539E-4644-4221-B087-8AFA96CC55A3}"/>
  <tableColumns count="1">
    <tableColumn id="1" xr3:uid="{93D0274E-1C9C-4386-9CC9-520D8A9D3FBE}" name="OBR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AH954"/>
  <sheetViews>
    <sheetView tabSelected="1" zoomScale="70" zoomScaleNormal="70" workbookViewId="0">
      <pane xSplit="3" ySplit="1" topLeftCell="E248" activePane="bottomRight" state="frozen"/>
      <selection pane="topRight" activeCell="D1" sqref="D1"/>
      <selection pane="bottomLeft" activeCell="A2" sqref="A2"/>
      <selection pane="bottomRight" activeCell="G248" sqref="G248"/>
    </sheetView>
  </sheetViews>
  <sheetFormatPr baseColWidth="10" defaultColWidth="8.88671875" defaultRowHeight="14.4" x14ac:dyDescent="0.3"/>
  <cols>
    <col min="1" max="1" width="10" style="2" customWidth="1"/>
    <col min="2" max="2" width="15.6640625" style="24" customWidth="1"/>
    <col min="3" max="3" width="64.109375" style="2" customWidth="1"/>
    <col min="4" max="4" width="21.33203125" style="1" customWidth="1"/>
    <col min="5" max="5" width="16.6640625" style="112" customWidth="1"/>
    <col min="6" max="6" width="6" style="2" customWidth="1"/>
    <col min="7" max="7" width="61.5546875" style="2" customWidth="1"/>
    <col min="8" max="8" width="21" style="3" customWidth="1"/>
    <col min="9" max="9" width="36" style="3" customWidth="1"/>
    <col min="10" max="10" width="12.33203125" style="2" hidden="1" customWidth="1"/>
    <col min="11" max="11" width="10.6640625" style="2" customWidth="1"/>
    <col min="12" max="12" width="14" style="1" customWidth="1"/>
    <col min="13" max="13" width="22" style="1" customWidth="1"/>
    <col min="14" max="14" width="30.6640625" style="3" customWidth="1"/>
    <col min="15" max="16" width="22" style="4" customWidth="1"/>
    <col min="17" max="17" width="12.5546875" style="1" customWidth="1"/>
    <col min="18" max="18" width="16.44140625" style="1" customWidth="1"/>
    <col min="19" max="19" width="23.6640625" hidden="1" customWidth="1"/>
    <col min="20" max="20" width="15.6640625" hidden="1" customWidth="1"/>
    <col min="21" max="21" width="16.44140625" hidden="1" customWidth="1"/>
    <col min="22" max="22" width="25.6640625" style="1" customWidth="1"/>
    <col min="23" max="23" width="30.6640625" style="18" customWidth="1"/>
    <col min="24" max="24" width="72.109375" style="138" customWidth="1"/>
    <col min="25" max="25" width="20.6640625" hidden="1" customWidth="1"/>
    <col min="26" max="26" width="60.6640625" customWidth="1"/>
    <col min="27" max="29" width="32.77734375" hidden="1" customWidth="1"/>
    <col min="30" max="30" width="20.6640625" hidden="1" customWidth="1"/>
    <col min="31" max="31" width="15.6640625" hidden="1" customWidth="1"/>
    <col min="32" max="32" width="30.6640625" customWidth="1"/>
    <col min="33" max="33" width="18.6640625" style="82" hidden="1" customWidth="1"/>
    <col min="34" max="34" width="15.6640625" hidden="1" customWidth="1"/>
    <col min="35" max="35" width="0" hidden="1" customWidth="1"/>
  </cols>
  <sheetData>
    <row r="1" spans="1:34" ht="40.200000000000003" customHeight="1" x14ac:dyDescent="0.3">
      <c r="A1" s="113" t="s">
        <v>0</v>
      </c>
      <c r="B1" s="114" t="s">
        <v>1</v>
      </c>
      <c r="C1" s="143" t="s">
        <v>2</v>
      </c>
      <c r="D1" s="115" t="s">
        <v>3</v>
      </c>
      <c r="E1" s="116" t="s">
        <v>4</v>
      </c>
      <c r="F1" s="117" t="s">
        <v>5</v>
      </c>
      <c r="G1" s="117" t="s">
        <v>247</v>
      </c>
      <c r="H1" s="117" t="s">
        <v>7</v>
      </c>
      <c r="I1" s="117" t="s">
        <v>8</v>
      </c>
      <c r="J1" s="117" t="s">
        <v>9</v>
      </c>
      <c r="K1" s="117" t="s">
        <v>10</v>
      </c>
      <c r="L1" s="115" t="s">
        <v>11</v>
      </c>
      <c r="M1" s="118" t="s">
        <v>12</v>
      </c>
      <c r="N1" s="119" t="s">
        <v>13</v>
      </c>
      <c r="O1" s="119" t="s">
        <v>14</v>
      </c>
      <c r="P1" s="133" t="s">
        <v>15</v>
      </c>
      <c r="Q1" s="118" t="s">
        <v>16</v>
      </c>
      <c r="R1" s="120" t="s">
        <v>17</v>
      </c>
      <c r="S1" s="120" t="s">
        <v>18</v>
      </c>
      <c r="T1" s="120" t="s">
        <v>19</v>
      </c>
      <c r="U1" s="120" t="s">
        <v>20</v>
      </c>
      <c r="V1" s="121" t="s">
        <v>21</v>
      </c>
      <c r="W1" s="136" t="s">
        <v>22</v>
      </c>
      <c r="X1" s="137" t="s">
        <v>23</v>
      </c>
      <c r="Y1" s="122" t="s">
        <v>24</v>
      </c>
      <c r="Z1" s="123" t="s">
        <v>25</v>
      </c>
      <c r="AA1" s="122" t="s">
        <v>248</v>
      </c>
      <c r="AB1" s="122" t="s">
        <v>250</v>
      </c>
      <c r="AC1" s="122" t="s">
        <v>251</v>
      </c>
      <c r="AD1" s="122" t="s">
        <v>27</v>
      </c>
      <c r="AE1" s="122" t="s">
        <v>28</v>
      </c>
      <c r="AF1" s="122" t="s">
        <v>29</v>
      </c>
      <c r="AG1" s="124" t="s">
        <v>30</v>
      </c>
      <c r="AH1" s="120" t="s">
        <v>31</v>
      </c>
    </row>
    <row r="2" spans="1:34" ht="43.2" hidden="1" x14ac:dyDescent="0.3">
      <c r="A2" s="11" t="str">
        <f t="shared" ref="A2:A65" si="0">IF(B2&lt;&gt;"", "TR-" &amp; TEXT(1000 + ROW(A2) - 1, "0000"), "")</f>
        <v>TR-1001</v>
      </c>
      <c r="B2" s="11" t="s">
        <v>255</v>
      </c>
      <c r="C2" s="141" t="s">
        <v>256</v>
      </c>
      <c r="D2" s="98">
        <v>30289</v>
      </c>
      <c r="E2" s="111">
        <f t="shared" ref="E2:E65" ca="1" si="1">IF(D2&lt;&gt;"", DATEDIF(D2, TODAY(), "y"), "")</f>
        <v>43</v>
      </c>
      <c r="F2" s="132" t="s">
        <v>743</v>
      </c>
      <c r="G2" s="11" t="s">
        <v>254</v>
      </c>
      <c r="H2" s="139" t="s">
        <v>744</v>
      </c>
      <c r="I2" s="140" t="s">
        <v>745</v>
      </c>
      <c r="J2" s="96"/>
      <c r="K2" s="11" t="s">
        <v>773</v>
      </c>
      <c r="L2" s="96">
        <v>45717</v>
      </c>
      <c r="M2" s="96" t="str" cm="1">
        <f t="array" ref="M2">_xlfn.XLOOKUP(B2&amp;"", 'Registro EMO'!$C$13:$C$4248&amp;"", 'Registro EMO'!$F$13:$F$4248, "Sin registro", 0, -1)</f>
        <v>Sin registro</v>
      </c>
      <c r="N2" s="11" t="str" cm="1">
        <f t="array" ref="N2">_xlfn.XLOOKUP(B2&amp;"", 'Registro EMO'!$C$13:$C$4248&amp;"", 'Registro EMO'!$E$13:$E$4248, "Sin registro", 0, -1)</f>
        <v>Sin registro</v>
      </c>
      <c r="O2" s="11" t="str">
        <f t="shared" ref="O2:O65" si="2">IF(P2="NO", "NO", "SI")</f>
        <v>NO</v>
      </c>
      <c r="P2" s="130" t="str" cm="1">
        <f t="array" ref="P2">_xlfn.LET(
    _xlpm.resultado, _xlfn.XLOOKUP(B2&amp;"", 'Registro EMO'!$C$13:$C$4248&amp;"", 'Registro EMO'!$I$13:$I$4248, "NO", 0, -1),
    IF(_xlpm.resultado=0, "NO", _xlpm.resultado)
)</f>
        <v>NO</v>
      </c>
      <c r="Q2" s="11" t="str">
        <f t="shared" ref="Q2:Q65" ca="1" si="3">IF(M2="Sin registro", "Pendiente", IF(EDATE(M2, IF(K2="Oficina", 24, 12)) &gt;= TODAY(), "Vigente", "Vencido"))</f>
        <v>Pendiente</v>
      </c>
      <c r="R2" s="96"/>
      <c r="S2" s="11"/>
      <c r="T2" s="11" t="str">
        <f t="shared" ref="T2:T65" si="4">IF(R2="", "", IF(U2="", "NO", "SI"))</f>
        <v/>
      </c>
      <c r="U2" s="96"/>
      <c r="V2" s="11"/>
      <c r="W2" s="29"/>
      <c r="X2" s="129" t="s">
        <v>775</v>
      </c>
      <c r="Y2" s="11"/>
      <c r="Z2" s="11"/>
      <c r="AA2" s="11"/>
      <c r="AB2" s="11"/>
      <c r="AC2" s="11"/>
      <c r="AD2" s="11"/>
      <c r="AE2" s="11"/>
      <c r="AF2" s="11"/>
      <c r="AG2" s="98"/>
      <c r="AH2" s="11" t="s">
        <v>32</v>
      </c>
    </row>
    <row r="3" spans="1:34" hidden="1" x14ac:dyDescent="0.3">
      <c r="A3" s="7" t="str">
        <f t="shared" si="0"/>
        <v>TR-1002</v>
      </c>
      <c r="B3" s="11" t="s">
        <v>257</v>
      </c>
      <c r="C3" s="141" t="s">
        <v>258</v>
      </c>
      <c r="D3" s="98">
        <v>33777</v>
      </c>
      <c r="E3" s="111">
        <f t="shared" ca="1" si="1"/>
        <v>33</v>
      </c>
      <c r="F3" s="132" t="s">
        <v>743</v>
      </c>
      <c r="G3" s="11" t="s">
        <v>254</v>
      </c>
      <c r="H3" s="139" t="s">
        <v>746</v>
      </c>
      <c r="I3" s="140" t="s">
        <v>747</v>
      </c>
      <c r="J3" s="132"/>
      <c r="K3" s="11" t="s">
        <v>773</v>
      </c>
      <c r="L3" s="96">
        <v>44120</v>
      </c>
      <c r="M3" s="96" t="str" cm="1">
        <f t="array" ref="M3">_xlfn.XLOOKUP(B3&amp;"", 'Registro EMO'!$C$13:$C$4248&amp;"", 'Registro EMO'!$F$13:$F$4248, "Sin registro", 0, -1)</f>
        <v>24/06/2026</v>
      </c>
      <c r="N3" s="11" t="str" cm="1">
        <f t="array" ref="N3">_xlfn.XLOOKUP(B3&amp;"", 'Registro EMO'!$C$13:$C$4248&amp;"", 'Registro EMO'!$E$13:$E$4248, "Sin registro", 0, -1)</f>
        <v>Pre-Ocupacional</v>
      </c>
      <c r="O3" s="11" t="str">
        <f t="shared" si="2"/>
        <v>SI</v>
      </c>
      <c r="P3" s="150" cm="1">
        <f t="array" ref="P3">_xlfn.LET(
    _xlpm.resultado, _xlfn.XLOOKUP(B3&amp;"", 'Registro EMO'!$C$13:$C$4248&amp;"", 'Registro EMO'!$I$13:$I$4248, "NO", 0, -1),
    IF(_xlpm.resultado=0, "NO", _xlpm.resultado)
)</f>
        <v>45473</v>
      </c>
      <c r="Q3" s="11" t="str">
        <f t="shared" ca="1" si="3"/>
        <v>Vigente</v>
      </c>
      <c r="R3" s="96"/>
      <c r="S3" s="11"/>
      <c r="T3" s="11" t="str">
        <f t="shared" si="4"/>
        <v/>
      </c>
      <c r="U3" s="11"/>
      <c r="V3" s="11" t="s">
        <v>796</v>
      </c>
      <c r="W3" s="29"/>
      <c r="X3" s="129"/>
      <c r="Y3" s="11"/>
      <c r="Z3" s="11"/>
      <c r="AA3" s="11"/>
      <c r="AB3" s="11"/>
      <c r="AC3" s="11"/>
      <c r="AD3" s="11"/>
      <c r="AE3" s="11"/>
      <c r="AF3" s="11"/>
      <c r="AG3" s="98"/>
      <c r="AH3" s="11" t="s">
        <v>32</v>
      </c>
    </row>
    <row r="4" spans="1:34" hidden="1" x14ac:dyDescent="0.3">
      <c r="A4" s="7" t="str">
        <f t="shared" si="0"/>
        <v>TR-1003</v>
      </c>
      <c r="B4" s="11" t="s">
        <v>259</v>
      </c>
      <c r="C4" s="141" t="s">
        <v>260</v>
      </c>
      <c r="D4" s="98">
        <v>36419</v>
      </c>
      <c r="E4" s="111">
        <f t="shared" ca="1" si="1"/>
        <v>26</v>
      </c>
      <c r="F4" s="132" t="s">
        <v>743</v>
      </c>
      <c r="G4" s="11" t="s">
        <v>254</v>
      </c>
      <c r="H4" s="139" t="s">
        <v>744</v>
      </c>
      <c r="I4" s="140" t="s">
        <v>748</v>
      </c>
      <c r="J4" s="132"/>
      <c r="K4" s="11" t="s">
        <v>773</v>
      </c>
      <c r="L4" s="96">
        <v>45997</v>
      </c>
      <c r="M4" s="96" t="str" cm="1">
        <f t="array" ref="M4">_xlfn.XLOOKUP(B4&amp;"", 'Registro EMO'!$C$13:$C$4248&amp;"", 'Registro EMO'!$F$13:$F$4248, "Sin registro", 0, -1)</f>
        <v>Sin registro</v>
      </c>
      <c r="N4" s="11" t="str" cm="1">
        <f t="array" ref="N4">_xlfn.XLOOKUP(B4&amp;"", 'Registro EMO'!$C$13:$C$4248&amp;"", 'Registro EMO'!$E$13:$E$4248, "Sin registro", 0, -1)</f>
        <v>Sin registro</v>
      </c>
      <c r="O4" s="11" t="str">
        <f t="shared" si="2"/>
        <v>NO</v>
      </c>
      <c r="P4" s="130" t="str" cm="1">
        <f t="array" ref="P4">_xlfn.LET(
    _xlpm.resultado, _xlfn.XLOOKUP(B4&amp;"", 'Registro EMO'!$C$13:$C$4248&amp;"", 'Registro EMO'!$I$13:$I$4248, "NO", 0, -1),
    IF(_xlpm.resultado=0, "NO", _xlpm.resultado)
)</f>
        <v>NO</v>
      </c>
      <c r="Q4" s="11" t="str">
        <f t="shared" ca="1" si="3"/>
        <v>Pendiente</v>
      </c>
      <c r="R4" s="96"/>
      <c r="S4" s="11"/>
      <c r="T4" s="11" t="str">
        <f t="shared" si="4"/>
        <v/>
      </c>
      <c r="U4" s="11"/>
      <c r="V4" s="11"/>
      <c r="W4" s="29"/>
      <c r="X4" s="129"/>
      <c r="Y4" s="11"/>
      <c r="Z4" s="11"/>
      <c r="AA4" s="11"/>
      <c r="AB4" s="11"/>
      <c r="AC4" s="11"/>
      <c r="AD4" s="11"/>
      <c r="AE4" s="11"/>
      <c r="AF4" s="11"/>
      <c r="AG4" s="98"/>
      <c r="AH4" s="11"/>
    </row>
    <row r="5" spans="1:34" hidden="1" x14ac:dyDescent="0.3">
      <c r="A5" s="7" t="str">
        <f t="shared" si="0"/>
        <v>TR-1004</v>
      </c>
      <c r="B5" s="11" t="s">
        <v>261</v>
      </c>
      <c r="C5" s="141" t="s">
        <v>262</v>
      </c>
      <c r="D5" s="98">
        <v>35488</v>
      </c>
      <c r="E5" s="111">
        <f t="shared" ca="1" si="1"/>
        <v>29</v>
      </c>
      <c r="F5" s="132" t="s">
        <v>743</v>
      </c>
      <c r="G5" s="11" t="s">
        <v>254</v>
      </c>
      <c r="H5" s="139" t="s">
        <v>746</v>
      </c>
      <c r="I5" s="140" t="s">
        <v>747</v>
      </c>
      <c r="J5" s="132"/>
      <c r="K5" s="11" t="s">
        <v>773</v>
      </c>
      <c r="L5" s="96">
        <v>45931</v>
      </c>
      <c r="M5" s="96" t="str" cm="1">
        <f t="array" ref="M5">_xlfn.XLOOKUP(B5&amp;"", 'Registro EMO'!$C$13:$C$4248&amp;"", 'Registro EMO'!$F$13:$F$4248, "Sin registro", 0, -1)</f>
        <v>21/02/2026</v>
      </c>
      <c r="N5" s="11" t="str" cm="1">
        <f t="array" ref="N5">_xlfn.XLOOKUP(B5&amp;"", 'Registro EMO'!$C$13:$C$4248&amp;"", 'Registro EMO'!$E$13:$E$4248, "Sin registro", 0, -1)</f>
        <v>Pre-Ocupacional</v>
      </c>
      <c r="O5" s="11" t="str">
        <f t="shared" si="2"/>
        <v>NO</v>
      </c>
      <c r="P5" s="130" t="str" cm="1">
        <f t="array" ref="P5">_xlfn.LET(
    _xlpm.resultado, _xlfn.XLOOKUP(B5&amp;"", 'Registro EMO'!$C$13:$C$4248&amp;"", 'Registro EMO'!$I$13:$I$4248, "NO", 0, -1),
    IF(_xlpm.resultado=0, "NO", _xlpm.resultado)
)</f>
        <v>NO</v>
      </c>
      <c r="Q5" s="11" t="str">
        <f t="shared" ca="1" si="3"/>
        <v>Vigente</v>
      </c>
      <c r="R5" s="96"/>
      <c r="S5" s="11"/>
      <c r="T5" s="11" t="str">
        <f t="shared" si="4"/>
        <v/>
      </c>
      <c r="U5" s="11"/>
      <c r="V5" s="11" t="s">
        <v>796</v>
      </c>
      <c r="W5" s="29"/>
      <c r="X5" s="129"/>
      <c r="Y5" s="11"/>
      <c r="Z5" s="11"/>
      <c r="AA5" s="11"/>
      <c r="AB5" s="11"/>
      <c r="AC5" s="11"/>
      <c r="AD5" s="11"/>
      <c r="AE5" s="11"/>
      <c r="AF5" s="11"/>
      <c r="AG5" s="98"/>
      <c r="AH5" s="11" t="s">
        <v>32</v>
      </c>
    </row>
    <row r="6" spans="1:34" hidden="1" x14ac:dyDescent="0.3">
      <c r="A6" s="7" t="str">
        <f t="shared" si="0"/>
        <v>TR-1005</v>
      </c>
      <c r="B6" s="11" t="s">
        <v>263</v>
      </c>
      <c r="C6" s="141" t="s">
        <v>264</v>
      </c>
      <c r="D6" s="98">
        <v>37440</v>
      </c>
      <c r="E6" s="111">
        <f t="shared" ca="1" si="1"/>
        <v>23</v>
      </c>
      <c r="F6" s="132" t="s">
        <v>743</v>
      </c>
      <c r="G6" s="11" t="s">
        <v>254</v>
      </c>
      <c r="H6" s="139" t="s">
        <v>749</v>
      </c>
      <c r="I6" s="140" t="s">
        <v>750</v>
      </c>
      <c r="J6" s="132"/>
      <c r="K6" s="11" t="s">
        <v>773</v>
      </c>
      <c r="L6" s="96">
        <v>45597</v>
      </c>
      <c r="M6" s="96" t="str" cm="1">
        <f t="array" ref="M6">_xlfn.XLOOKUP(B6&amp;"", 'Registro EMO'!$C$13:$C$4248&amp;"", 'Registro EMO'!$F$13:$F$4248, "Sin registro", 0, -1)</f>
        <v>24/02/2026</v>
      </c>
      <c r="N6" s="11" t="str" cm="1">
        <f t="array" ref="N6">_xlfn.XLOOKUP(B6&amp;"", 'Registro EMO'!$C$13:$C$4248&amp;"", 'Registro EMO'!$E$13:$E$4248, "Sin registro", 0, -1)</f>
        <v>Pre-Ocupacional</v>
      </c>
      <c r="O6" s="11" t="str">
        <f t="shared" si="2"/>
        <v>NO</v>
      </c>
      <c r="P6" s="130" t="str" cm="1">
        <f t="array" ref="P6">_xlfn.LET(
    _xlpm.resultado, _xlfn.XLOOKUP(B6&amp;"", 'Registro EMO'!$C$13:$C$4248&amp;"", 'Registro EMO'!$I$13:$I$4248, "NO", 0, -1),
    IF(_xlpm.resultado=0, "NO", _xlpm.resultado)
)</f>
        <v>NO</v>
      </c>
      <c r="Q6" s="11" t="str">
        <f t="shared" ca="1" si="3"/>
        <v>Vigente</v>
      </c>
      <c r="R6" s="96"/>
      <c r="S6" s="11"/>
      <c r="T6" s="11" t="str">
        <f t="shared" si="4"/>
        <v/>
      </c>
      <c r="U6" s="11"/>
      <c r="V6" s="11" t="s">
        <v>796</v>
      </c>
      <c r="W6" s="29"/>
      <c r="X6" s="129"/>
      <c r="Y6" s="11"/>
      <c r="Z6" s="11"/>
      <c r="AA6" s="11"/>
      <c r="AB6" s="11"/>
      <c r="AC6" s="11"/>
      <c r="AD6" s="11"/>
      <c r="AE6" s="11"/>
      <c r="AF6" s="11"/>
      <c r="AG6" s="98"/>
      <c r="AH6" s="11" t="s">
        <v>32</v>
      </c>
    </row>
    <row r="7" spans="1:34" hidden="1" x14ac:dyDescent="0.3">
      <c r="A7" s="7" t="str">
        <f t="shared" si="0"/>
        <v>TR-1006</v>
      </c>
      <c r="B7" s="11">
        <v>74872387</v>
      </c>
      <c r="C7" s="141" t="s">
        <v>265</v>
      </c>
      <c r="D7" s="98">
        <v>37025</v>
      </c>
      <c r="E7" s="111">
        <f t="shared" ca="1" si="1"/>
        <v>24</v>
      </c>
      <c r="F7" s="132" t="s">
        <v>743</v>
      </c>
      <c r="G7" s="11" t="s">
        <v>254</v>
      </c>
      <c r="H7" s="139" t="s">
        <v>746</v>
      </c>
      <c r="I7" s="140" t="s">
        <v>747</v>
      </c>
      <c r="J7" s="132"/>
      <c r="K7" s="11" t="s">
        <v>773</v>
      </c>
      <c r="L7" s="96">
        <v>45551</v>
      </c>
      <c r="M7" s="96" t="str" cm="1">
        <f t="array" ref="M7">_xlfn.XLOOKUP(B7&amp;"", 'Registro EMO'!$C$13:$C$4248&amp;"", 'Registro EMO'!$F$13:$F$4248, "Sin registro", 0, -1)</f>
        <v>Sin registro</v>
      </c>
      <c r="N7" s="11" t="str" cm="1">
        <f t="array" ref="N7">_xlfn.XLOOKUP(B7&amp;"", 'Registro EMO'!$C$13:$C$4248&amp;"", 'Registro EMO'!$E$13:$E$4248, "Sin registro", 0, -1)</f>
        <v>Sin registro</v>
      </c>
      <c r="O7" s="11" t="str">
        <f t="shared" si="2"/>
        <v>NO</v>
      </c>
      <c r="P7" s="130" t="str" cm="1">
        <f t="array" ref="P7">_xlfn.LET(
    _xlpm.resultado, _xlfn.XLOOKUP(B7&amp;"", 'Registro EMO'!$C$13:$C$4248&amp;"", 'Registro EMO'!$I$13:$I$4248, "NO", 0, -1),
    IF(_xlpm.resultado=0, "NO", _xlpm.resultado)
)</f>
        <v>NO</v>
      </c>
      <c r="Q7" s="11" t="str">
        <f t="shared" ca="1" si="3"/>
        <v>Pendiente</v>
      </c>
      <c r="R7" s="96"/>
      <c r="S7" s="11"/>
      <c r="T7" s="11" t="str">
        <f t="shared" si="4"/>
        <v/>
      </c>
      <c r="U7" s="11"/>
      <c r="V7" s="11"/>
      <c r="W7" s="29"/>
      <c r="X7" s="129"/>
      <c r="Y7" s="11"/>
      <c r="Z7" s="11"/>
      <c r="AA7" s="11"/>
      <c r="AB7" s="11"/>
      <c r="AC7" s="11"/>
      <c r="AD7" s="11"/>
      <c r="AE7" s="11"/>
      <c r="AF7" s="11"/>
      <c r="AG7" s="98"/>
      <c r="AH7" s="11"/>
    </row>
    <row r="8" spans="1:34" hidden="1" x14ac:dyDescent="0.3">
      <c r="A8" s="7" t="str">
        <f t="shared" si="0"/>
        <v>TR-1007</v>
      </c>
      <c r="B8" s="11" t="s">
        <v>266</v>
      </c>
      <c r="C8" s="141" t="s">
        <v>267</v>
      </c>
      <c r="D8" s="98">
        <v>38979</v>
      </c>
      <c r="E8" s="111">
        <f t="shared" ca="1" si="1"/>
        <v>19</v>
      </c>
      <c r="F8" s="132" t="s">
        <v>743</v>
      </c>
      <c r="G8" s="11" t="s">
        <v>254</v>
      </c>
      <c r="H8" s="139" t="s">
        <v>746</v>
      </c>
      <c r="I8" s="140" t="s">
        <v>751</v>
      </c>
      <c r="J8" s="132"/>
      <c r="K8" s="11" t="s">
        <v>773</v>
      </c>
      <c r="L8" s="96">
        <v>46029</v>
      </c>
      <c r="M8" s="96" t="str" cm="1">
        <f t="array" ref="M8">_xlfn.XLOOKUP(B8&amp;"", 'Registro EMO'!$C$13:$C$4248&amp;"", 'Registro EMO'!$F$13:$F$4248, "Sin registro", 0, -1)</f>
        <v>Sin registro</v>
      </c>
      <c r="N8" s="11" t="str" cm="1">
        <f t="array" ref="N8">_xlfn.XLOOKUP(B8&amp;"", 'Registro EMO'!$C$13:$C$4248&amp;"", 'Registro EMO'!$E$13:$E$4248, "Sin registro", 0, -1)</f>
        <v>Sin registro</v>
      </c>
      <c r="O8" s="11" t="str">
        <f t="shared" si="2"/>
        <v>NO</v>
      </c>
      <c r="P8" s="130" t="str" cm="1">
        <f t="array" ref="P8">_xlfn.LET(
    _xlpm.resultado, _xlfn.XLOOKUP(B8&amp;"", 'Registro EMO'!$C$13:$C$4248&amp;"", 'Registro EMO'!$I$13:$I$4248, "NO", 0, -1),
    IF(_xlpm.resultado=0, "NO", _xlpm.resultado)
)</f>
        <v>NO</v>
      </c>
      <c r="Q8" s="11" t="str">
        <f t="shared" ca="1" si="3"/>
        <v>Pendiente</v>
      </c>
      <c r="R8" s="96"/>
      <c r="S8" s="11"/>
      <c r="T8" s="11" t="str">
        <f t="shared" si="4"/>
        <v/>
      </c>
      <c r="U8" s="11"/>
      <c r="V8" s="11"/>
      <c r="W8" s="29"/>
      <c r="X8" s="129"/>
      <c r="Y8" s="11"/>
      <c r="Z8" s="11"/>
      <c r="AA8" s="11"/>
      <c r="AB8" s="11"/>
      <c r="AC8" s="11"/>
      <c r="AD8" s="11"/>
      <c r="AE8" s="11"/>
      <c r="AF8" s="11"/>
      <c r="AG8" s="98"/>
      <c r="AH8" s="11"/>
    </row>
    <row r="9" spans="1:34" hidden="1" x14ac:dyDescent="0.3">
      <c r="A9" s="7" t="str">
        <f t="shared" si="0"/>
        <v>TR-1008</v>
      </c>
      <c r="B9" s="11" t="s">
        <v>268</v>
      </c>
      <c r="C9" s="141" t="s">
        <v>269</v>
      </c>
      <c r="D9" s="98">
        <v>38606</v>
      </c>
      <c r="E9" s="111">
        <f t="shared" ca="1" si="1"/>
        <v>20</v>
      </c>
      <c r="F9" s="132" t="s">
        <v>743</v>
      </c>
      <c r="G9" s="11" t="s">
        <v>254</v>
      </c>
      <c r="H9" s="139" t="s">
        <v>746</v>
      </c>
      <c r="I9" s="140" t="s">
        <v>751</v>
      </c>
      <c r="J9" s="132"/>
      <c r="K9" s="11" t="s">
        <v>773</v>
      </c>
      <c r="L9" s="96">
        <v>45931</v>
      </c>
      <c r="M9" s="96" t="str" cm="1">
        <f t="array" ref="M9">_xlfn.XLOOKUP(B9&amp;"", 'Registro EMO'!$C$13:$C$4248&amp;"", 'Registro EMO'!$F$13:$F$4248, "Sin registro", 0, -1)</f>
        <v>Sin registro</v>
      </c>
      <c r="N9" s="11" t="str" cm="1">
        <f t="array" ref="N9">_xlfn.XLOOKUP(B9&amp;"", 'Registro EMO'!$C$13:$C$4248&amp;"", 'Registro EMO'!$E$13:$E$4248, "Sin registro", 0, -1)</f>
        <v>Sin registro</v>
      </c>
      <c r="O9" s="11" t="str">
        <f t="shared" si="2"/>
        <v>NO</v>
      </c>
      <c r="P9" s="130" t="str" cm="1">
        <f t="array" ref="P9">_xlfn.LET(
    _xlpm.resultado, _xlfn.XLOOKUP(B9&amp;"", 'Registro EMO'!$C$13:$C$4248&amp;"", 'Registro EMO'!$I$13:$I$4248, "NO", 0, -1),
    IF(_xlpm.resultado=0, "NO", _xlpm.resultado)
)</f>
        <v>NO</v>
      </c>
      <c r="Q9" s="11" t="str">
        <f t="shared" ca="1" si="3"/>
        <v>Pendiente</v>
      </c>
      <c r="R9" s="96"/>
      <c r="S9" s="11"/>
      <c r="T9" s="11" t="str">
        <f t="shared" si="4"/>
        <v/>
      </c>
      <c r="U9" s="11"/>
      <c r="V9" s="11"/>
      <c r="W9" s="29"/>
      <c r="X9" s="129"/>
      <c r="Y9" s="11"/>
      <c r="Z9" s="11"/>
      <c r="AA9" s="11"/>
      <c r="AB9" s="11"/>
      <c r="AC9" s="11"/>
      <c r="AD9" s="11"/>
      <c r="AE9" s="11"/>
      <c r="AF9" s="11"/>
      <c r="AG9" s="98"/>
      <c r="AH9" s="11"/>
    </row>
    <row r="10" spans="1:34" hidden="1" x14ac:dyDescent="0.3">
      <c r="A10" s="7" t="str">
        <f t="shared" si="0"/>
        <v>TR-1009</v>
      </c>
      <c r="B10" s="11">
        <v>74034287</v>
      </c>
      <c r="C10" s="141" t="s">
        <v>270</v>
      </c>
      <c r="D10" s="98">
        <v>36953</v>
      </c>
      <c r="E10" s="111">
        <f t="shared" ca="1" si="1"/>
        <v>25</v>
      </c>
      <c r="F10" s="132" t="s">
        <v>743</v>
      </c>
      <c r="G10" s="11" t="s">
        <v>254</v>
      </c>
      <c r="H10" s="139" t="s">
        <v>744</v>
      </c>
      <c r="I10" s="140" t="s">
        <v>748</v>
      </c>
      <c r="J10" s="132"/>
      <c r="K10" s="11" t="s">
        <v>774</v>
      </c>
      <c r="L10" s="96">
        <v>46029</v>
      </c>
      <c r="M10" s="96" t="str" cm="1">
        <f t="array" ref="M10">_xlfn.XLOOKUP(B10&amp;"", 'Registro EMO'!$C$13:$C$4248&amp;"", 'Registro EMO'!$F$13:$F$4248, "Sin registro", 0, -1)</f>
        <v>21/10/2026</v>
      </c>
      <c r="N10" s="11" t="str" cm="1">
        <f t="array" ref="N10">_xlfn.XLOOKUP(B10&amp;"", 'Registro EMO'!$C$13:$C$4248&amp;"", 'Registro EMO'!$E$13:$E$4248, "Sin registro", 0, -1)</f>
        <v>Pre-Ocupacional</v>
      </c>
      <c r="O10" s="11" t="str">
        <f t="shared" si="2"/>
        <v>SI</v>
      </c>
      <c r="P10" s="150" cm="1">
        <f t="array" ref="P10">_xlfn.LET(
    _xlpm.resultado, _xlfn.XLOOKUP(B10&amp;"", 'Registro EMO'!$C$13:$C$4248&amp;"", 'Registro EMO'!$I$13:$I$4248, "NO", 0, -1),
    IF(_xlpm.resultado=0, "NO", _xlpm.resultado)
)</f>
        <v>45596</v>
      </c>
      <c r="Q10" s="11" t="str">
        <f t="shared" ca="1" si="3"/>
        <v>Vigente</v>
      </c>
      <c r="R10" s="96"/>
      <c r="S10" s="11"/>
      <c r="T10" s="11" t="str">
        <f t="shared" si="4"/>
        <v/>
      </c>
      <c r="U10" s="11"/>
      <c r="V10" s="11" t="s">
        <v>796</v>
      </c>
      <c r="W10" s="29" t="s">
        <v>776</v>
      </c>
      <c r="X10" s="129"/>
      <c r="Y10" s="11"/>
      <c r="Z10" s="11"/>
      <c r="AA10" s="11"/>
      <c r="AB10" s="11"/>
      <c r="AC10" s="11"/>
      <c r="AD10" s="11"/>
      <c r="AE10" s="11"/>
      <c r="AF10" s="11"/>
      <c r="AG10" s="98"/>
      <c r="AH10" s="11" t="s">
        <v>32</v>
      </c>
    </row>
    <row r="11" spans="1:34" hidden="1" x14ac:dyDescent="0.3">
      <c r="A11" s="7" t="str">
        <f t="shared" si="0"/>
        <v>TR-1010</v>
      </c>
      <c r="B11" s="11" t="s">
        <v>271</v>
      </c>
      <c r="C11" s="141" t="s">
        <v>272</v>
      </c>
      <c r="D11" s="98">
        <v>35958</v>
      </c>
      <c r="E11" s="111">
        <f t="shared" ca="1" si="1"/>
        <v>27</v>
      </c>
      <c r="F11" s="132" t="s">
        <v>743</v>
      </c>
      <c r="G11" s="11" t="s">
        <v>254</v>
      </c>
      <c r="H11" s="139" t="s">
        <v>752</v>
      </c>
      <c r="I11" s="140" t="s">
        <v>753</v>
      </c>
      <c r="J11" s="132"/>
      <c r="K11" s="11" t="s">
        <v>773</v>
      </c>
      <c r="L11" s="96">
        <v>44820</v>
      </c>
      <c r="M11" s="96" t="str" cm="1">
        <f t="array" ref="M11">_xlfn.XLOOKUP(B11&amp;"", 'Registro EMO'!$C$13:$C$4248&amp;"", 'Registro EMO'!$F$13:$F$4248, "Sin registro", 0, -1)</f>
        <v>Sin registro</v>
      </c>
      <c r="N11" s="11" t="str" cm="1">
        <f t="array" ref="N11">_xlfn.XLOOKUP(B11&amp;"", 'Registro EMO'!$C$13:$C$4248&amp;"", 'Registro EMO'!$E$13:$E$4248, "Sin registro", 0, -1)</f>
        <v>Sin registro</v>
      </c>
      <c r="O11" s="11" t="str">
        <f t="shared" si="2"/>
        <v>NO</v>
      </c>
      <c r="P11" s="130" t="str" cm="1">
        <f t="array" ref="P11">_xlfn.LET(
    _xlpm.resultado, _xlfn.XLOOKUP(B11&amp;"", 'Registro EMO'!$C$13:$C$4248&amp;"", 'Registro EMO'!$I$13:$I$4248, "NO", 0, -1),
    IF(_xlpm.resultado=0, "NO", _xlpm.resultado)
)</f>
        <v>NO</v>
      </c>
      <c r="Q11" s="11" t="str">
        <f t="shared" ca="1" si="3"/>
        <v>Pendiente</v>
      </c>
      <c r="R11" s="96"/>
      <c r="S11" s="11"/>
      <c r="T11" s="11" t="str">
        <f t="shared" si="4"/>
        <v/>
      </c>
      <c r="U11" s="11"/>
      <c r="V11" s="11"/>
      <c r="W11" s="29"/>
      <c r="X11" s="129"/>
      <c r="Y11" s="11"/>
      <c r="Z11" s="11"/>
      <c r="AA11" s="11"/>
      <c r="AB11" s="11"/>
      <c r="AC11" s="11"/>
      <c r="AD11" s="11"/>
      <c r="AE11" s="11"/>
      <c r="AF11" s="11"/>
      <c r="AG11" s="98"/>
      <c r="AH11" s="11"/>
    </row>
    <row r="12" spans="1:34" hidden="1" x14ac:dyDescent="0.3">
      <c r="A12" s="7" t="str">
        <f t="shared" si="0"/>
        <v>TR-1011</v>
      </c>
      <c r="B12" s="11" t="s">
        <v>273</v>
      </c>
      <c r="C12" s="141" t="s">
        <v>274</v>
      </c>
      <c r="D12" s="98">
        <v>38991</v>
      </c>
      <c r="E12" s="111">
        <f t="shared" ca="1" si="1"/>
        <v>19</v>
      </c>
      <c r="F12" s="132" t="s">
        <v>743</v>
      </c>
      <c r="G12" s="11" t="s">
        <v>254</v>
      </c>
      <c r="H12" s="139" t="s">
        <v>744</v>
      </c>
      <c r="I12" s="140" t="s">
        <v>748</v>
      </c>
      <c r="J12" s="132"/>
      <c r="K12" s="11" t="s">
        <v>773</v>
      </c>
      <c r="L12" s="96">
        <v>46023</v>
      </c>
      <c r="M12" s="96" t="str" cm="1">
        <f t="array" ref="M12">_xlfn.XLOOKUP(B12&amp;"", 'Registro EMO'!$C$13:$C$4248&amp;"", 'Registro EMO'!$F$13:$F$4248, "Sin registro", 0, -1)</f>
        <v>Sin registro</v>
      </c>
      <c r="N12" s="11" t="str" cm="1">
        <f t="array" ref="N12">_xlfn.XLOOKUP(B12&amp;"", 'Registro EMO'!$C$13:$C$4248&amp;"", 'Registro EMO'!$E$13:$E$4248, "Sin registro", 0, -1)</f>
        <v>Sin registro</v>
      </c>
      <c r="O12" s="11" t="str">
        <f t="shared" si="2"/>
        <v>NO</v>
      </c>
      <c r="P12" s="130" t="str" cm="1">
        <f t="array" ref="P12">_xlfn.LET(
    _xlpm.resultado, _xlfn.XLOOKUP(B12&amp;"", 'Registro EMO'!$C$13:$C$4248&amp;"", 'Registro EMO'!$I$13:$I$4248, "NO", 0, -1),
    IF(_xlpm.resultado=0, "NO", _xlpm.resultado)
)</f>
        <v>NO</v>
      </c>
      <c r="Q12" s="11" t="str">
        <f t="shared" ca="1" si="3"/>
        <v>Pendiente</v>
      </c>
      <c r="R12" s="96"/>
      <c r="S12" s="11"/>
      <c r="T12" s="11" t="str">
        <f t="shared" si="4"/>
        <v/>
      </c>
      <c r="U12" s="11"/>
      <c r="V12" s="11"/>
      <c r="W12" s="29"/>
      <c r="X12" s="129"/>
      <c r="Y12" s="11"/>
      <c r="Z12" s="11"/>
      <c r="AA12" s="11"/>
      <c r="AB12" s="11"/>
      <c r="AC12" s="11"/>
      <c r="AD12" s="11"/>
      <c r="AE12" s="11"/>
      <c r="AF12" s="11"/>
      <c r="AG12" s="98"/>
      <c r="AH12" s="11"/>
    </row>
    <row r="13" spans="1:34" hidden="1" x14ac:dyDescent="0.3">
      <c r="A13" s="7" t="str">
        <f t="shared" si="0"/>
        <v>TR-1012</v>
      </c>
      <c r="B13" s="11" t="s">
        <v>275</v>
      </c>
      <c r="C13" s="141" t="s">
        <v>276</v>
      </c>
      <c r="D13" s="98">
        <v>33588</v>
      </c>
      <c r="E13" s="111">
        <f t="shared" ca="1" si="1"/>
        <v>34</v>
      </c>
      <c r="F13" s="132" t="s">
        <v>743</v>
      </c>
      <c r="G13" s="11" t="s">
        <v>254</v>
      </c>
      <c r="H13" s="139" t="s">
        <v>744</v>
      </c>
      <c r="I13" s="140" t="s">
        <v>748</v>
      </c>
      <c r="J13" s="132"/>
      <c r="K13" s="11" t="s">
        <v>773</v>
      </c>
      <c r="L13" s="96">
        <v>45983</v>
      </c>
      <c r="M13" s="96" t="str" cm="1">
        <f t="array" ref="M13">_xlfn.XLOOKUP(B13&amp;"", 'Registro EMO'!$C$13:$C$4248&amp;"", 'Registro EMO'!$F$13:$F$4248, "Sin registro", 0, -1)</f>
        <v>Sin registro</v>
      </c>
      <c r="N13" s="11" t="str" cm="1">
        <f t="array" ref="N13">_xlfn.XLOOKUP(B13&amp;"", 'Registro EMO'!$C$13:$C$4248&amp;"", 'Registro EMO'!$E$13:$E$4248, "Sin registro", 0, -1)</f>
        <v>Sin registro</v>
      </c>
      <c r="O13" s="11" t="str">
        <f t="shared" si="2"/>
        <v>NO</v>
      </c>
      <c r="P13" s="130" t="str" cm="1">
        <f t="array" ref="P13">_xlfn.LET(
    _xlpm.resultado, _xlfn.XLOOKUP(B13&amp;"", 'Registro EMO'!$C$13:$C$4248&amp;"", 'Registro EMO'!$I$13:$I$4248, "NO", 0, -1),
    IF(_xlpm.resultado=0, "NO", _xlpm.resultado)
)</f>
        <v>NO</v>
      </c>
      <c r="Q13" s="11" t="str">
        <f t="shared" ca="1" si="3"/>
        <v>Pendiente</v>
      </c>
      <c r="R13" s="96"/>
      <c r="S13" s="11"/>
      <c r="T13" s="11" t="str">
        <f t="shared" si="4"/>
        <v/>
      </c>
      <c r="U13" s="11"/>
      <c r="V13" s="11"/>
      <c r="W13" s="29"/>
      <c r="X13" s="129"/>
      <c r="Y13" s="11"/>
      <c r="Z13" s="11"/>
      <c r="AA13" s="11"/>
      <c r="AB13" s="11"/>
      <c r="AC13" s="11"/>
      <c r="AD13" s="11"/>
      <c r="AE13" s="11"/>
      <c r="AF13" s="11"/>
      <c r="AG13" s="98"/>
      <c r="AH13" s="11"/>
    </row>
    <row r="14" spans="1:34" hidden="1" x14ac:dyDescent="0.3">
      <c r="A14" s="7" t="str">
        <f t="shared" si="0"/>
        <v>TR-1013</v>
      </c>
      <c r="B14" s="11" t="s">
        <v>277</v>
      </c>
      <c r="C14" s="141" t="s">
        <v>278</v>
      </c>
      <c r="D14" s="98">
        <v>34366</v>
      </c>
      <c r="E14" s="111">
        <f t="shared" ca="1" si="1"/>
        <v>32</v>
      </c>
      <c r="F14" s="132" t="s">
        <v>743</v>
      </c>
      <c r="G14" s="11" t="s">
        <v>254</v>
      </c>
      <c r="H14" s="139" t="s">
        <v>746</v>
      </c>
      <c r="I14" s="140" t="s">
        <v>747</v>
      </c>
      <c r="J14" s="132"/>
      <c r="K14" s="11" t="s">
        <v>773</v>
      </c>
      <c r="L14" s="96">
        <v>44942</v>
      </c>
      <c r="M14" s="96" t="str" cm="1">
        <f t="array" ref="M14">_xlfn.XLOOKUP(B14&amp;"", 'Registro EMO'!$C$13:$C$4248&amp;"", 'Registro EMO'!$F$13:$F$4248, "Sin registro", 0, -1)</f>
        <v>21/02/2026</v>
      </c>
      <c r="N14" s="11" t="str" cm="1">
        <f t="array" ref="N14">_xlfn.XLOOKUP(B14&amp;"", 'Registro EMO'!$C$13:$C$4248&amp;"", 'Registro EMO'!$E$13:$E$4248, "Sin registro", 0, -1)</f>
        <v>Pre-Ocupacional</v>
      </c>
      <c r="O14" s="11" t="str">
        <f t="shared" si="2"/>
        <v>SI</v>
      </c>
      <c r="P14" s="150" cm="1">
        <f t="array" ref="P14">_xlfn.LET(
    _xlpm.resultado, _xlfn.XLOOKUP(B14&amp;"", 'Registro EMO'!$C$13:$C$4248&amp;"", 'Registro EMO'!$I$13:$I$4248, "NO", 0, -1),
    IF(_xlpm.resultado=0, "NO", _xlpm.resultado)
)</f>
        <v>45716</v>
      </c>
      <c r="Q14" s="11" t="str">
        <f t="shared" ca="1" si="3"/>
        <v>Vigente</v>
      </c>
      <c r="R14" s="96"/>
      <c r="S14" s="11"/>
      <c r="T14" s="11" t="str">
        <f t="shared" si="4"/>
        <v/>
      </c>
      <c r="U14" s="11"/>
      <c r="V14" s="11" t="s">
        <v>796</v>
      </c>
      <c r="W14" s="29"/>
      <c r="X14" s="129"/>
      <c r="Y14" s="11"/>
      <c r="Z14" s="11"/>
      <c r="AA14" s="11"/>
      <c r="AB14" s="11"/>
      <c r="AC14" s="11"/>
      <c r="AD14" s="11"/>
      <c r="AE14" s="11"/>
      <c r="AF14" s="11"/>
      <c r="AG14" s="98"/>
      <c r="AH14" s="11" t="s">
        <v>32</v>
      </c>
    </row>
    <row r="15" spans="1:34" hidden="1" x14ac:dyDescent="0.3">
      <c r="A15" s="7" t="str">
        <f t="shared" si="0"/>
        <v>TR-1014</v>
      </c>
      <c r="B15" s="11" t="s">
        <v>279</v>
      </c>
      <c r="C15" s="141" t="s">
        <v>280</v>
      </c>
      <c r="D15" s="98">
        <v>34408</v>
      </c>
      <c r="E15" s="111">
        <f t="shared" ca="1" si="1"/>
        <v>31</v>
      </c>
      <c r="F15" s="132" t="s">
        <v>743</v>
      </c>
      <c r="G15" s="11" t="s">
        <v>254</v>
      </c>
      <c r="H15" s="139" t="s">
        <v>744</v>
      </c>
      <c r="I15" s="140" t="s">
        <v>748</v>
      </c>
      <c r="J15" s="132"/>
      <c r="K15" s="11" t="s">
        <v>773</v>
      </c>
      <c r="L15" s="96">
        <v>45797</v>
      </c>
      <c r="M15" s="96" t="str" cm="1">
        <f t="array" ref="M15">_xlfn.XLOOKUP(B15&amp;"", 'Registro EMO'!$C$13:$C$4248&amp;"", 'Registro EMO'!$F$13:$F$4248, "Sin registro", 0, -1)</f>
        <v>Sin registro</v>
      </c>
      <c r="N15" s="11" t="str" cm="1">
        <f t="array" ref="N15">_xlfn.XLOOKUP(B15&amp;"", 'Registro EMO'!$C$13:$C$4248&amp;"", 'Registro EMO'!$E$13:$E$4248, "Sin registro", 0, -1)</f>
        <v>Sin registro</v>
      </c>
      <c r="O15" s="11" t="str">
        <f t="shared" si="2"/>
        <v>NO</v>
      </c>
      <c r="P15" s="130" t="str" cm="1">
        <f t="array" ref="P15">_xlfn.LET(
    _xlpm.resultado, _xlfn.XLOOKUP(B15&amp;"", 'Registro EMO'!$C$13:$C$4248&amp;"", 'Registro EMO'!$I$13:$I$4248, "NO", 0, -1),
    IF(_xlpm.resultado=0, "NO", _xlpm.resultado)
)</f>
        <v>NO</v>
      </c>
      <c r="Q15" s="11" t="str">
        <f t="shared" ca="1" si="3"/>
        <v>Pendiente</v>
      </c>
      <c r="R15" s="96"/>
      <c r="S15" s="11"/>
      <c r="T15" s="11" t="str">
        <f t="shared" si="4"/>
        <v/>
      </c>
      <c r="U15" s="11"/>
      <c r="V15" s="11"/>
      <c r="W15" s="29"/>
      <c r="X15" s="129"/>
      <c r="Y15" s="11"/>
      <c r="Z15" s="11"/>
      <c r="AA15" s="11"/>
      <c r="AB15" s="11"/>
      <c r="AC15" s="11"/>
      <c r="AD15" s="11"/>
      <c r="AE15" s="11"/>
      <c r="AF15" s="11"/>
      <c r="AG15" s="98"/>
      <c r="AH15" s="11"/>
    </row>
    <row r="16" spans="1:34" hidden="1" x14ac:dyDescent="0.3">
      <c r="A16" s="7" t="str">
        <f t="shared" si="0"/>
        <v>TR-1015</v>
      </c>
      <c r="B16" s="11" t="s">
        <v>281</v>
      </c>
      <c r="C16" s="141" t="s">
        <v>282</v>
      </c>
      <c r="D16" s="98">
        <v>38500</v>
      </c>
      <c r="E16" s="111">
        <f t="shared" ca="1" si="1"/>
        <v>20</v>
      </c>
      <c r="F16" s="132" t="s">
        <v>743</v>
      </c>
      <c r="G16" s="11" t="s">
        <v>254</v>
      </c>
      <c r="H16" s="139" t="s">
        <v>746</v>
      </c>
      <c r="I16" s="140" t="s">
        <v>747</v>
      </c>
      <c r="J16" s="132"/>
      <c r="K16" s="11" t="s">
        <v>773</v>
      </c>
      <c r="L16" s="96">
        <v>44510</v>
      </c>
      <c r="M16" s="96" t="str" cm="1">
        <f t="array" ref="M16">_xlfn.XLOOKUP(B16&amp;"", 'Registro EMO'!$C$13:$C$4248&amp;"", 'Registro EMO'!$F$13:$F$4248, "Sin registro", 0, -1)</f>
        <v>Sin registro</v>
      </c>
      <c r="N16" s="11" t="str" cm="1">
        <f t="array" ref="N16">_xlfn.XLOOKUP(B16&amp;"", 'Registro EMO'!$C$13:$C$4248&amp;"", 'Registro EMO'!$E$13:$E$4248, "Sin registro", 0, -1)</f>
        <v>Sin registro</v>
      </c>
      <c r="O16" s="11" t="str">
        <f t="shared" si="2"/>
        <v>NO</v>
      </c>
      <c r="P16" s="130" t="str" cm="1">
        <f t="array" ref="P16">_xlfn.LET(
    _xlpm.resultado, _xlfn.XLOOKUP(B16&amp;"", 'Registro EMO'!$C$13:$C$4248&amp;"", 'Registro EMO'!$I$13:$I$4248, "NO", 0, -1),
    IF(_xlpm.resultado=0, "NO", _xlpm.resultado)
)</f>
        <v>NO</v>
      </c>
      <c r="Q16" s="11" t="str">
        <f t="shared" ca="1" si="3"/>
        <v>Pendiente</v>
      </c>
      <c r="R16" s="96"/>
      <c r="S16" s="11"/>
      <c r="T16" s="11" t="str">
        <f t="shared" si="4"/>
        <v/>
      </c>
      <c r="U16" s="11"/>
      <c r="V16" s="11"/>
      <c r="W16" s="29"/>
      <c r="X16" s="129"/>
      <c r="Y16" s="11"/>
      <c r="Z16" s="11"/>
      <c r="AA16" s="11"/>
      <c r="AB16" s="11"/>
      <c r="AC16" s="11"/>
      <c r="AD16" s="11"/>
      <c r="AE16" s="11"/>
      <c r="AF16" s="11"/>
      <c r="AG16" s="98"/>
      <c r="AH16" s="11"/>
    </row>
    <row r="17" spans="1:34" hidden="1" x14ac:dyDescent="0.3">
      <c r="A17" s="7" t="str">
        <f t="shared" si="0"/>
        <v>TR-1016</v>
      </c>
      <c r="B17" s="11" t="s">
        <v>283</v>
      </c>
      <c r="C17" s="141" t="s">
        <v>284</v>
      </c>
      <c r="D17" s="98">
        <v>33003</v>
      </c>
      <c r="E17" s="111">
        <f t="shared" ca="1" si="1"/>
        <v>35</v>
      </c>
      <c r="F17" s="132" t="s">
        <v>743</v>
      </c>
      <c r="G17" s="11" t="s">
        <v>254</v>
      </c>
      <c r="H17" s="139" t="s">
        <v>746</v>
      </c>
      <c r="I17" s="140" t="s">
        <v>751</v>
      </c>
      <c r="J17" s="132"/>
      <c r="K17" s="11" t="s">
        <v>773</v>
      </c>
      <c r="L17" s="96">
        <v>45885</v>
      </c>
      <c r="M17" s="96" t="str" cm="1">
        <f t="array" ref="M17">_xlfn.XLOOKUP(B17&amp;"", 'Registro EMO'!$C$13:$C$4248&amp;"", 'Registro EMO'!$F$13:$F$4248, "Sin registro", 0, -1)</f>
        <v>27/06/2026</v>
      </c>
      <c r="N17" s="11" t="str" cm="1">
        <f t="array" ref="N17">_xlfn.XLOOKUP(B17&amp;"", 'Registro EMO'!$C$13:$C$4248&amp;"", 'Registro EMO'!$E$13:$E$4248, "Sin registro", 0, -1)</f>
        <v>Pre-Ocupacional</v>
      </c>
      <c r="O17" s="11" t="str">
        <f t="shared" si="2"/>
        <v>SI</v>
      </c>
      <c r="P17" s="150" cm="1">
        <f t="array" ref="P17">_xlfn.LET(
    _xlpm.resultado, _xlfn.XLOOKUP(B17&amp;"", 'Registro EMO'!$C$13:$C$4248&amp;"", 'Registro EMO'!$I$13:$I$4248, "NO", 0, -1),
    IF(_xlpm.resultado=0, "NO", _xlpm.resultado)
)</f>
        <v>45443</v>
      </c>
      <c r="Q17" s="11" t="str">
        <f t="shared" ca="1" si="3"/>
        <v>Vigente</v>
      </c>
      <c r="R17" s="96"/>
      <c r="S17" s="11"/>
      <c r="T17" s="11" t="str">
        <f t="shared" si="4"/>
        <v/>
      </c>
      <c r="U17" s="11"/>
      <c r="V17" s="11" t="s">
        <v>796</v>
      </c>
      <c r="W17" s="29" t="s">
        <v>777</v>
      </c>
      <c r="X17" s="129"/>
      <c r="Y17" s="11"/>
      <c r="Z17" s="11"/>
      <c r="AA17" s="11"/>
      <c r="AB17" s="11"/>
      <c r="AC17" s="11"/>
      <c r="AD17" s="11"/>
      <c r="AE17" s="11"/>
      <c r="AF17" s="11"/>
      <c r="AG17" s="98"/>
      <c r="AH17" s="11" t="s">
        <v>32</v>
      </c>
    </row>
    <row r="18" spans="1:34" hidden="1" x14ac:dyDescent="0.3">
      <c r="A18" s="7" t="str">
        <f t="shared" si="0"/>
        <v>TR-1017</v>
      </c>
      <c r="B18" s="11" t="s">
        <v>285</v>
      </c>
      <c r="C18" s="141" t="s">
        <v>286</v>
      </c>
      <c r="D18" s="98">
        <v>38122</v>
      </c>
      <c r="E18" s="111">
        <f t="shared" ca="1" si="1"/>
        <v>21</v>
      </c>
      <c r="F18" s="132" t="s">
        <v>743</v>
      </c>
      <c r="G18" s="11" t="s">
        <v>254</v>
      </c>
      <c r="H18" s="139" t="s">
        <v>746</v>
      </c>
      <c r="I18" s="140" t="s">
        <v>747</v>
      </c>
      <c r="J18" s="132"/>
      <c r="K18" s="11" t="s">
        <v>773</v>
      </c>
      <c r="L18" s="96">
        <v>45689</v>
      </c>
      <c r="M18" s="96" t="str" cm="1">
        <f t="array" ref="M18">_xlfn.XLOOKUP(B18&amp;"", 'Registro EMO'!$C$13:$C$4248&amp;"", 'Registro EMO'!$F$13:$F$4248, "Sin registro", 0, -1)</f>
        <v>Sin registro</v>
      </c>
      <c r="N18" s="11" t="str" cm="1">
        <f t="array" ref="N18">_xlfn.XLOOKUP(B18&amp;"", 'Registro EMO'!$C$13:$C$4248&amp;"", 'Registro EMO'!$E$13:$E$4248, "Sin registro", 0, -1)</f>
        <v>Sin registro</v>
      </c>
      <c r="O18" s="11" t="str">
        <f t="shared" si="2"/>
        <v>NO</v>
      </c>
      <c r="P18" s="130" t="str" cm="1">
        <f t="array" ref="P18">_xlfn.LET(
    _xlpm.resultado, _xlfn.XLOOKUP(B18&amp;"", 'Registro EMO'!$C$13:$C$4248&amp;"", 'Registro EMO'!$I$13:$I$4248, "NO", 0, -1),
    IF(_xlpm.resultado=0, "NO", _xlpm.resultado)
)</f>
        <v>NO</v>
      </c>
      <c r="Q18" s="11" t="str">
        <f t="shared" ca="1" si="3"/>
        <v>Pendiente</v>
      </c>
      <c r="R18" s="96"/>
      <c r="S18" s="11"/>
      <c r="T18" s="11" t="str">
        <f t="shared" si="4"/>
        <v/>
      </c>
      <c r="U18" s="11"/>
      <c r="V18" s="11"/>
      <c r="W18" s="29"/>
      <c r="X18" s="129"/>
      <c r="Y18" s="11"/>
      <c r="Z18" s="11"/>
      <c r="AA18" s="11"/>
      <c r="AB18" s="11"/>
      <c r="AC18" s="11"/>
      <c r="AD18" s="11"/>
      <c r="AE18" s="11"/>
      <c r="AF18" s="11"/>
      <c r="AG18" s="98"/>
      <c r="AH18" s="11"/>
    </row>
    <row r="19" spans="1:34" hidden="1" x14ac:dyDescent="0.3">
      <c r="A19" s="7" t="str">
        <f t="shared" si="0"/>
        <v>TR-1018</v>
      </c>
      <c r="B19" s="11" t="s">
        <v>287</v>
      </c>
      <c r="C19" s="141" t="s">
        <v>288</v>
      </c>
      <c r="D19" s="98">
        <v>31969</v>
      </c>
      <c r="E19" s="111">
        <f t="shared" ca="1" si="1"/>
        <v>38</v>
      </c>
      <c r="F19" s="132" t="s">
        <v>743</v>
      </c>
      <c r="G19" s="11" t="s">
        <v>254</v>
      </c>
      <c r="H19" s="139" t="s">
        <v>746</v>
      </c>
      <c r="I19" s="140" t="s">
        <v>747</v>
      </c>
      <c r="J19" s="132"/>
      <c r="K19" s="11" t="s">
        <v>773</v>
      </c>
      <c r="L19" s="96">
        <v>45748</v>
      </c>
      <c r="M19" s="96" cm="1">
        <f t="array" ref="M19">_xlfn.XLOOKUP(B19&amp;"", 'Registro EMO'!$C$13:$C$4248&amp;"", 'Registro EMO'!$F$13:$F$4248, "Sin registro", 0, -1)</f>
        <v>46083</v>
      </c>
      <c r="N19" s="11" t="str" cm="1">
        <f t="array" ref="N19">_xlfn.XLOOKUP(B19&amp;"", 'Registro EMO'!$C$13:$C$4248&amp;"", 'Registro EMO'!$E$13:$E$4248, "Sin registro", 0, -1)</f>
        <v>Pre-Ocupacional</v>
      </c>
      <c r="O19" s="11" t="str">
        <f t="shared" si="2"/>
        <v>SI</v>
      </c>
      <c r="P19" s="150" cm="1">
        <f t="array" ref="P19">_xlfn.LET(
    _xlpm.resultado, _xlfn.XLOOKUP(B19&amp;"", 'Registro EMO'!$C$13:$C$4248&amp;"", 'Registro EMO'!$I$13:$I$4248, "NO", 0, -1),
    IF(_xlpm.resultado=0, "NO", _xlpm.resultado)
)</f>
        <v>44960</v>
      </c>
      <c r="Q19" s="11" t="str">
        <f t="shared" ca="1" si="3"/>
        <v>Vigente</v>
      </c>
      <c r="R19" s="96"/>
      <c r="S19" s="11"/>
      <c r="T19" s="11" t="str">
        <f t="shared" si="4"/>
        <v/>
      </c>
      <c r="U19" s="11"/>
      <c r="V19" s="11" t="s">
        <v>796</v>
      </c>
      <c r="W19" s="29" t="s">
        <v>778</v>
      </c>
      <c r="X19" s="129"/>
      <c r="Y19" s="11"/>
      <c r="Z19" s="11"/>
      <c r="AA19" s="11"/>
      <c r="AB19" s="11"/>
      <c r="AC19" s="11"/>
      <c r="AD19" s="11"/>
      <c r="AE19" s="11"/>
      <c r="AF19" s="11"/>
      <c r="AG19" s="98"/>
      <c r="AH19" s="11" t="s">
        <v>32</v>
      </c>
    </row>
    <row r="20" spans="1:34" ht="28.8" hidden="1" x14ac:dyDescent="0.3">
      <c r="A20" s="7" t="str">
        <f t="shared" si="0"/>
        <v>TR-1019</v>
      </c>
      <c r="B20" s="11" t="s">
        <v>289</v>
      </c>
      <c r="C20" s="141" t="s">
        <v>290</v>
      </c>
      <c r="D20" s="98">
        <v>35507</v>
      </c>
      <c r="E20" s="111">
        <f t="shared" ca="1" si="1"/>
        <v>28</v>
      </c>
      <c r="F20" s="132" t="s">
        <v>743</v>
      </c>
      <c r="G20" s="11" t="s">
        <v>254</v>
      </c>
      <c r="H20" s="139" t="s">
        <v>754</v>
      </c>
      <c r="I20" s="140" t="s">
        <v>755</v>
      </c>
      <c r="J20" s="132"/>
      <c r="K20" s="11" t="s">
        <v>773</v>
      </c>
      <c r="L20" s="96">
        <v>43941</v>
      </c>
      <c r="M20" s="96" t="str" cm="1">
        <f t="array" ref="M20">_xlfn.XLOOKUP(B20&amp;"", 'Registro EMO'!$C$13:$C$4248&amp;"", 'Registro EMO'!$F$13:$F$4248, "Sin registro", 0, -1)</f>
        <v>29/04/2026</v>
      </c>
      <c r="N20" s="11" t="str" cm="1">
        <f t="array" ref="N20">_xlfn.XLOOKUP(B20&amp;"", 'Registro EMO'!$C$13:$C$4248&amp;"", 'Registro EMO'!$E$13:$E$4248, "Sin registro", 0, -1)</f>
        <v>Pre-Ocupacional</v>
      </c>
      <c r="O20" s="11" t="str">
        <f t="shared" si="2"/>
        <v>SI</v>
      </c>
      <c r="P20" s="150" cm="1">
        <f t="array" ref="P20">_xlfn.LET(
    _xlpm.resultado, _xlfn.XLOOKUP(B20&amp;"", 'Registro EMO'!$C$13:$C$4248&amp;"", 'Registro EMO'!$I$13:$I$4248, "NO", 0, -1),
    IF(_xlpm.resultado=0, "NO", _xlpm.resultado)
)</f>
        <v>45412</v>
      </c>
      <c r="Q20" s="11" t="str">
        <f t="shared" ca="1" si="3"/>
        <v>Vigente</v>
      </c>
      <c r="R20" s="96"/>
      <c r="S20" s="11"/>
      <c r="T20" s="11" t="str">
        <f t="shared" si="4"/>
        <v/>
      </c>
      <c r="U20" s="11"/>
      <c r="V20" s="11" t="s">
        <v>796</v>
      </c>
      <c r="W20" s="29" t="s">
        <v>779</v>
      </c>
      <c r="X20" s="129"/>
      <c r="Y20" s="11"/>
      <c r="Z20" s="11"/>
      <c r="AA20" s="11"/>
      <c r="AB20" s="11"/>
      <c r="AC20" s="11"/>
      <c r="AD20" s="11"/>
      <c r="AE20" s="11"/>
      <c r="AF20" s="11"/>
      <c r="AG20" s="98"/>
      <c r="AH20" s="11" t="s">
        <v>32</v>
      </c>
    </row>
    <row r="21" spans="1:34" ht="28.8" hidden="1" x14ac:dyDescent="0.3">
      <c r="A21" s="7" t="str">
        <f t="shared" si="0"/>
        <v>TR-1020</v>
      </c>
      <c r="B21" s="11" t="s">
        <v>291</v>
      </c>
      <c r="C21" s="141" t="s">
        <v>292</v>
      </c>
      <c r="D21" s="98">
        <v>34889</v>
      </c>
      <c r="E21" s="111">
        <f t="shared" ca="1" si="1"/>
        <v>30</v>
      </c>
      <c r="F21" s="132" t="s">
        <v>743</v>
      </c>
      <c r="G21" s="11" t="s">
        <v>254</v>
      </c>
      <c r="H21" s="139" t="s">
        <v>746</v>
      </c>
      <c r="I21" s="140" t="s">
        <v>751</v>
      </c>
      <c r="J21" s="132"/>
      <c r="K21" s="11" t="s">
        <v>773</v>
      </c>
      <c r="L21" s="96">
        <v>44228</v>
      </c>
      <c r="M21" s="96" t="str" cm="1">
        <f t="array" ref="M21">_xlfn.XLOOKUP(B21&amp;"", 'Registro EMO'!$C$13:$C$4248&amp;"", 'Registro EMO'!$F$13:$F$4248, "Sin registro", 0, -1)</f>
        <v>17/03/2026</v>
      </c>
      <c r="N21" s="11" t="str" cm="1">
        <f t="array" ref="N21">_xlfn.XLOOKUP(B21&amp;"", 'Registro EMO'!$C$13:$C$4248&amp;"", 'Registro EMO'!$E$13:$E$4248, "Sin registro", 0, -1)</f>
        <v>Pre-Ocupacional</v>
      </c>
      <c r="O21" s="11" t="str">
        <f t="shared" si="2"/>
        <v>SI</v>
      </c>
      <c r="P21" s="150" cm="1">
        <f t="array" ref="P21">_xlfn.LET(
    _xlpm.resultado, _xlfn.XLOOKUP(B21&amp;"", 'Registro EMO'!$C$13:$C$4248&amp;"", 'Registro EMO'!$I$13:$I$4248, "NO", 0, -1),
    IF(_xlpm.resultado=0, "NO", _xlpm.resultado)
)</f>
        <v>45015</v>
      </c>
      <c r="Q21" s="11" t="str">
        <f t="shared" ca="1" si="3"/>
        <v>Vigente</v>
      </c>
      <c r="R21" s="96"/>
      <c r="S21" s="11"/>
      <c r="T21" s="11" t="str">
        <f t="shared" si="4"/>
        <v/>
      </c>
      <c r="U21" s="11"/>
      <c r="V21" s="11" t="s">
        <v>796</v>
      </c>
      <c r="W21" s="29" t="s">
        <v>780</v>
      </c>
      <c r="X21" s="129"/>
      <c r="Y21" s="11"/>
      <c r="Z21" s="11"/>
      <c r="AA21" s="11"/>
      <c r="AB21" s="11"/>
      <c r="AC21" s="11"/>
      <c r="AD21" s="11"/>
      <c r="AE21" s="11"/>
      <c r="AF21" s="11"/>
      <c r="AG21" s="98"/>
      <c r="AH21" s="11" t="s">
        <v>32</v>
      </c>
    </row>
    <row r="22" spans="1:34" hidden="1" x14ac:dyDescent="0.3">
      <c r="A22" s="7" t="str">
        <f t="shared" si="0"/>
        <v>TR-1021</v>
      </c>
      <c r="B22" s="11" t="s">
        <v>293</v>
      </c>
      <c r="C22" s="141" t="s">
        <v>294</v>
      </c>
      <c r="D22" s="98">
        <v>36515</v>
      </c>
      <c r="E22" s="111">
        <f t="shared" ca="1" si="1"/>
        <v>26</v>
      </c>
      <c r="F22" s="132" t="s">
        <v>743</v>
      </c>
      <c r="G22" s="11" t="s">
        <v>254</v>
      </c>
      <c r="H22" s="139" t="s">
        <v>744</v>
      </c>
      <c r="I22" s="140" t="s">
        <v>748</v>
      </c>
      <c r="J22" s="132"/>
      <c r="K22" s="11" t="s">
        <v>773</v>
      </c>
      <c r="L22" s="96">
        <v>43344</v>
      </c>
      <c r="M22" s="96" t="str" cm="1">
        <f t="array" ref="M22">_xlfn.XLOOKUP(B22&amp;"", 'Registro EMO'!$C$13:$C$4248&amp;"", 'Registro EMO'!$F$13:$F$4248, "Sin registro", 0, -1)</f>
        <v>17/01/2026</v>
      </c>
      <c r="N22" s="11" t="str" cm="1">
        <f t="array" ref="N22">_xlfn.XLOOKUP(B22&amp;"", 'Registro EMO'!$C$13:$C$4248&amp;"", 'Registro EMO'!$E$13:$E$4248, "Sin registro", 0, -1)</f>
        <v>Ocupacional</v>
      </c>
      <c r="O22" s="11" t="str">
        <f t="shared" si="2"/>
        <v>NO</v>
      </c>
      <c r="P22" s="130" t="str" cm="1">
        <f t="array" ref="P22">_xlfn.LET(
    _xlpm.resultado, _xlfn.XLOOKUP(B22&amp;"", 'Registro EMO'!$C$13:$C$4248&amp;"", 'Registro EMO'!$I$13:$I$4248, "NO", 0, -1),
    IF(_xlpm.resultado=0, "NO", _xlpm.resultado)
)</f>
        <v>NO</v>
      </c>
      <c r="Q22" s="11" t="str">
        <f t="shared" ca="1" si="3"/>
        <v>Vigente</v>
      </c>
      <c r="R22" s="96"/>
      <c r="S22" s="11"/>
      <c r="T22" s="11" t="str">
        <f t="shared" si="4"/>
        <v/>
      </c>
      <c r="U22" s="11"/>
      <c r="V22" s="11" t="s">
        <v>796</v>
      </c>
      <c r="W22" s="29" t="s">
        <v>778</v>
      </c>
      <c r="X22" s="129"/>
      <c r="Y22" s="11"/>
      <c r="Z22" s="11"/>
      <c r="AA22" s="11"/>
      <c r="AB22" s="11"/>
      <c r="AC22" s="11"/>
      <c r="AD22" s="11"/>
      <c r="AE22" s="11"/>
      <c r="AF22" s="11"/>
      <c r="AG22" s="98"/>
      <c r="AH22" s="11" t="s">
        <v>32</v>
      </c>
    </row>
    <row r="23" spans="1:34" ht="43.2" hidden="1" x14ac:dyDescent="0.3">
      <c r="A23" s="7" t="str">
        <f t="shared" si="0"/>
        <v>TR-1022</v>
      </c>
      <c r="B23" s="11" t="s">
        <v>295</v>
      </c>
      <c r="C23" s="141" t="s">
        <v>296</v>
      </c>
      <c r="D23" s="98">
        <v>27606</v>
      </c>
      <c r="E23" s="111">
        <f t="shared" ca="1" si="1"/>
        <v>50</v>
      </c>
      <c r="F23" s="132" t="s">
        <v>743</v>
      </c>
      <c r="G23" s="11" t="s">
        <v>254</v>
      </c>
      <c r="H23" s="139" t="s">
        <v>754</v>
      </c>
      <c r="I23" s="140" t="s">
        <v>755</v>
      </c>
      <c r="J23" s="132"/>
      <c r="K23" s="11" t="s">
        <v>773</v>
      </c>
      <c r="L23" s="96">
        <v>43160</v>
      </c>
      <c r="M23" s="96" t="str" cm="1">
        <f t="array" ref="M23">_xlfn.XLOOKUP(B23&amp;"", 'Registro EMO'!$C$13:$C$4248&amp;"", 'Registro EMO'!$F$13:$F$4248, "Sin registro", 0, -1)</f>
        <v>15/11/2026</v>
      </c>
      <c r="N23" s="11" t="str" cm="1">
        <f t="array" ref="N23">_xlfn.XLOOKUP(B23&amp;"", 'Registro EMO'!$C$13:$C$4248&amp;"", 'Registro EMO'!$E$13:$E$4248, "Sin registro", 0, -1)</f>
        <v>Ocupacional</v>
      </c>
      <c r="O23" s="11" t="str">
        <f t="shared" si="2"/>
        <v>NO</v>
      </c>
      <c r="P23" s="130" t="str" cm="1">
        <f t="array" ref="P23">_xlfn.LET(
    _xlpm.resultado, _xlfn.XLOOKUP(B23&amp;"", 'Registro EMO'!$C$13:$C$4248&amp;"", 'Registro EMO'!$I$13:$I$4248, "NO", 0, -1),
    IF(_xlpm.resultado=0, "NO", _xlpm.resultado)
)</f>
        <v>NO</v>
      </c>
      <c r="Q23" s="11" t="str">
        <f t="shared" ca="1" si="3"/>
        <v>Vigente</v>
      </c>
      <c r="R23" s="96"/>
      <c r="S23" s="11"/>
      <c r="T23" s="11" t="str">
        <f t="shared" si="4"/>
        <v/>
      </c>
      <c r="U23" s="11"/>
      <c r="V23" s="11" t="s">
        <v>796</v>
      </c>
      <c r="W23" s="29" t="s">
        <v>781</v>
      </c>
      <c r="X23" s="129"/>
      <c r="Y23" s="11" t="s">
        <v>1348</v>
      </c>
      <c r="Z23" s="11"/>
      <c r="AA23" s="11"/>
      <c r="AB23" s="11"/>
      <c r="AC23" s="11"/>
      <c r="AD23" s="11"/>
      <c r="AE23" s="11"/>
      <c r="AF23" s="11"/>
      <c r="AG23" s="98"/>
      <c r="AH23" s="11" t="s">
        <v>32</v>
      </c>
    </row>
    <row r="24" spans="1:34" hidden="1" x14ac:dyDescent="0.3">
      <c r="A24" s="7" t="str">
        <f t="shared" si="0"/>
        <v>TR-1023</v>
      </c>
      <c r="B24" s="11" t="s">
        <v>297</v>
      </c>
      <c r="C24" s="141" t="s">
        <v>298</v>
      </c>
      <c r="D24" s="98">
        <v>36038</v>
      </c>
      <c r="E24" s="111">
        <f t="shared" ca="1" si="1"/>
        <v>27</v>
      </c>
      <c r="F24" s="132" t="s">
        <v>743</v>
      </c>
      <c r="G24" s="11" t="s">
        <v>254</v>
      </c>
      <c r="H24" s="139" t="s">
        <v>744</v>
      </c>
      <c r="I24" s="140" t="s">
        <v>748</v>
      </c>
      <c r="J24" s="132"/>
      <c r="K24" s="11" t="s">
        <v>773</v>
      </c>
      <c r="L24" s="96">
        <v>45722</v>
      </c>
      <c r="M24" s="96" t="str" cm="1">
        <f t="array" ref="M24">_xlfn.XLOOKUP(B24&amp;"", 'Registro EMO'!$C$13:$C$4248&amp;"", 'Registro EMO'!$F$13:$F$4248, "Sin registro", 0, -1)</f>
        <v>Sin registro</v>
      </c>
      <c r="N24" s="11" t="str" cm="1">
        <f t="array" ref="N24">_xlfn.XLOOKUP(B24&amp;"", 'Registro EMO'!$C$13:$C$4248&amp;"", 'Registro EMO'!$E$13:$E$4248, "Sin registro", 0, -1)</f>
        <v>Sin registro</v>
      </c>
      <c r="O24" s="11" t="str">
        <f t="shared" si="2"/>
        <v>NO</v>
      </c>
      <c r="P24" s="130" t="str" cm="1">
        <f t="array" ref="P24">_xlfn.LET(
    _xlpm.resultado, _xlfn.XLOOKUP(B24&amp;"", 'Registro EMO'!$C$13:$C$4248&amp;"", 'Registro EMO'!$I$13:$I$4248, "NO", 0, -1),
    IF(_xlpm.resultado=0, "NO", _xlpm.resultado)
)</f>
        <v>NO</v>
      </c>
      <c r="Q24" s="11" t="str">
        <f t="shared" ca="1" si="3"/>
        <v>Pendiente</v>
      </c>
      <c r="R24" s="96"/>
      <c r="S24" s="11"/>
      <c r="T24" s="11" t="str">
        <f t="shared" si="4"/>
        <v/>
      </c>
      <c r="U24" s="11"/>
      <c r="V24" s="11"/>
      <c r="W24" s="29"/>
      <c r="X24" s="129"/>
      <c r="Y24" s="11"/>
      <c r="Z24" s="11"/>
      <c r="AA24" s="11"/>
      <c r="AB24" s="11"/>
      <c r="AC24" s="11"/>
      <c r="AD24" s="11"/>
      <c r="AE24" s="11"/>
      <c r="AF24" s="11"/>
      <c r="AG24" s="98"/>
      <c r="AH24" s="11"/>
    </row>
    <row r="25" spans="1:34" ht="28.8" hidden="1" x14ac:dyDescent="0.3">
      <c r="A25" s="7" t="str">
        <f t="shared" si="0"/>
        <v>TR-1024</v>
      </c>
      <c r="B25" s="11" t="s">
        <v>299</v>
      </c>
      <c r="C25" s="141" t="s">
        <v>300</v>
      </c>
      <c r="D25" s="98">
        <v>32607</v>
      </c>
      <c r="E25" s="111">
        <f t="shared" ca="1" si="1"/>
        <v>36</v>
      </c>
      <c r="F25" s="132" t="s">
        <v>743</v>
      </c>
      <c r="G25" s="11" t="s">
        <v>254</v>
      </c>
      <c r="H25" s="139" t="s">
        <v>746</v>
      </c>
      <c r="I25" s="140" t="s">
        <v>751</v>
      </c>
      <c r="J25" s="132"/>
      <c r="K25" s="11" t="s">
        <v>773</v>
      </c>
      <c r="L25" s="96">
        <v>43480</v>
      </c>
      <c r="M25" s="96" t="str" cm="1">
        <f t="array" ref="M25">_xlfn.XLOOKUP(B25&amp;"", 'Registro EMO'!$C$13:$C$4248&amp;"", 'Registro EMO'!$F$13:$F$4248, "Sin registro", 0, -1)</f>
        <v>28/02/2026</v>
      </c>
      <c r="N25" s="11" t="str" cm="1">
        <f t="array" ref="N25">_xlfn.XLOOKUP(B25&amp;"", 'Registro EMO'!$C$13:$C$4248&amp;"", 'Registro EMO'!$E$13:$E$4248, "Sin registro", 0, -1)</f>
        <v>Pre-Ocupacional</v>
      </c>
      <c r="O25" s="11" t="str">
        <f t="shared" si="2"/>
        <v>NO</v>
      </c>
      <c r="P25" s="130" t="str" cm="1">
        <f t="array" ref="P25">_xlfn.LET(
    _xlpm.resultado, _xlfn.XLOOKUP(B25&amp;"", 'Registro EMO'!$C$13:$C$4248&amp;"", 'Registro EMO'!$I$13:$I$4248, "NO", 0, -1),
    IF(_xlpm.resultado=0, "NO", _xlpm.resultado)
)</f>
        <v>NO</v>
      </c>
      <c r="Q25" s="11" t="str">
        <f t="shared" ca="1" si="3"/>
        <v>Vigente</v>
      </c>
      <c r="R25" s="96"/>
      <c r="S25" s="11"/>
      <c r="T25" s="11" t="str">
        <f t="shared" si="4"/>
        <v/>
      </c>
      <c r="U25" s="11"/>
      <c r="V25" s="11" t="s">
        <v>796</v>
      </c>
      <c r="W25" s="29" t="s">
        <v>782</v>
      </c>
      <c r="X25" s="129"/>
      <c r="Y25" s="11"/>
      <c r="Z25" s="11"/>
      <c r="AA25" s="11"/>
      <c r="AB25" s="11"/>
      <c r="AC25" s="11"/>
      <c r="AD25" s="11"/>
      <c r="AE25" s="11"/>
      <c r="AF25" s="11"/>
      <c r="AG25" s="98"/>
      <c r="AH25" s="11" t="s">
        <v>32</v>
      </c>
    </row>
    <row r="26" spans="1:34" hidden="1" x14ac:dyDescent="0.3">
      <c r="A26" s="7" t="str">
        <f t="shared" si="0"/>
        <v>TR-1025</v>
      </c>
      <c r="B26" s="11" t="s">
        <v>301</v>
      </c>
      <c r="C26" s="141" t="s">
        <v>302</v>
      </c>
      <c r="D26" s="98">
        <v>36369</v>
      </c>
      <c r="E26" s="111">
        <f t="shared" ca="1" si="1"/>
        <v>26</v>
      </c>
      <c r="F26" s="132" t="s">
        <v>743</v>
      </c>
      <c r="G26" s="11" t="s">
        <v>254</v>
      </c>
      <c r="H26" s="139" t="s">
        <v>746</v>
      </c>
      <c r="I26" s="140" t="s">
        <v>751</v>
      </c>
      <c r="J26" s="132"/>
      <c r="K26" s="11" t="s">
        <v>773</v>
      </c>
      <c r="L26" s="96">
        <v>45874</v>
      </c>
      <c r="M26" s="96" t="str" cm="1">
        <f t="array" ref="M26">_xlfn.XLOOKUP(B26&amp;"", 'Registro EMO'!$C$13:$C$4248&amp;"", 'Registro EMO'!$F$13:$F$4248, "Sin registro", 0, -1)</f>
        <v>Sin registro</v>
      </c>
      <c r="N26" s="11" t="str" cm="1">
        <f t="array" ref="N26">_xlfn.XLOOKUP(B26&amp;"", 'Registro EMO'!$C$13:$C$4248&amp;"", 'Registro EMO'!$E$13:$E$4248, "Sin registro", 0, -1)</f>
        <v>Sin registro</v>
      </c>
      <c r="O26" s="11" t="str">
        <f t="shared" si="2"/>
        <v>NO</v>
      </c>
      <c r="P26" s="130" t="str" cm="1">
        <f t="array" ref="P26">_xlfn.LET(
    _xlpm.resultado, _xlfn.XLOOKUP(B26&amp;"", 'Registro EMO'!$C$13:$C$4248&amp;"", 'Registro EMO'!$I$13:$I$4248, "NO", 0, -1),
    IF(_xlpm.resultado=0, "NO", _xlpm.resultado)
)</f>
        <v>NO</v>
      </c>
      <c r="Q26" s="11" t="str">
        <f t="shared" ca="1" si="3"/>
        <v>Pendiente</v>
      </c>
      <c r="R26" s="96"/>
      <c r="S26" s="11"/>
      <c r="T26" s="11" t="str">
        <f t="shared" si="4"/>
        <v/>
      </c>
      <c r="U26" s="11"/>
      <c r="V26" s="11"/>
      <c r="W26" s="29"/>
      <c r="X26" s="129"/>
      <c r="Y26" s="11"/>
      <c r="Z26" s="11"/>
      <c r="AA26" s="11"/>
      <c r="AB26" s="11"/>
      <c r="AC26" s="11"/>
      <c r="AD26" s="11"/>
      <c r="AE26" s="11"/>
      <c r="AF26" s="11"/>
      <c r="AG26" s="98"/>
      <c r="AH26" s="11"/>
    </row>
    <row r="27" spans="1:34" ht="28.8" hidden="1" x14ac:dyDescent="0.3">
      <c r="A27" s="7" t="str">
        <f t="shared" si="0"/>
        <v>TR-1026</v>
      </c>
      <c r="B27" s="11" t="s">
        <v>303</v>
      </c>
      <c r="C27" s="141" t="s">
        <v>304</v>
      </c>
      <c r="D27" s="98">
        <v>33498</v>
      </c>
      <c r="E27" s="111">
        <f t="shared" ca="1" si="1"/>
        <v>34</v>
      </c>
      <c r="F27" s="132" t="s">
        <v>743</v>
      </c>
      <c r="G27" s="11" t="s">
        <v>254</v>
      </c>
      <c r="H27" s="139" t="s">
        <v>746</v>
      </c>
      <c r="I27" s="140" t="s">
        <v>751</v>
      </c>
      <c r="J27" s="132"/>
      <c r="K27" s="11" t="s">
        <v>773</v>
      </c>
      <c r="L27" s="96">
        <v>44789</v>
      </c>
      <c r="M27" s="96" t="str" cm="1">
        <f t="array" ref="M27">_xlfn.XLOOKUP(B27&amp;"", 'Registro EMO'!$C$13:$C$4248&amp;"", 'Registro EMO'!$F$13:$F$4248, "Sin registro", 0, -1)</f>
        <v>20/11/2026</v>
      </c>
      <c r="N27" s="11" t="str" cm="1">
        <f t="array" ref="N27">_xlfn.XLOOKUP(B27&amp;"", 'Registro EMO'!$C$13:$C$4248&amp;"", 'Registro EMO'!$E$13:$E$4248, "Sin registro", 0, -1)</f>
        <v>Pre-Ocupacional</v>
      </c>
      <c r="O27" s="11" t="str">
        <f t="shared" si="2"/>
        <v>SI</v>
      </c>
      <c r="P27" s="150" t="str" cm="1">
        <f t="array" ref="P27">_xlfn.LET(
    _xlpm.resultado, _xlfn.XLOOKUP(B27&amp;"", 'Registro EMO'!$C$13:$C$4248&amp;"", 'Registro EMO'!$I$13:$I$4248, "NO", 0, -1),
    IF(_xlpm.resultado=0, "NO", _xlpm.resultado)
)</f>
        <v>31/11/24</v>
      </c>
      <c r="Q27" s="11" t="str">
        <f t="shared" ca="1" si="3"/>
        <v>Vigente</v>
      </c>
      <c r="R27" s="96"/>
      <c r="S27" s="11"/>
      <c r="T27" s="11" t="str">
        <f t="shared" si="4"/>
        <v/>
      </c>
      <c r="U27" s="11"/>
      <c r="V27" s="11" t="s">
        <v>796</v>
      </c>
      <c r="W27" s="29" t="s">
        <v>780</v>
      </c>
      <c r="X27" s="129"/>
      <c r="Y27" s="11"/>
      <c r="Z27" s="11"/>
      <c r="AA27" s="11"/>
      <c r="AB27" s="11"/>
      <c r="AC27" s="11"/>
      <c r="AD27" s="11"/>
      <c r="AE27" s="11"/>
      <c r="AF27" s="11"/>
      <c r="AG27" s="98"/>
      <c r="AH27" s="11" t="s">
        <v>32</v>
      </c>
    </row>
    <row r="28" spans="1:34" hidden="1" x14ac:dyDescent="0.3">
      <c r="A28" s="7" t="str">
        <f t="shared" si="0"/>
        <v>TR-1027</v>
      </c>
      <c r="B28" s="11">
        <v>76636339</v>
      </c>
      <c r="C28" s="141" t="s">
        <v>305</v>
      </c>
      <c r="D28" s="98">
        <v>38318</v>
      </c>
      <c r="E28" s="111">
        <f t="shared" ca="1" si="1"/>
        <v>21</v>
      </c>
      <c r="F28" s="132" t="s">
        <v>743</v>
      </c>
      <c r="G28" s="11" t="s">
        <v>254</v>
      </c>
      <c r="H28" s="139" t="s">
        <v>746</v>
      </c>
      <c r="I28" s="140" t="s">
        <v>747</v>
      </c>
      <c r="J28" s="132"/>
      <c r="K28" s="11" t="s">
        <v>773</v>
      </c>
      <c r="L28" s="96">
        <v>45062</v>
      </c>
      <c r="M28" s="96" t="str" cm="1">
        <f t="array" ref="M28">_xlfn.XLOOKUP(B28&amp;"", 'Registro EMO'!$C$13:$C$4248&amp;"", 'Registro EMO'!$F$13:$F$4248, "Sin registro", 0, -1)</f>
        <v>23/05/2026</v>
      </c>
      <c r="N28" s="11" t="str" cm="1">
        <f t="array" ref="N28">_xlfn.XLOOKUP(B28&amp;"", 'Registro EMO'!$C$13:$C$4248&amp;"", 'Registro EMO'!$E$13:$E$4248, "Sin registro", 0, -1)</f>
        <v>Pre-Ocupacional</v>
      </c>
      <c r="O28" s="11" t="str">
        <f t="shared" si="2"/>
        <v>SI</v>
      </c>
      <c r="P28" s="150" cm="1">
        <f t="array" ref="P28">_xlfn.LET(
    _xlpm.resultado, _xlfn.XLOOKUP(B28&amp;"", 'Registro EMO'!$C$13:$C$4248&amp;"", 'Registro EMO'!$I$13:$I$4248, "NO", 0, -1),
    IF(_xlpm.resultado=0, "NO", _xlpm.resultado)
)</f>
        <v>45807</v>
      </c>
      <c r="Q28" s="11" t="str">
        <f t="shared" ca="1" si="3"/>
        <v>Vigente</v>
      </c>
      <c r="R28" s="96"/>
      <c r="S28" s="11"/>
      <c r="T28" s="11" t="str">
        <f t="shared" si="4"/>
        <v/>
      </c>
      <c r="U28" s="11"/>
      <c r="V28" s="11" t="s">
        <v>796</v>
      </c>
      <c r="W28" s="29"/>
      <c r="X28" s="129"/>
      <c r="Y28" s="11"/>
      <c r="Z28" s="11"/>
      <c r="AA28" s="11"/>
      <c r="AB28" s="11"/>
      <c r="AC28" s="11"/>
      <c r="AD28" s="11"/>
      <c r="AE28" s="11"/>
      <c r="AF28" s="11"/>
      <c r="AG28" s="98"/>
      <c r="AH28" s="11" t="s">
        <v>32</v>
      </c>
    </row>
    <row r="29" spans="1:34" hidden="1" x14ac:dyDescent="0.3">
      <c r="A29" s="7" t="str">
        <f t="shared" si="0"/>
        <v>TR-1028</v>
      </c>
      <c r="B29" s="11" t="s">
        <v>306</v>
      </c>
      <c r="C29" s="141" t="s">
        <v>307</v>
      </c>
      <c r="D29" s="98">
        <v>36295</v>
      </c>
      <c r="E29" s="111">
        <f t="shared" ca="1" si="1"/>
        <v>26</v>
      </c>
      <c r="F29" s="132" t="s">
        <v>743</v>
      </c>
      <c r="G29" s="11" t="s">
        <v>254</v>
      </c>
      <c r="H29" s="139" t="s">
        <v>746</v>
      </c>
      <c r="I29" s="140" t="s">
        <v>747</v>
      </c>
      <c r="J29" s="132"/>
      <c r="K29" s="11" t="s">
        <v>773</v>
      </c>
      <c r="L29" s="96">
        <v>45769</v>
      </c>
      <c r="M29" s="96" t="str" cm="1">
        <f t="array" ref="M29">_xlfn.XLOOKUP(B29&amp;"", 'Registro EMO'!$C$13:$C$4248&amp;"", 'Registro EMO'!$F$13:$F$4248, "Sin registro", 0, -1)</f>
        <v>Sin registro</v>
      </c>
      <c r="N29" s="11" t="str" cm="1">
        <f t="array" ref="N29">_xlfn.XLOOKUP(B29&amp;"", 'Registro EMO'!$C$13:$C$4248&amp;"", 'Registro EMO'!$E$13:$E$4248, "Sin registro", 0, -1)</f>
        <v>Sin registro</v>
      </c>
      <c r="O29" s="11" t="str">
        <f t="shared" si="2"/>
        <v>NO</v>
      </c>
      <c r="P29" s="130" t="str" cm="1">
        <f t="array" ref="P29">_xlfn.LET(
    _xlpm.resultado, _xlfn.XLOOKUP(B29&amp;"", 'Registro EMO'!$C$13:$C$4248&amp;"", 'Registro EMO'!$I$13:$I$4248, "NO", 0, -1),
    IF(_xlpm.resultado=0, "NO", _xlpm.resultado)
)</f>
        <v>NO</v>
      </c>
      <c r="Q29" s="11" t="str">
        <f t="shared" ca="1" si="3"/>
        <v>Pendiente</v>
      </c>
      <c r="R29" s="96"/>
      <c r="S29" s="11"/>
      <c r="T29" s="11" t="str">
        <f t="shared" si="4"/>
        <v/>
      </c>
      <c r="U29" s="11"/>
      <c r="V29" s="11"/>
      <c r="W29" s="29"/>
      <c r="X29" s="129"/>
      <c r="Y29" s="11"/>
      <c r="Z29" s="11"/>
      <c r="AA29" s="11"/>
      <c r="AB29" s="11"/>
      <c r="AC29" s="11"/>
      <c r="AD29" s="11"/>
      <c r="AE29" s="11"/>
      <c r="AF29" s="11"/>
      <c r="AG29" s="98"/>
      <c r="AH29" s="11"/>
    </row>
    <row r="30" spans="1:34" hidden="1" x14ac:dyDescent="0.3">
      <c r="A30" s="7" t="str">
        <f t="shared" si="0"/>
        <v>TR-1029</v>
      </c>
      <c r="B30" s="11" t="s">
        <v>308</v>
      </c>
      <c r="C30" s="141" t="s">
        <v>309</v>
      </c>
      <c r="D30" s="98">
        <v>37146</v>
      </c>
      <c r="E30" s="111">
        <f t="shared" ca="1" si="1"/>
        <v>24</v>
      </c>
      <c r="F30" s="132" t="s">
        <v>743</v>
      </c>
      <c r="G30" s="11" t="s">
        <v>254</v>
      </c>
      <c r="H30" s="139" t="s">
        <v>746</v>
      </c>
      <c r="I30" s="140" t="s">
        <v>751</v>
      </c>
      <c r="J30" s="132"/>
      <c r="K30" s="11" t="s">
        <v>773</v>
      </c>
      <c r="L30" s="96">
        <v>45931</v>
      </c>
      <c r="M30" s="96" t="str" cm="1">
        <f t="array" ref="M30">_xlfn.XLOOKUP(B30&amp;"", 'Registro EMO'!$C$13:$C$4248&amp;"", 'Registro EMO'!$F$13:$F$4248, "Sin registro", 0, -1)</f>
        <v>Sin registro</v>
      </c>
      <c r="N30" s="11" t="str" cm="1">
        <f t="array" ref="N30">_xlfn.XLOOKUP(B30&amp;"", 'Registro EMO'!$C$13:$C$4248&amp;"", 'Registro EMO'!$E$13:$E$4248, "Sin registro", 0, -1)</f>
        <v>Sin registro</v>
      </c>
      <c r="O30" s="11" t="str">
        <f t="shared" si="2"/>
        <v>NO</v>
      </c>
      <c r="P30" s="130" t="str" cm="1">
        <f t="array" ref="P30">_xlfn.LET(
    _xlpm.resultado, _xlfn.XLOOKUP(B30&amp;"", 'Registro EMO'!$C$13:$C$4248&amp;"", 'Registro EMO'!$I$13:$I$4248, "NO", 0, -1),
    IF(_xlpm.resultado=0, "NO", _xlpm.resultado)
)</f>
        <v>NO</v>
      </c>
      <c r="Q30" s="11" t="str">
        <f t="shared" ca="1" si="3"/>
        <v>Pendiente</v>
      </c>
      <c r="R30" s="96"/>
      <c r="S30" s="11"/>
      <c r="T30" s="11" t="str">
        <f t="shared" si="4"/>
        <v/>
      </c>
      <c r="U30" s="11"/>
      <c r="V30" s="11"/>
      <c r="W30" s="29"/>
      <c r="X30" s="129"/>
      <c r="Y30" s="11"/>
      <c r="Z30" s="11"/>
      <c r="AA30" s="11"/>
      <c r="AB30" s="11"/>
      <c r="AC30" s="11"/>
      <c r="AD30" s="11"/>
      <c r="AE30" s="11"/>
      <c r="AF30" s="11"/>
      <c r="AG30" s="98"/>
      <c r="AH30" s="11"/>
    </row>
    <row r="31" spans="1:34" hidden="1" x14ac:dyDescent="0.3">
      <c r="A31" s="7" t="str">
        <f t="shared" si="0"/>
        <v>TR-1030</v>
      </c>
      <c r="B31" s="11" t="s">
        <v>310</v>
      </c>
      <c r="C31" s="141" t="s">
        <v>311</v>
      </c>
      <c r="D31" s="98">
        <v>34915</v>
      </c>
      <c r="E31" s="111">
        <f t="shared" ca="1" si="1"/>
        <v>30</v>
      </c>
      <c r="F31" s="132" t="s">
        <v>743</v>
      </c>
      <c r="G31" s="11" t="s">
        <v>254</v>
      </c>
      <c r="H31" s="139" t="s">
        <v>749</v>
      </c>
      <c r="I31" s="140" t="s">
        <v>750</v>
      </c>
      <c r="J31" s="132"/>
      <c r="K31" s="11" t="s">
        <v>773</v>
      </c>
      <c r="L31" s="96">
        <v>44166</v>
      </c>
      <c r="M31" s="96" t="str" cm="1">
        <f t="array" ref="M31">_xlfn.XLOOKUP(B31&amp;"", 'Registro EMO'!$C$13:$C$4248&amp;"", 'Registro EMO'!$F$13:$F$4248, "Sin registro", 0, -1)</f>
        <v>27/04/2026</v>
      </c>
      <c r="N31" s="11" t="str" cm="1">
        <f t="array" ref="N31">_xlfn.XLOOKUP(B31&amp;"", 'Registro EMO'!$C$13:$C$4248&amp;"", 'Registro EMO'!$E$13:$E$4248, "Sin registro", 0, -1)</f>
        <v>Pre-Ocupacional</v>
      </c>
      <c r="O31" s="11" t="str">
        <f t="shared" si="2"/>
        <v>NO</v>
      </c>
      <c r="P31" s="130" t="str" cm="1">
        <f t="array" ref="P31">_xlfn.LET(
    _xlpm.resultado, _xlfn.XLOOKUP(B31&amp;"", 'Registro EMO'!$C$13:$C$4248&amp;"", 'Registro EMO'!$I$13:$I$4248, "NO", 0, -1),
    IF(_xlpm.resultado=0, "NO", _xlpm.resultado)
)</f>
        <v>NO</v>
      </c>
      <c r="Q31" s="11" t="str">
        <f t="shared" ca="1" si="3"/>
        <v>Vigente</v>
      </c>
      <c r="R31" s="96"/>
      <c r="S31" s="11"/>
      <c r="T31" s="11" t="str">
        <f t="shared" si="4"/>
        <v/>
      </c>
      <c r="U31" s="11"/>
      <c r="V31" s="11" t="s">
        <v>796</v>
      </c>
      <c r="W31" s="29" t="s">
        <v>783</v>
      </c>
      <c r="X31" s="129"/>
      <c r="Y31" s="11"/>
      <c r="Z31" s="11"/>
      <c r="AA31" s="11"/>
      <c r="AB31" s="11"/>
      <c r="AC31" s="11"/>
      <c r="AD31" s="11"/>
      <c r="AE31" s="11"/>
      <c r="AF31" s="11"/>
      <c r="AG31" s="98"/>
      <c r="AH31" s="11" t="s">
        <v>32</v>
      </c>
    </row>
    <row r="32" spans="1:34" hidden="1" x14ac:dyDescent="0.3">
      <c r="A32" s="7" t="str">
        <f t="shared" si="0"/>
        <v>TR-1031</v>
      </c>
      <c r="B32" s="11" t="s">
        <v>312</v>
      </c>
      <c r="C32" s="141" t="s">
        <v>313</v>
      </c>
      <c r="D32" s="98">
        <v>31944</v>
      </c>
      <c r="E32" s="111">
        <f t="shared" ca="1" si="1"/>
        <v>38</v>
      </c>
      <c r="F32" s="132" t="s">
        <v>743</v>
      </c>
      <c r="G32" s="11" t="s">
        <v>254</v>
      </c>
      <c r="H32" s="139" t="s">
        <v>746</v>
      </c>
      <c r="I32" s="140" t="s">
        <v>747</v>
      </c>
      <c r="J32" s="132"/>
      <c r="K32" s="11" t="s">
        <v>773</v>
      </c>
      <c r="L32" s="96">
        <v>45846</v>
      </c>
      <c r="M32" s="96" t="str" cm="1">
        <f t="array" ref="M32">_xlfn.XLOOKUP(B32&amp;"", 'Registro EMO'!$C$13:$C$4248&amp;"", 'Registro EMO'!$F$13:$F$4248, "Sin registro", 0, -1)</f>
        <v>Sin registro</v>
      </c>
      <c r="N32" s="11" t="str" cm="1">
        <f t="array" ref="N32">_xlfn.XLOOKUP(B32&amp;"", 'Registro EMO'!$C$13:$C$4248&amp;"", 'Registro EMO'!$E$13:$E$4248, "Sin registro", 0, -1)</f>
        <v>Sin registro</v>
      </c>
      <c r="O32" s="11" t="str">
        <f t="shared" si="2"/>
        <v>NO</v>
      </c>
      <c r="P32" s="130" t="str" cm="1">
        <f t="array" ref="P32">_xlfn.LET(
    _xlpm.resultado, _xlfn.XLOOKUP(B32&amp;"", 'Registro EMO'!$C$13:$C$4248&amp;"", 'Registro EMO'!$I$13:$I$4248, "NO", 0, -1),
    IF(_xlpm.resultado=0, "NO", _xlpm.resultado)
)</f>
        <v>NO</v>
      </c>
      <c r="Q32" s="11" t="str">
        <f t="shared" ca="1" si="3"/>
        <v>Pendiente</v>
      </c>
      <c r="R32" s="96"/>
      <c r="S32" s="11"/>
      <c r="T32" s="11" t="str">
        <f t="shared" si="4"/>
        <v/>
      </c>
      <c r="U32" s="11"/>
      <c r="V32" s="11"/>
      <c r="W32" s="29"/>
      <c r="X32" s="129"/>
      <c r="Y32" s="11"/>
      <c r="Z32" s="11"/>
      <c r="AA32" s="11"/>
      <c r="AB32" s="11"/>
      <c r="AC32" s="11"/>
      <c r="AD32" s="11"/>
      <c r="AE32" s="11"/>
      <c r="AF32" s="11"/>
      <c r="AG32" s="98"/>
      <c r="AH32" s="11"/>
    </row>
    <row r="33" spans="1:34" hidden="1" x14ac:dyDescent="0.3">
      <c r="A33" s="7" t="str">
        <f t="shared" si="0"/>
        <v>TR-1032</v>
      </c>
      <c r="B33" s="11" t="s">
        <v>314</v>
      </c>
      <c r="C33" s="141" t="s">
        <v>315</v>
      </c>
      <c r="D33" s="98">
        <v>34521</v>
      </c>
      <c r="E33" s="111">
        <f t="shared" ca="1" si="1"/>
        <v>31</v>
      </c>
      <c r="F33" s="132" t="s">
        <v>743</v>
      </c>
      <c r="G33" s="11" t="s">
        <v>254</v>
      </c>
      <c r="H33" s="139" t="s">
        <v>746</v>
      </c>
      <c r="I33" s="140" t="s">
        <v>751</v>
      </c>
      <c r="J33" s="132"/>
      <c r="K33" s="11" t="s">
        <v>773</v>
      </c>
      <c r="L33" s="96">
        <v>45828</v>
      </c>
      <c r="M33" s="96" t="str" cm="1">
        <f t="array" ref="M33">_xlfn.XLOOKUP(B33&amp;"", 'Registro EMO'!$C$13:$C$4248&amp;"", 'Registro EMO'!$F$13:$F$4248, "Sin registro", 0, -1)</f>
        <v>Sin registro</v>
      </c>
      <c r="N33" s="11" t="str" cm="1">
        <f t="array" ref="N33">_xlfn.XLOOKUP(B33&amp;"", 'Registro EMO'!$C$13:$C$4248&amp;"", 'Registro EMO'!$E$13:$E$4248, "Sin registro", 0, -1)</f>
        <v>Sin registro</v>
      </c>
      <c r="O33" s="11" t="str">
        <f t="shared" si="2"/>
        <v>NO</v>
      </c>
      <c r="P33" s="130" t="str" cm="1">
        <f t="array" ref="P33">_xlfn.LET(
    _xlpm.resultado, _xlfn.XLOOKUP(B33&amp;"", 'Registro EMO'!$C$13:$C$4248&amp;"", 'Registro EMO'!$I$13:$I$4248, "NO", 0, -1),
    IF(_xlpm.resultado=0, "NO", _xlpm.resultado)
)</f>
        <v>NO</v>
      </c>
      <c r="Q33" s="11" t="str">
        <f t="shared" ca="1" si="3"/>
        <v>Pendiente</v>
      </c>
      <c r="R33" s="96"/>
      <c r="S33" s="11"/>
      <c r="T33" s="11" t="str">
        <f t="shared" si="4"/>
        <v/>
      </c>
      <c r="U33" s="11"/>
      <c r="V33" s="11"/>
      <c r="W33" s="29"/>
      <c r="X33" s="129"/>
      <c r="Y33" s="11"/>
      <c r="Z33" s="11"/>
      <c r="AA33" s="11"/>
      <c r="AB33" s="11"/>
      <c r="AC33" s="11"/>
      <c r="AD33" s="11"/>
      <c r="AE33" s="11"/>
      <c r="AF33" s="11"/>
      <c r="AG33" s="98"/>
      <c r="AH33" s="11"/>
    </row>
    <row r="34" spans="1:34" hidden="1" x14ac:dyDescent="0.3">
      <c r="A34" s="7" t="str">
        <f t="shared" si="0"/>
        <v>TR-1033</v>
      </c>
      <c r="B34" s="11" t="s">
        <v>316</v>
      </c>
      <c r="C34" s="141" t="s">
        <v>317</v>
      </c>
      <c r="D34" s="98">
        <v>39387</v>
      </c>
      <c r="E34" s="111">
        <f t="shared" ca="1" si="1"/>
        <v>18</v>
      </c>
      <c r="F34" s="132" t="s">
        <v>743</v>
      </c>
      <c r="G34" s="11" t="s">
        <v>254</v>
      </c>
      <c r="H34" s="139" t="s">
        <v>746</v>
      </c>
      <c r="I34" s="140" t="s">
        <v>751</v>
      </c>
      <c r="J34" s="132"/>
      <c r="K34" s="11" t="s">
        <v>773</v>
      </c>
      <c r="L34" s="96">
        <v>45981</v>
      </c>
      <c r="M34" s="96" t="str" cm="1">
        <f t="array" ref="M34">_xlfn.XLOOKUP(B34&amp;"", 'Registro EMO'!$C$13:$C$4248&amp;"", 'Registro EMO'!$F$13:$F$4248, "Sin registro", 0, -1)</f>
        <v>Sin registro</v>
      </c>
      <c r="N34" s="11" t="str" cm="1">
        <f t="array" ref="N34">_xlfn.XLOOKUP(B34&amp;"", 'Registro EMO'!$C$13:$C$4248&amp;"", 'Registro EMO'!$E$13:$E$4248, "Sin registro", 0, -1)</f>
        <v>Sin registro</v>
      </c>
      <c r="O34" s="11" t="str">
        <f t="shared" si="2"/>
        <v>NO</v>
      </c>
      <c r="P34" s="130" t="str" cm="1">
        <f t="array" ref="P34">_xlfn.LET(
    _xlpm.resultado, _xlfn.XLOOKUP(B34&amp;"", 'Registro EMO'!$C$13:$C$4248&amp;"", 'Registro EMO'!$I$13:$I$4248, "NO", 0, -1),
    IF(_xlpm.resultado=0, "NO", _xlpm.resultado)
)</f>
        <v>NO</v>
      </c>
      <c r="Q34" s="11" t="str">
        <f t="shared" ca="1" si="3"/>
        <v>Pendiente</v>
      </c>
      <c r="R34" s="96"/>
      <c r="S34" s="11"/>
      <c r="T34" s="11" t="str">
        <f t="shared" si="4"/>
        <v/>
      </c>
      <c r="U34" s="11"/>
      <c r="V34" s="11"/>
      <c r="W34" s="29"/>
      <c r="X34" s="129"/>
      <c r="Y34" s="11"/>
      <c r="Z34" s="11"/>
      <c r="AA34" s="11"/>
      <c r="AB34" s="11"/>
      <c r="AC34" s="11"/>
      <c r="AD34" s="11"/>
      <c r="AE34" s="11"/>
      <c r="AF34" s="11"/>
      <c r="AG34" s="98"/>
      <c r="AH34" s="11"/>
    </row>
    <row r="35" spans="1:34" hidden="1" x14ac:dyDescent="0.3">
      <c r="A35" s="7" t="str">
        <f t="shared" si="0"/>
        <v>TR-1034</v>
      </c>
      <c r="B35" s="11" t="s">
        <v>318</v>
      </c>
      <c r="C35" s="141" t="s">
        <v>319</v>
      </c>
      <c r="D35" s="98">
        <v>35866</v>
      </c>
      <c r="E35" s="111">
        <f t="shared" ca="1" si="1"/>
        <v>28</v>
      </c>
      <c r="F35" s="132" t="s">
        <v>743</v>
      </c>
      <c r="G35" s="11" t="s">
        <v>254</v>
      </c>
      <c r="H35" s="139" t="s">
        <v>746</v>
      </c>
      <c r="I35" s="140" t="s">
        <v>747</v>
      </c>
      <c r="J35" s="132"/>
      <c r="K35" s="11" t="s">
        <v>773</v>
      </c>
      <c r="L35" s="96">
        <v>44292</v>
      </c>
      <c r="M35" s="96" t="str" cm="1">
        <f t="array" ref="M35">_xlfn.XLOOKUP(B35&amp;"", 'Registro EMO'!$C$13:$C$4248&amp;"", 'Registro EMO'!$F$13:$F$4248, "Sin registro", 0, -1)</f>
        <v>28/06/2026</v>
      </c>
      <c r="N35" s="11" t="str" cm="1">
        <f t="array" ref="N35">_xlfn.XLOOKUP(B35&amp;"", 'Registro EMO'!$C$13:$C$4248&amp;"", 'Registro EMO'!$E$13:$E$4248, "Sin registro", 0, -1)</f>
        <v>Pre-Ocupacional</v>
      </c>
      <c r="O35" s="11" t="str">
        <f t="shared" si="2"/>
        <v>SI</v>
      </c>
      <c r="P35" s="150" cm="1">
        <f t="array" ref="P35">_xlfn.LET(
    _xlpm.resultado, _xlfn.XLOOKUP(B35&amp;"", 'Registro EMO'!$C$13:$C$4248&amp;"", 'Registro EMO'!$I$13:$I$4248, "NO", 0, -1),
    IF(_xlpm.resultado=0, "NO", _xlpm.resultado)
)</f>
        <v>45443</v>
      </c>
      <c r="Q35" s="11" t="str">
        <f t="shared" ca="1" si="3"/>
        <v>Vigente</v>
      </c>
      <c r="R35" s="96"/>
      <c r="S35" s="11"/>
      <c r="T35" s="11" t="str">
        <f t="shared" si="4"/>
        <v/>
      </c>
      <c r="U35" s="11"/>
      <c r="V35" s="11" t="s">
        <v>796</v>
      </c>
      <c r="W35" s="29" t="s">
        <v>778</v>
      </c>
      <c r="X35" s="129"/>
      <c r="Y35" s="11"/>
      <c r="Z35" s="11"/>
      <c r="AA35" s="11"/>
      <c r="AB35" s="11"/>
      <c r="AC35" s="11"/>
      <c r="AD35" s="11"/>
      <c r="AE35" s="11"/>
      <c r="AF35" s="11"/>
      <c r="AG35" s="98"/>
      <c r="AH35" s="11" t="s">
        <v>32</v>
      </c>
    </row>
    <row r="36" spans="1:34" hidden="1" x14ac:dyDescent="0.3">
      <c r="A36" s="7" t="str">
        <f t="shared" si="0"/>
        <v>TR-1035</v>
      </c>
      <c r="B36" s="11" t="s">
        <v>320</v>
      </c>
      <c r="C36" s="141" t="s">
        <v>321</v>
      </c>
      <c r="D36" s="98">
        <v>34300</v>
      </c>
      <c r="E36" s="111">
        <f t="shared" ca="1" si="1"/>
        <v>32</v>
      </c>
      <c r="F36" s="132" t="s">
        <v>743</v>
      </c>
      <c r="G36" s="11" t="s">
        <v>254</v>
      </c>
      <c r="H36" s="139" t="s">
        <v>746</v>
      </c>
      <c r="I36" s="140" t="s">
        <v>747</v>
      </c>
      <c r="J36" s="132"/>
      <c r="K36" s="11" t="s">
        <v>773</v>
      </c>
      <c r="L36" s="96">
        <v>43862</v>
      </c>
      <c r="M36" s="96" t="str" cm="1">
        <f t="array" ref="M36">_xlfn.XLOOKUP(B36&amp;"", 'Registro EMO'!$C$13:$C$4248&amp;"", 'Registro EMO'!$F$13:$F$4248, "Sin registro", 0, -1)</f>
        <v>20/03/2026</v>
      </c>
      <c r="N36" s="11" t="str" cm="1">
        <f t="array" ref="N36">_xlfn.XLOOKUP(B36&amp;"", 'Registro EMO'!$C$13:$C$4248&amp;"", 'Registro EMO'!$E$13:$E$4248, "Sin registro", 0, -1)</f>
        <v>Pre-Ocupacional</v>
      </c>
      <c r="O36" s="11" t="str">
        <f t="shared" si="2"/>
        <v>SI</v>
      </c>
      <c r="P36" s="150" cm="1">
        <f t="array" ref="P36">_xlfn.LET(
    _xlpm.resultado, _xlfn.XLOOKUP(B36&amp;"", 'Registro EMO'!$C$13:$C$4248&amp;"", 'Registro EMO'!$I$13:$I$4248, "NO", 0, -1),
    IF(_xlpm.resultado=0, "NO", _xlpm.resultado)
)</f>
        <v>45015</v>
      </c>
      <c r="Q36" s="11" t="str">
        <f t="shared" ca="1" si="3"/>
        <v>Vigente</v>
      </c>
      <c r="R36" s="96"/>
      <c r="S36" s="11"/>
      <c r="T36" s="11" t="str">
        <f t="shared" si="4"/>
        <v/>
      </c>
      <c r="U36" s="11"/>
      <c r="V36" s="11" t="s">
        <v>796</v>
      </c>
      <c r="W36" s="29" t="s">
        <v>784</v>
      </c>
      <c r="X36" s="129"/>
      <c r="Y36" s="11"/>
      <c r="Z36" s="11"/>
      <c r="AA36" s="11"/>
      <c r="AB36" s="11"/>
      <c r="AC36" s="11"/>
      <c r="AD36" s="11"/>
      <c r="AE36" s="11"/>
      <c r="AF36" s="11"/>
      <c r="AG36" s="98"/>
      <c r="AH36" s="11" t="s">
        <v>32</v>
      </c>
    </row>
    <row r="37" spans="1:34" hidden="1" x14ac:dyDescent="0.3">
      <c r="A37" s="7" t="str">
        <f t="shared" si="0"/>
        <v>TR-1036</v>
      </c>
      <c r="B37" s="11" t="s">
        <v>322</v>
      </c>
      <c r="C37" s="141" t="s">
        <v>323</v>
      </c>
      <c r="D37" s="98">
        <v>34481</v>
      </c>
      <c r="E37" s="111">
        <f t="shared" ca="1" si="1"/>
        <v>31</v>
      </c>
      <c r="F37" s="132" t="s">
        <v>743</v>
      </c>
      <c r="G37" s="11" t="s">
        <v>254</v>
      </c>
      <c r="H37" s="139" t="s">
        <v>749</v>
      </c>
      <c r="I37" s="140" t="s">
        <v>750</v>
      </c>
      <c r="J37" s="132"/>
      <c r="K37" s="11" t="s">
        <v>773</v>
      </c>
      <c r="L37" s="96">
        <v>45307</v>
      </c>
      <c r="M37" s="96" t="str" cm="1">
        <f t="array" ref="M37">_xlfn.XLOOKUP(B37&amp;"", 'Registro EMO'!$C$13:$C$4248&amp;"", 'Registro EMO'!$F$13:$F$4248, "Sin registro", 0, -1)</f>
        <v>18/10/2026</v>
      </c>
      <c r="N37" s="11" t="str" cm="1">
        <f t="array" ref="N37">_xlfn.XLOOKUP(B37&amp;"", 'Registro EMO'!$C$13:$C$4248&amp;"", 'Registro EMO'!$E$13:$E$4248, "Sin registro", 0, -1)</f>
        <v>Pre-Ocupacional</v>
      </c>
      <c r="O37" s="11" t="str">
        <f t="shared" si="2"/>
        <v>SI</v>
      </c>
      <c r="P37" s="150" cm="1">
        <f t="array" ref="P37">_xlfn.LET(
    _xlpm.resultado, _xlfn.XLOOKUP(B37&amp;"", 'Registro EMO'!$C$13:$C$4248&amp;"", 'Registro EMO'!$I$13:$I$4248, "NO", 0, -1),
    IF(_xlpm.resultado=0, "NO", _xlpm.resultado)
)</f>
        <v>45960</v>
      </c>
      <c r="Q37" s="11" t="str">
        <f t="shared" ca="1" si="3"/>
        <v>Vigente</v>
      </c>
      <c r="R37" s="96"/>
      <c r="S37" s="11"/>
      <c r="T37" s="11" t="str">
        <f t="shared" si="4"/>
        <v/>
      </c>
      <c r="U37" s="11"/>
      <c r="V37" s="11" t="s">
        <v>796</v>
      </c>
      <c r="W37" s="29"/>
      <c r="X37" s="129"/>
      <c r="Y37" s="11"/>
      <c r="Z37" s="11"/>
      <c r="AA37" s="11"/>
      <c r="AB37" s="11"/>
      <c r="AC37" s="11"/>
      <c r="AD37" s="11"/>
      <c r="AE37" s="11"/>
      <c r="AF37" s="11"/>
      <c r="AG37" s="98"/>
      <c r="AH37" s="11" t="s">
        <v>32</v>
      </c>
    </row>
    <row r="38" spans="1:34" hidden="1" x14ac:dyDescent="0.3">
      <c r="A38" s="7" t="str">
        <f t="shared" si="0"/>
        <v>TR-1037</v>
      </c>
      <c r="B38" s="11" t="s">
        <v>324</v>
      </c>
      <c r="C38" s="141" t="s">
        <v>325</v>
      </c>
      <c r="D38" s="98">
        <v>37557</v>
      </c>
      <c r="E38" s="111">
        <f t="shared" ca="1" si="1"/>
        <v>23</v>
      </c>
      <c r="F38" s="132" t="s">
        <v>743</v>
      </c>
      <c r="G38" s="11" t="s">
        <v>254</v>
      </c>
      <c r="H38" s="139" t="s">
        <v>744</v>
      </c>
      <c r="I38" s="140" t="s">
        <v>756</v>
      </c>
      <c r="J38" s="132"/>
      <c r="K38" s="11" t="s">
        <v>773</v>
      </c>
      <c r="L38" s="96">
        <v>45551</v>
      </c>
      <c r="M38" s="96" t="str" cm="1">
        <f t="array" ref="M38">_xlfn.XLOOKUP(B38&amp;"", 'Registro EMO'!$C$13:$C$4248&amp;"", 'Registro EMO'!$F$13:$F$4248, "Sin registro", 0, -1)</f>
        <v>28/08/2026</v>
      </c>
      <c r="N38" s="11" t="str" cm="1">
        <f t="array" ref="N38">_xlfn.XLOOKUP(B38&amp;"", 'Registro EMO'!$C$13:$C$4248&amp;"", 'Registro EMO'!$E$13:$E$4248, "Sin registro", 0, -1)</f>
        <v>Pre-Ocupacional</v>
      </c>
      <c r="O38" s="11" t="str">
        <f t="shared" si="2"/>
        <v>NO</v>
      </c>
      <c r="P38" s="130" t="str" cm="1">
        <f t="array" ref="P38">_xlfn.LET(
    _xlpm.resultado, _xlfn.XLOOKUP(B38&amp;"", 'Registro EMO'!$C$13:$C$4248&amp;"", 'Registro EMO'!$I$13:$I$4248, "NO", 0, -1),
    IF(_xlpm.resultado=0, "NO", _xlpm.resultado)
)</f>
        <v>NO</v>
      </c>
      <c r="Q38" s="11" t="str">
        <f t="shared" ca="1" si="3"/>
        <v>Vigente</v>
      </c>
      <c r="R38" s="96"/>
      <c r="S38" s="11"/>
      <c r="T38" s="11" t="str">
        <f t="shared" si="4"/>
        <v/>
      </c>
      <c r="U38" s="11"/>
      <c r="V38" s="11" t="s">
        <v>796</v>
      </c>
      <c r="W38" s="29"/>
      <c r="X38" s="129"/>
      <c r="Y38" s="11"/>
      <c r="Z38" s="11"/>
      <c r="AA38" s="11"/>
      <c r="AB38" s="11"/>
      <c r="AC38" s="11"/>
      <c r="AD38" s="11"/>
      <c r="AE38" s="11"/>
      <c r="AF38" s="11"/>
      <c r="AG38" s="98"/>
      <c r="AH38" s="11" t="s">
        <v>32</v>
      </c>
    </row>
    <row r="39" spans="1:34" hidden="1" x14ac:dyDescent="0.3">
      <c r="A39" s="7" t="str">
        <f t="shared" si="0"/>
        <v>TR-1038</v>
      </c>
      <c r="B39" s="11" t="s">
        <v>326</v>
      </c>
      <c r="C39" s="141" t="s">
        <v>327</v>
      </c>
      <c r="D39" s="98">
        <v>38146</v>
      </c>
      <c r="E39" s="111">
        <f t="shared" ca="1" si="1"/>
        <v>21</v>
      </c>
      <c r="F39" s="132" t="s">
        <v>743</v>
      </c>
      <c r="G39" s="11" t="s">
        <v>254</v>
      </c>
      <c r="H39" s="139" t="s">
        <v>746</v>
      </c>
      <c r="I39" s="140" t="s">
        <v>751</v>
      </c>
      <c r="J39" s="132"/>
      <c r="K39" s="11" t="s">
        <v>773</v>
      </c>
      <c r="L39" s="96">
        <v>45953</v>
      </c>
      <c r="M39" s="96" t="str" cm="1">
        <f t="array" ref="M39">_xlfn.XLOOKUP(B39&amp;"", 'Registro EMO'!$C$13:$C$4248&amp;"", 'Registro EMO'!$F$13:$F$4248, "Sin registro", 0, -1)</f>
        <v>21/11/2026</v>
      </c>
      <c r="N39" s="11" t="str" cm="1">
        <f t="array" ref="N39">_xlfn.XLOOKUP(B39&amp;"", 'Registro EMO'!$C$13:$C$4248&amp;"", 'Registro EMO'!$E$13:$E$4248, "Sin registro", 0, -1)</f>
        <v>Pre-Ocupacional</v>
      </c>
      <c r="O39" s="11" t="str">
        <f t="shared" si="2"/>
        <v>SI</v>
      </c>
      <c r="P39" s="150" cm="1">
        <f t="array" ref="P39">_xlfn.LET(
    _xlpm.resultado, _xlfn.XLOOKUP(B39&amp;"", 'Registro EMO'!$C$13:$C$4248&amp;"", 'Registro EMO'!$I$13:$I$4248, "NO", 0, -1),
    IF(_xlpm.resultado=0, "NO", _xlpm.resultado)
)</f>
        <v>45535</v>
      </c>
      <c r="Q39" s="11" t="str">
        <f t="shared" ca="1" si="3"/>
        <v>Vigente</v>
      </c>
      <c r="R39" s="96"/>
      <c r="S39" s="11"/>
      <c r="T39" s="11" t="str">
        <f t="shared" si="4"/>
        <v/>
      </c>
      <c r="U39" s="11"/>
      <c r="V39" s="11" t="s">
        <v>796</v>
      </c>
      <c r="W39" s="29" t="s">
        <v>778</v>
      </c>
      <c r="X39" s="129"/>
      <c r="Y39" s="11"/>
      <c r="Z39" s="11"/>
      <c r="AA39" s="11"/>
      <c r="AB39" s="11"/>
      <c r="AC39" s="11"/>
      <c r="AD39" s="11"/>
      <c r="AE39" s="11"/>
      <c r="AF39" s="11"/>
      <c r="AG39" s="98"/>
      <c r="AH39" s="11" t="s">
        <v>32</v>
      </c>
    </row>
    <row r="40" spans="1:34" hidden="1" x14ac:dyDescent="0.3">
      <c r="A40" s="7" t="str">
        <f t="shared" si="0"/>
        <v>TR-1039</v>
      </c>
      <c r="B40" s="11" t="s">
        <v>328</v>
      </c>
      <c r="C40" s="141" t="s">
        <v>329</v>
      </c>
      <c r="D40" s="98">
        <v>31219</v>
      </c>
      <c r="E40" s="111">
        <f t="shared" ca="1" si="1"/>
        <v>40</v>
      </c>
      <c r="F40" s="132" t="s">
        <v>743</v>
      </c>
      <c r="G40" s="11" t="s">
        <v>254</v>
      </c>
      <c r="H40" s="139" t="s">
        <v>746</v>
      </c>
      <c r="I40" s="140" t="s">
        <v>751</v>
      </c>
      <c r="J40" s="132"/>
      <c r="K40" s="11" t="s">
        <v>774</v>
      </c>
      <c r="L40" s="96">
        <v>45754</v>
      </c>
      <c r="M40" s="96" t="str" cm="1">
        <f t="array" ref="M40">_xlfn.XLOOKUP(B40&amp;"", 'Registro EMO'!$C$13:$C$4248&amp;"", 'Registro EMO'!$F$13:$F$4248, "Sin registro", 0, -1)</f>
        <v>Sin registro</v>
      </c>
      <c r="N40" s="11" t="str" cm="1">
        <f t="array" ref="N40">_xlfn.XLOOKUP(B40&amp;"", 'Registro EMO'!$C$13:$C$4248&amp;"", 'Registro EMO'!$E$13:$E$4248, "Sin registro", 0, -1)</f>
        <v>Sin registro</v>
      </c>
      <c r="O40" s="11" t="str">
        <f t="shared" si="2"/>
        <v>NO</v>
      </c>
      <c r="P40" s="130" t="str" cm="1">
        <f t="array" ref="P40">_xlfn.LET(
    _xlpm.resultado, _xlfn.XLOOKUP(B40&amp;"", 'Registro EMO'!$C$13:$C$4248&amp;"", 'Registro EMO'!$I$13:$I$4248, "NO", 0, -1),
    IF(_xlpm.resultado=0, "NO", _xlpm.resultado)
)</f>
        <v>NO</v>
      </c>
      <c r="Q40" s="11" t="str">
        <f t="shared" ca="1" si="3"/>
        <v>Pendiente</v>
      </c>
      <c r="R40" s="96"/>
      <c r="S40" s="11"/>
      <c r="T40" s="11" t="str">
        <f t="shared" si="4"/>
        <v/>
      </c>
      <c r="U40" s="11"/>
      <c r="V40" s="11"/>
      <c r="W40" s="29"/>
      <c r="X40" s="129"/>
      <c r="Y40" s="11"/>
      <c r="Z40" s="11"/>
      <c r="AA40" s="11"/>
      <c r="AB40" s="11"/>
      <c r="AC40" s="11"/>
      <c r="AD40" s="11"/>
      <c r="AE40" s="11"/>
      <c r="AF40" s="11"/>
      <c r="AG40" s="98"/>
      <c r="AH40" s="11"/>
    </row>
    <row r="41" spans="1:34" hidden="1" x14ac:dyDescent="0.3">
      <c r="A41" s="7" t="str">
        <f t="shared" si="0"/>
        <v>TR-1040</v>
      </c>
      <c r="B41" s="11" t="s">
        <v>330</v>
      </c>
      <c r="C41" s="141" t="s">
        <v>331</v>
      </c>
      <c r="D41" s="98">
        <v>39153</v>
      </c>
      <c r="E41" s="111">
        <f t="shared" ca="1" si="1"/>
        <v>19</v>
      </c>
      <c r="F41" s="132" t="s">
        <v>743</v>
      </c>
      <c r="G41" s="11" t="s">
        <v>254</v>
      </c>
      <c r="H41" s="139" t="s">
        <v>752</v>
      </c>
      <c r="I41" s="140" t="s">
        <v>757</v>
      </c>
      <c r="J41" s="132"/>
      <c r="K41" s="11" t="s">
        <v>773</v>
      </c>
      <c r="L41" s="96">
        <v>39904</v>
      </c>
      <c r="M41" s="96" t="str" cm="1">
        <f t="array" ref="M41">_xlfn.XLOOKUP(B41&amp;"", 'Registro EMO'!$C$13:$C$4248&amp;"", 'Registro EMO'!$F$13:$F$4248, "Sin registro", 0, -1)</f>
        <v>Sin registro</v>
      </c>
      <c r="N41" s="11" t="str" cm="1">
        <f t="array" ref="N41">_xlfn.XLOOKUP(B41&amp;"", 'Registro EMO'!$C$13:$C$4248&amp;"", 'Registro EMO'!$E$13:$E$4248, "Sin registro", 0, -1)</f>
        <v>Sin registro</v>
      </c>
      <c r="O41" s="11" t="str">
        <f t="shared" si="2"/>
        <v>NO</v>
      </c>
      <c r="P41" s="130" t="str" cm="1">
        <f t="array" ref="P41">_xlfn.LET(
    _xlpm.resultado, _xlfn.XLOOKUP(B41&amp;"", 'Registro EMO'!$C$13:$C$4248&amp;"", 'Registro EMO'!$I$13:$I$4248, "NO", 0, -1),
    IF(_xlpm.resultado=0, "NO", _xlpm.resultado)
)</f>
        <v>NO</v>
      </c>
      <c r="Q41" s="11" t="str">
        <f t="shared" ca="1" si="3"/>
        <v>Pendiente</v>
      </c>
      <c r="R41" s="96"/>
      <c r="S41" s="11"/>
      <c r="T41" s="11" t="str">
        <f t="shared" si="4"/>
        <v/>
      </c>
      <c r="U41" s="11"/>
      <c r="V41" s="11"/>
      <c r="W41" s="29"/>
      <c r="X41" s="129"/>
      <c r="Y41" s="11"/>
      <c r="Z41" s="11"/>
      <c r="AA41" s="11"/>
      <c r="AB41" s="11"/>
      <c r="AC41" s="11"/>
      <c r="AD41" s="11"/>
      <c r="AE41" s="11"/>
      <c r="AF41" s="11"/>
      <c r="AG41" s="98"/>
      <c r="AH41" s="11"/>
    </row>
    <row r="42" spans="1:34" hidden="1" x14ac:dyDescent="0.3">
      <c r="A42" s="7" t="str">
        <f t="shared" si="0"/>
        <v>TR-1041</v>
      </c>
      <c r="B42" s="11" t="s">
        <v>332</v>
      </c>
      <c r="C42" s="141" t="s">
        <v>333</v>
      </c>
      <c r="D42" s="98">
        <v>35966</v>
      </c>
      <c r="E42" s="111">
        <f t="shared" ca="1" si="1"/>
        <v>27</v>
      </c>
      <c r="F42" s="132" t="s">
        <v>743</v>
      </c>
      <c r="G42" s="11" t="s">
        <v>254</v>
      </c>
      <c r="H42" s="139" t="s">
        <v>746</v>
      </c>
      <c r="I42" s="140" t="s">
        <v>751</v>
      </c>
      <c r="J42" s="132"/>
      <c r="K42" s="11" t="s">
        <v>773</v>
      </c>
      <c r="L42" s="96">
        <v>45748</v>
      </c>
      <c r="M42" s="96" t="str" cm="1">
        <f t="array" ref="M42">_xlfn.XLOOKUP(B42&amp;"", 'Registro EMO'!$C$13:$C$4248&amp;"", 'Registro EMO'!$F$13:$F$4248, "Sin registro", 0, -1)</f>
        <v>24/09/2026</v>
      </c>
      <c r="N42" s="11" t="str" cm="1">
        <f t="array" ref="N42">_xlfn.XLOOKUP(B42&amp;"", 'Registro EMO'!$C$13:$C$4248&amp;"", 'Registro EMO'!$E$13:$E$4248, "Sin registro", 0, -1)</f>
        <v>Pre-Ocupacional</v>
      </c>
      <c r="O42" s="11" t="str">
        <f t="shared" si="2"/>
        <v>SI</v>
      </c>
      <c r="P42" s="150" cm="1">
        <f t="array" ref="P42">_xlfn.LET(
    _xlpm.resultado, _xlfn.XLOOKUP(B42&amp;"", 'Registro EMO'!$C$13:$C$4248&amp;"", 'Registro EMO'!$I$13:$I$4248, "NO", 0, -1),
    IF(_xlpm.resultado=0, "NO", _xlpm.resultado)
)</f>
        <v>45565</v>
      </c>
      <c r="Q42" s="11" t="str">
        <f t="shared" ca="1" si="3"/>
        <v>Vigente</v>
      </c>
      <c r="R42" s="96"/>
      <c r="S42" s="11"/>
      <c r="T42" s="11" t="str">
        <f t="shared" si="4"/>
        <v/>
      </c>
      <c r="U42" s="11"/>
      <c r="V42" s="11" t="s">
        <v>796</v>
      </c>
      <c r="W42" s="29" t="s">
        <v>785</v>
      </c>
      <c r="X42" s="129"/>
      <c r="Y42" s="11"/>
      <c r="Z42" s="11"/>
      <c r="AA42" s="11"/>
      <c r="AB42" s="11"/>
      <c r="AC42" s="11"/>
      <c r="AD42" s="11"/>
      <c r="AE42" s="11"/>
      <c r="AF42" s="11"/>
      <c r="AG42" s="98"/>
      <c r="AH42" s="11" t="s">
        <v>32</v>
      </c>
    </row>
    <row r="43" spans="1:34" hidden="1" x14ac:dyDescent="0.3">
      <c r="A43" s="7" t="str">
        <f t="shared" si="0"/>
        <v>TR-1042</v>
      </c>
      <c r="B43" s="11" t="s">
        <v>334</v>
      </c>
      <c r="C43" s="141" t="s">
        <v>335</v>
      </c>
      <c r="D43" s="98">
        <v>28890</v>
      </c>
      <c r="E43" s="111">
        <f t="shared" ca="1" si="1"/>
        <v>47</v>
      </c>
      <c r="F43" s="132" t="s">
        <v>743</v>
      </c>
      <c r="G43" s="11" t="s">
        <v>254</v>
      </c>
      <c r="H43" s="139" t="s">
        <v>746</v>
      </c>
      <c r="I43" s="140" t="s">
        <v>747</v>
      </c>
      <c r="J43" s="132"/>
      <c r="K43" s="11" t="s">
        <v>773</v>
      </c>
      <c r="L43" s="96">
        <v>45980</v>
      </c>
      <c r="M43" s="96" t="str" cm="1">
        <f t="array" ref="M43">_xlfn.XLOOKUP(B43&amp;"", 'Registro EMO'!$C$13:$C$4248&amp;"", 'Registro EMO'!$F$13:$F$4248, "Sin registro", 0, -1)</f>
        <v>Sin registro</v>
      </c>
      <c r="N43" s="11" t="str" cm="1">
        <f t="array" ref="N43">_xlfn.XLOOKUP(B43&amp;"", 'Registro EMO'!$C$13:$C$4248&amp;"", 'Registro EMO'!$E$13:$E$4248, "Sin registro", 0, -1)</f>
        <v>Sin registro</v>
      </c>
      <c r="O43" s="11" t="str">
        <f t="shared" si="2"/>
        <v>NO</v>
      </c>
      <c r="P43" s="130" t="str" cm="1">
        <f t="array" ref="P43">_xlfn.LET(
    _xlpm.resultado, _xlfn.XLOOKUP(B43&amp;"", 'Registro EMO'!$C$13:$C$4248&amp;"", 'Registro EMO'!$I$13:$I$4248, "NO", 0, -1),
    IF(_xlpm.resultado=0, "NO", _xlpm.resultado)
)</f>
        <v>NO</v>
      </c>
      <c r="Q43" s="11" t="str">
        <f t="shared" ca="1" si="3"/>
        <v>Pendiente</v>
      </c>
      <c r="R43" s="96"/>
      <c r="S43" s="11"/>
      <c r="T43" s="11" t="str">
        <f t="shared" si="4"/>
        <v/>
      </c>
      <c r="U43" s="11"/>
      <c r="V43" s="11"/>
      <c r="W43" s="29"/>
      <c r="X43" s="129"/>
      <c r="Y43" s="11"/>
      <c r="Z43" s="11"/>
      <c r="AA43" s="11"/>
      <c r="AB43" s="11"/>
      <c r="AC43" s="11"/>
      <c r="AD43" s="11"/>
      <c r="AE43" s="11"/>
      <c r="AF43" s="11"/>
      <c r="AG43" s="98"/>
      <c r="AH43" s="11"/>
    </row>
    <row r="44" spans="1:34" hidden="1" x14ac:dyDescent="0.3">
      <c r="A44" s="7" t="str">
        <f t="shared" si="0"/>
        <v>TR-1043</v>
      </c>
      <c r="B44" s="11" t="s">
        <v>336</v>
      </c>
      <c r="C44" s="141" t="s">
        <v>337</v>
      </c>
      <c r="D44" s="98">
        <v>37778</v>
      </c>
      <c r="E44" s="111">
        <f t="shared" ca="1" si="1"/>
        <v>22</v>
      </c>
      <c r="F44" s="132" t="s">
        <v>743</v>
      </c>
      <c r="G44" s="11" t="s">
        <v>254</v>
      </c>
      <c r="H44" s="139" t="s">
        <v>746</v>
      </c>
      <c r="I44" s="140" t="s">
        <v>747</v>
      </c>
      <c r="J44" s="132"/>
      <c r="K44" s="11" t="s">
        <v>773</v>
      </c>
      <c r="L44" s="96">
        <v>44608</v>
      </c>
      <c r="M44" s="96" t="str" cm="1">
        <f t="array" ref="M44">_xlfn.XLOOKUP(B44&amp;"", 'Registro EMO'!$C$13:$C$4248&amp;"", 'Registro EMO'!$F$13:$F$4248, "Sin registro", 0, -1)</f>
        <v>Sin registro</v>
      </c>
      <c r="N44" s="11" t="str" cm="1">
        <f t="array" ref="N44">_xlfn.XLOOKUP(B44&amp;"", 'Registro EMO'!$C$13:$C$4248&amp;"", 'Registro EMO'!$E$13:$E$4248, "Sin registro", 0, -1)</f>
        <v>Sin registro</v>
      </c>
      <c r="O44" s="11" t="str">
        <f t="shared" si="2"/>
        <v>NO</v>
      </c>
      <c r="P44" s="130" t="str" cm="1">
        <f t="array" ref="P44">_xlfn.LET(
    _xlpm.resultado, _xlfn.XLOOKUP(B44&amp;"", 'Registro EMO'!$C$13:$C$4248&amp;"", 'Registro EMO'!$I$13:$I$4248, "NO", 0, -1),
    IF(_xlpm.resultado=0, "NO", _xlpm.resultado)
)</f>
        <v>NO</v>
      </c>
      <c r="Q44" s="11" t="str">
        <f t="shared" ca="1" si="3"/>
        <v>Pendiente</v>
      </c>
      <c r="R44" s="96"/>
      <c r="S44" s="11"/>
      <c r="T44" s="11" t="str">
        <f t="shared" si="4"/>
        <v/>
      </c>
      <c r="U44" s="11"/>
      <c r="V44" s="11"/>
      <c r="W44" s="29"/>
      <c r="X44" s="129"/>
      <c r="Y44" s="11"/>
      <c r="Z44" s="11"/>
      <c r="AA44" s="11"/>
      <c r="AB44" s="11"/>
      <c r="AC44" s="11"/>
      <c r="AD44" s="11"/>
      <c r="AE44" s="11"/>
      <c r="AF44" s="11"/>
      <c r="AG44" s="98"/>
      <c r="AH44" s="11"/>
    </row>
    <row r="45" spans="1:34" hidden="1" x14ac:dyDescent="0.3">
      <c r="A45" s="7" t="str">
        <f t="shared" si="0"/>
        <v>TR-1044</v>
      </c>
      <c r="B45" s="11" t="s">
        <v>338</v>
      </c>
      <c r="C45" s="141" t="s">
        <v>339</v>
      </c>
      <c r="D45" s="98">
        <v>35300</v>
      </c>
      <c r="E45" s="111">
        <f t="shared" ca="1" si="1"/>
        <v>29</v>
      </c>
      <c r="F45" s="132" t="s">
        <v>743</v>
      </c>
      <c r="G45" s="11" t="s">
        <v>254</v>
      </c>
      <c r="H45" s="139" t="s">
        <v>754</v>
      </c>
      <c r="I45" s="140" t="s">
        <v>758</v>
      </c>
      <c r="J45" s="132"/>
      <c r="K45" s="11" t="s">
        <v>773</v>
      </c>
      <c r="L45" s="96">
        <v>43785</v>
      </c>
      <c r="M45" s="96" t="str" cm="1">
        <f t="array" ref="M45">_xlfn.XLOOKUP(B45&amp;"", 'Registro EMO'!$C$13:$C$4248&amp;"", 'Registro EMO'!$F$13:$F$4248, "Sin registro", 0, -1)</f>
        <v>22/12/2026</v>
      </c>
      <c r="N45" s="11" t="str" cm="1">
        <f t="array" ref="N45">_xlfn.XLOOKUP(B45&amp;"", 'Registro EMO'!$C$13:$C$4248&amp;"", 'Registro EMO'!$E$13:$E$4248, "Sin registro", 0, -1)</f>
        <v>Pre-Ocupacional</v>
      </c>
      <c r="O45" s="11" t="str">
        <f t="shared" si="2"/>
        <v>NO</v>
      </c>
      <c r="P45" s="130" t="str" cm="1">
        <f t="array" ref="P45">_xlfn.LET(
    _xlpm.resultado, _xlfn.XLOOKUP(B45&amp;"", 'Registro EMO'!$C$13:$C$4248&amp;"", 'Registro EMO'!$I$13:$I$4248, "NO", 0, -1),
    IF(_xlpm.resultado=0, "NO", _xlpm.resultado)
)</f>
        <v>NO</v>
      </c>
      <c r="Q45" s="11" t="str">
        <f t="shared" ca="1" si="3"/>
        <v>Vigente</v>
      </c>
      <c r="R45" s="96"/>
      <c r="S45" s="11"/>
      <c r="T45" s="11" t="str">
        <f t="shared" si="4"/>
        <v/>
      </c>
      <c r="U45" s="11"/>
      <c r="V45" s="11" t="s">
        <v>796</v>
      </c>
      <c r="W45" s="29" t="s">
        <v>777</v>
      </c>
      <c r="X45" s="129"/>
      <c r="Y45" s="11"/>
      <c r="Z45" s="11"/>
      <c r="AA45" s="11"/>
      <c r="AB45" s="11"/>
      <c r="AC45" s="11"/>
      <c r="AD45" s="11"/>
      <c r="AE45" s="11"/>
      <c r="AF45" s="11"/>
      <c r="AG45" s="98"/>
      <c r="AH45" s="11" t="s">
        <v>32</v>
      </c>
    </row>
    <row r="46" spans="1:34" hidden="1" x14ac:dyDescent="0.3">
      <c r="A46" s="7" t="str">
        <f t="shared" si="0"/>
        <v>TR-1045</v>
      </c>
      <c r="B46" s="11" t="s">
        <v>340</v>
      </c>
      <c r="C46" s="141" t="s">
        <v>341</v>
      </c>
      <c r="D46" s="98">
        <v>37441</v>
      </c>
      <c r="E46" s="111">
        <f t="shared" ca="1" si="1"/>
        <v>23</v>
      </c>
      <c r="F46" s="132" t="s">
        <v>743</v>
      </c>
      <c r="G46" s="11" t="s">
        <v>254</v>
      </c>
      <c r="H46" s="139" t="s">
        <v>744</v>
      </c>
      <c r="I46" s="140" t="s">
        <v>748</v>
      </c>
      <c r="J46" s="132"/>
      <c r="K46" s="11" t="s">
        <v>773</v>
      </c>
      <c r="L46" s="96">
        <v>45946</v>
      </c>
      <c r="M46" s="96" t="str" cm="1">
        <f t="array" ref="M46">_xlfn.XLOOKUP(B46&amp;"", 'Registro EMO'!$C$13:$C$4248&amp;"", 'Registro EMO'!$F$13:$F$4248, "Sin registro", 0, -1)</f>
        <v>16/09/2026</v>
      </c>
      <c r="N46" s="11" t="str" cm="1">
        <f t="array" ref="N46">_xlfn.XLOOKUP(B46&amp;"", 'Registro EMO'!$C$13:$C$4248&amp;"", 'Registro EMO'!$E$13:$E$4248, "Sin registro", 0, -1)</f>
        <v>Pre-Ocupacional</v>
      </c>
      <c r="O46" s="11" t="str">
        <f t="shared" si="2"/>
        <v>SI</v>
      </c>
      <c r="P46" s="150" cm="1">
        <f t="array" ref="P46">_xlfn.LET(
    _xlpm.resultado, _xlfn.XLOOKUP(B46&amp;"", 'Registro EMO'!$C$13:$C$4248&amp;"", 'Registro EMO'!$I$13:$I$4248, "NO", 0, -1),
    IF(_xlpm.resultado=0, "NO", _xlpm.resultado)
)</f>
        <v>45930</v>
      </c>
      <c r="Q46" s="11" t="str">
        <f t="shared" ca="1" si="3"/>
        <v>Vigente</v>
      </c>
      <c r="R46" s="96"/>
      <c r="S46" s="11"/>
      <c r="T46" s="11" t="str">
        <f t="shared" si="4"/>
        <v/>
      </c>
      <c r="U46" s="11"/>
      <c r="V46" s="11" t="s">
        <v>807</v>
      </c>
      <c r="W46" s="29"/>
      <c r="X46" s="129"/>
      <c r="Y46" s="11"/>
      <c r="Z46" s="11"/>
      <c r="AA46" s="11"/>
      <c r="AB46" s="11"/>
      <c r="AC46" s="11"/>
      <c r="AD46" s="11"/>
      <c r="AE46" s="11"/>
      <c r="AF46" s="11"/>
      <c r="AG46" s="98"/>
      <c r="AH46" s="11" t="s">
        <v>32</v>
      </c>
    </row>
    <row r="47" spans="1:34" hidden="1" x14ac:dyDescent="0.3">
      <c r="A47" s="7" t="str">
        <f t="shared" si="0"/>
        <v>TR-1046</v>
      </c>
      <c r="B47" s="11" t="s">
        <v>342</v>
      </c>
      <c r="C47" s="141" t="s">
        <v>343</v>
      </c>
      <c r="D47" s="98">
        <v>37656</v>
      </c>
      <c r="E47" s="111">
        <f t="shared" ca="1" si="1"/>
        <v>23</v>
      </c>
      <c r="F47" s="132" t="s">
        <v>743</v>
      </c>
      <c r="G47" s="11" t="s">
        <v>254</v>
      </c>
      <c r="H47" s="139" t="s">
        <v>746</v>
      </c>
      <c r="I47" s="140" t="s">
        <v>747</v>
      </c>
      <c r="J47" s="132"/>
      <c r="K47" s="11" t="s">
        <v>773</v>
      </c>
      <c r="L47" s="96">
        <v>42979</v>
      </c>
      <c r="M47" s="96" t="str" cm="1">
        <f t="array" ref="M47">_xlfn.XLOOKUP(B47&amp;"", 'Registro EMO'!$C$13:$C$4248&amp;"", 'Registro EMO'!$F$13:$F$4248, "Sin registro", 0, -1)</f>
        <v>Sin registro</v>
      </c>
      <c r="N47" s="11" t="str" cm="1">
        <f t="array" ref="N47">_xlfn.XLOOKUP(B47&amp;"", 'Registro EMO'!$C$13:$C$4248&amp;"", 'Registro EMO'!$E$13:$E$4248, "Sin registro", 0, -1)</f>
        <v>Sin registro</v>
      </c>
      <c r="O47" s="11" t="str">
        <f t="shared" si="2"/>
        <v>NO</v>
      </c>
      <c r="P47" s="130" t="str" cm="1">
        <f t="array" ref="P47">_xlfn.LET(
    _xlpm.resultado, _xlfn.XLOOKUP(B47&amp;"", 'Registro EMO'!$C$13:$C$4248&amp;"", 'Registro EMO'!$I$13:$I$4248, "NO", 0, -1),
    IF(_xlpm.resultado=0, "NO", _xlpm.resultado)
)</f>
        <v>NO</v>
      </c>
      <c r="Q47" s="11" t="str">
        <f t="shared" ca="1" si="3"/>
        <v>Pendiente</v>
      </c>
      <c r="R47" s="96"/>
      <c r="S47" s="11"/>
      <c r="T47" s="11" t="str">
        <f t="shared" si="4"/>
        <v/>
      </c>
      <c r="U47" s="11"/>
      <c r="V47" s="11"/>
      <c r="W47" s="29"/>
      <c r="X47" s="129"/>
      <c r="Y47" s="11"/>
      <c r="Z47" s="11"/>
      <c r="AA47" s="11"/>
      <c r="AB47" s="11"/>
      <c r="AC47" s="11"/>
      <c r="AD47" s="11"/>
      <c r="AE47" s="11"/>
      <c r="AF47" s="11"/>
      <c r="AG47" s="98"/>
      <c r="AH47" s="11"/>
    </row>
    <row r="48" spans="1:34" hidden="1" x14ac:dyDescent="0.3">
      <c r="A48" s="7" t="str">
        <f t="shared" si="0"/>
        <v>TR-1047</v>
      </c>
      <c r="B48" s="11" t="s">
        <v>344</v>
      </c>
      <c r="C48" s="141" t="s">
        <v>345</v>
      </c>
      <c r="D48" s="98">
        <v>32830</v>
      </c>
      <c r="E48" s="111">
        <f t="shared" ca="1" si="1"/>
        <v>36</v>
      </c>
      <c r="F48" s="132" t="s">
        <v>743</v>
      </c>
      <c r="G48" s="11" t="s">
        <v>254</v>
      </c>
      <c r="H48" s="139" t="s">
        <v>746</v>
      </c>
      <c r="I48" s="140" t="s">
        <v>747</v>
      </c>
      <c r="J48" s="132"/>
      <c r="K48" s="11" t="s">
        <v>773</v>
      </c>
      <c r="L48" s="96">
        <v>45108</v>
      </c>
      <c r="M48" s="96" cm="1">
        <f t="array" ref="M48">_xlfn.XLOOKUP(B48&amp;"", 'Registro EMO'!$C$13:$C$4248&amp;"", 'Registro EMO'!$F$13:$F$4248, "Sin registro", 0, -1)</f>
        <v>46336</v>
      </c>
      <c r="N48" s="11" t="str" cm="1">
        <f t="array" ref="N48">_xlfn.XLOOKUP(B48&amp;"", 'Registro EMO'!$C$13:$C$4248&amp;"", 'Registro EMO'!$E$13:$E$4248, "Sin registro", 0, -1)</f>
        <v>Ocupacional</v>
      </c>
      <c r="O48" s="11" t="str">
        <f t="shared" si="2"/>
        <v>NO</v>
      </c>
      <c r="P48" s="130" t="str" cm="1">
        <f t="array" ref="P48">_xlfn.LET(
    _xlpm.resultado, _xlfn.XLOOKUP(B48&amp;"", 'Registro EMO'!$C$13:$C$4248&amp;"", 'Registro EMO'!$I$13:$I$4248, "NO", 0, -1),
    IF(_xlpm.resultado=0, "NO", _xlpm.resultado)
)</f>
        <v>NO</v>
      </c>
      <c r="Q48" s="11" t="str">
        <f t="shared" ca="1" si="3"/>
        <v>Vigente</v>
      </c>
      <c r="R48" s="96"/>
      <c r="S48" s="11"/>
      <c r="T48" s="11" t="str">
        <f t="shared" si="4"/>
        <v/>
      </c>
      <c r="U48" s="11"/>
      <c r="V48" s="11" t="s">
        <v>796</v>
      </c>
      <c r="W48" s="29" t="s">
        <v>778</v>
      </c>
      <c r="X48" s="129"/>
      <c r="Y48" s="11"/>
      <c r="Z48" s="11"/>
      <c r="AA48" s="11"/>
      <c r="AB48" s="11"/>
      <c r="AC48" s="11"/>
      <c r="AD48" s="11"/>
      <c r="AE48" s="11"/>
      <c r="AF48" s="11"/>
      <c r="AG48" s="98"/>
      <c r="AH48" s="11" t="s">
        <v>32</v>
      </c>
    </row>
    <row r="49" spans="1:34" hidden="1" x14ac:dyDescent="0.3">
      <c r="A49" s="7" t="str">
        <f t="shared" si="0"/>
        <v>TR-1048</v>
      </c>
      <c r="B49" s="11" t="s">
        <v>346</v>
      </c>
      <c r="C49" s="141" t="s">
        <v>347</v>
      </c>
      <c r="D49" s="98">
        <v>33724</v>
      </c>
      <c r="E49" s="111">
        <f t="shared" ca="1" si="1"/>
        <v>33</v>
      </c>
      <c r="F49" s="132" t="s">
        <v>743</v>
      </c>
      <c r="G49" s="11" t="s">
        <v>254</v>
      </c>
      <c r="H49" s="139" t="s">
        <v>746</v>
      </c>
      <c r="I49" s="140" t="s">
        <v>747</v>
      </c>
      <c r="J49" s="132"/>
      <c r="K49" s="11" t="s">
        <v>773</v>
      </c>
      <c r="L49" s="96">
        <v>45870</v>
      </c>
      <c r="M49" s="96" t="str" cm="1">
        <f t="array" ref="M49">_xlfn.XLOOKUP(B49&amp;"", 'Registro EMO'!$C$13:$C$4248&amp;"", 'Registro EMO'!$F$13:$F$4248, "Sin registro", 0, -1)</f>
        <v>Sin registro</v>
      </c>
      <c r="N49" s="11" t="str" cm="1">
        <f t="array" ref="N49">_xlfn.XLOOKUP(B49&amp;"", 'Registro EMO'!$C$13:$C$4248&amp;"", 'Registro EMO'!$E$13:$E$4248, "Sin registro", 0, -1)</f>
        <v>Sin registro</v>
      </c>
      <c r="O49" s="11" t="str">
        <f t="shared" si="2"/>
        <v>NO</v>
      </c>
      <c r="P49" s="130" t="str" cm="1">
        <f t="array" ref="P49">_xlfn.LET(
    _xlpm.resultado, _xlfn.XLOOKUP(B49&amp;"", 'Registro EMO'!$C$13:$C$4248&amp;"", 'Registro EMO'!$I$13:$I$4248, "NO", 0, -1),
    IF(_xlpm.resultado=0, "NO", _xlpm.resultado)
)</f>
        <v>NO</v>
      </c>
      <c r="Q49" s="11" t="str">
        <f t="shared" ca="1" si="3"/>
        <v>Pendiente</v>
      </c>
      <c r="R49" s="96"/>
      <c r="S49" s="11"/>
      <c r="T49" s="11" t="str">
        <f t="shared" si="4"/>
        <v/>
      </c>
      <c r="U49" s="11"/>
      <c r="V49" s="11"/>
      <c r="W49" s="29"/>
      <c r="X49" s="129"/>
      <c r="Y49" s="11"/>
      <c r="Z49" s="11"/>
      <c r="AA49" s="11"/>
      <c r="AB49" s="11"/>
      <c r="AC49" s="11"/>
      <c r="AD49" s="11"/>
      <c r="AE49" s="11"/>
      <c r="AF49" s="11"/>
      <c r="AG49" s="98"/>
      <c r="AH49" s="11"/>
    </row>
    <row r="50" spans="1:34" hidden="1" x14ac:dyDescent="0.3">
      <c r="A50" s="7" t="str">
        <f t="shared" si="0"/>
        <v>TR-1049</v>
      </c>
      <c r="B50" s="11" t="s">
        <v>348</v>
      </c>
      <c r="C50" s="141" t="s">
        <v>349</v>
      </c>
      <c r="D50" s="98">
        <v>35237</v>
      </c>
      <c r="E50" s="111">
        <f t="shared" ca="1" si="1"/>
        <v>29</v>
      </c>
      <c r="F50" s="132" t="s">
        <v>743</v>
      </c>
      <c r="G50" s="11" t="s">
        <v>254</v>
      </c>
      <c r="H50" s="139" t="s">
        <v>746</v>
      </c>
      <c r="I50" s="140" t="s">
        <v>747</v>
      </c>
      <c r="J50" s="132"/>
      <c r="K50" s="11" t="s">
        <v>774</v>
      </c>
      <c r="L50" s="96">
        <v>45882</v>
      </c>
      <c r="M50" s="96" cm="1">
        <f t="array" ref="M50">_xlfn.XLOOKUP(B50&amp;"", 'Registro EMO'!$C$13:$C$4248&amp;"", 'Registro EMO'!$F$13:$F$4248, "Sin registro", 0, -1)</f>
        <v>46277</v>
      </c>
      <c r="N50" s="11" t="str" cm="1">
        <f t="array" ref="N50">_xlfn.XLOOKUP(B50&amp;"", 'Registro EMO'!$C$13:$C$4248&amp;"", 'Registro EMO'!$E$13:$E$4248, "Sin registro", 0, -1)</f>
        <v>Pre-Ocupacional</v>
      </c>
      <c r="O50" s="11" t="str">
        <f t="shared" si="2"/>
        <v>SI</v>
      </c>
      <c r="P50" s="150" cm="1">
        <f t="array" ref="P50">_xlfn.LET(
    _xlpm.resultado, _xlfn.XLOOKUP(B50&amp;"", 'Registro EMO'!$C$13:$C$4248&amp;"", 'Registro EMO'!$I$13:$I$4248, "NO", 0, -1),
    IF(_xlpm.resultado=0, "NO", _xlpm.resultado)
)</f>
        <v>45930</v>
      </c>
      <c r="Q50" s="11" t="str">
        <f t="shared" ca="1" si="3"/>
        <v>Vigente</v>
      </c>
      <c r="R50" s="96"/>
      <c r="S50" s="11"/>
      <c r="T50" s="11" t="str">
        <f t="shared" si="4"/>
        <v/>
      </c>
      <c r="U50" s="11"/>
      <c r="V50" s="11" t="s">
        <v>796</v>
      </c>
      <c r="W50" s="29" t="s">
        <v>776</v>
      </c>
      <c r="X50" s="129"/>
      <c r="Y50" s="11"/>
      <c r="Z50" s="11"/>
      <c r="AA50" s="11"/>
      <c r="AB50" s="11"/>
      <c r="AC50" s="11"/>
      <c r="AD50" s="11"/>
      <c r="AE50" s="11"/>
      <c r="AF50" s="11"/>
      <c r="AG50" s="98"/>
      <c r="AH50" s="11" t="s">
        <v>32</v>
      </c>
    </row>
    <row r="51" spans="1:34" hidden="1" x14ac:dyDescent="0.3">
      <c r="A51" s="7" t="str">
        <f t="shared" si="0"/>
        <v>TR-1050</v>
      </c>
      <c r="B51" s="11" t="s">
        <v>350</v>
      </c>
      <c r="C51" s="141" t="s">
        <v>351</v>
      </c>
      <c r="D51" s="98">
        <v>37643</v>
      </c>
      <c r="E51" s="111">
        <f t="shared" ca="1" si="1"/>
        <v>23</v>
      </c>
      <c r="F51" s="132" t="s">
        <v>743</v>
      </c>
      <c r="G51" s="11" t="s">
        <v>254</v>
      </c>
      <c r="H51" s="139" t="s">
        <v>746</v>
      </c>
      <c r="I51" s="140" t="s">
        <v>747</v>
      </c>
      <c r="J51" s="132"/>
      <c r="K51" s="11" t="s">
        <v>773</v>
      </c>
      <c r="L51" s="96">
        <v>40725</v>
      </c>
      <c r="M51" s="96" t="str" cm="1">
        <f t="array" ref="M51">_xlfn.XLOOKUP(B51&amp;"", 'Registro EMO'!$C$13:$C$4248&amp;"", 'Registro EMO'!$F$13:$F$4248, "Sin registro", 0, -1)</f>
        <v>Sin registro</v>
      </c>
      <c r="N51" s="11" t="str" cm="1">
        <f t="array" ref="N51">_xlfn.XLOOKUP(B51&amp;"", 'Registro EMO'!$C$13:$C$4248&amp;"", 'Registro EMO'!$E$13:$E$4248, "Sin registro", 0, -1)</f>
        <v>Sin registro</v>
      </c>
      <c r="O51" s="11" t="str">
        <f t="shared" si="2"/>
        <v>NO</v>
      </c>
      <c r="P51" s="130" t="str" cm="1">
        <f t="array" ref="P51">_xlfn.LET(
    _xlpm.resultado, _xlfn.XLOOKUP(B51&amp;"", 'Registro EMO'!$C$13:$C$4248&amp;"", 'Registro EMO'!$I$13:$I$4248, "NO", 0, -1),
    IF(_xlpm.resultado=0, "NO", _xlpm.resultado)
)</f>
        <v>NO</v>
      </c>
      <c r="Q51" s="11" t="str">
        <f t="shared" ca="1" si="3"/>
        <v>Pendiente</v>
      </c>
      <c r="R51" s="96"/>
      <c r="S51" s="11"/>
      <c r="T51" s="11" t="str">
        <f t="shared" si="4"/>
        <v/>
      </c>
      <c r="U51" s="11"/>
      <c r="V51" s="11"/>
      <c r="W51" s="29"/>
      <c r="X51" s="129"/>
      <c r="Y51" s="11"/>
      <c r="Z51" s="11"/>
      <c r="AA51" s="11"/>
      <c r="AB51" s="11"/>
      <c r="AC51" s="11"/>
      <c r="AD51" s="11"/>
      <c r="AE51" s="11"/>
      <c r="AF51" s="11"/>
      <c r="AG51" s="98"/>
      <c r="AH51" s="11"/>
    </row>
    <row r="52" spans="1:34" hidden="1" x14ac:dyDescent="0.3">
      <c r="A52" s="7" t="str">
        <f t="shared" si="0"/>
        <v>TR-1051</v>
      </c>
      <c r="B52" s="11" t="s">
        <v>352</v>
      </c>
      <c r="C52" s="141" t="s">
        <v>353</v>
      </c>
      <c r="D52" s="98">
        <v>32944</v>
      </c>
      <c r="E52" s="111">
        <f t="shared" ca="1" si="1"/>
        <v>36</v>
      </c>
      <c r="F52" s="132" t="s">
        <v>743</v>
      </c>
      <c r="G52" s="11" t="s">
        <v>254</v>
      </c>
      <c r="H52" s="139" t="s">
        <v>746</v>
      </c>
      <c r="I52" s="140" t="s">
        <v>747</v>
      </c>
      <c r="J52" s="132"/>
      <c r="K52" s="11" t="s">
        <v>773</v>
      </c>
      <c r="L52" s="96">
        <v>45428</v>
      </c>
      <c r="M52" s="96" t="str" cm="1">
        <f t="array" ref="M52">_xlfn.XLOOKUP(B52&amp;"", 'Registro EMO'!$C$13:$C$4248&amp;"", 'Registro EMO'!$F$13:$F$4248, "Sin registro", 0, -1)</f>
        <v>24/02/2026</v>
      </c>
      <c r="N52" s="11" t="str" cm="1">
        <f t="array" ref="N52">_xlfn.XLOOKUP(B52&amp;"", 'Registro EMO'!$C$13:$C$4248&amp;"", 'Registro EMO'!$E$13:$E$4248, "Sin registro", 0, -1)</f>
        <v>Pre-Ocupacional</v>
      </c>
      <c r="O52" s="11" t="str">
        <f t="shared" si="2"/>
        <v>SI</v>
      </c>
      <c r="P52" s="150" cm="1">
        <f t="array" ref="P52">_xlfn.LET(
    _xlpm.resultado, _xlfn.XLOOKUP(B52&amp;"", 'Registro EMO'!$C$13:$C$4248&amp;"", 'Registro EMO'!$I$13:$I$4248, "NO", 0, -1),
    IF(_xlpm.resultado=0, "NO", _xlpm.resultado)
)</f>
        <v>45930</v>
      </c>
      <c r="Q52" s="11" t="str">
        <f t="shared" ca="1" si="3"/>
        <v>Vigente</v>
      </c>
      <c r="R52" s="96"/>
      <c r="S52" s="11"/>
      <c r="T52" s="11" t="str">
        <f t="shared" si="4"/>
        <v/>
      </c>
      <c r="U52" s="11"/>
      <c r="V52" s="11" t="s">
        <v>796</v>
      </c>
      <c r="W52" s="29"/>
      <c r="X52" s="129"/>
      <c r="Y52" s="11"/>
      <c r="Z52" s="11"/>
      <c r="AA52" s="11"/>
      <c r="AB52" s="11"/>
      <c r="AC52" s="11"/>
      <c r="AD52" s="11"/>
      <c r="AE52" s="11"/>
      <c r="AF52" s="11"/>
      <c r="AG52" s="98"/>
      <c r="AH52" s="11" t="s">
        <v>32</v>
      </c>
    </row>
    <row r="53" spans="1:34" hidden="1" x14ac:dyDescent="0.3">
      <c r="A53" s="7" t="str">
        <f t="shared" si="0"/>
        <v>TR-1052</v>
      </c>
      <c r="B53" s="11" t="s">
        <v>354</v>
      </c>
      <c r="C53" s="141" t="s">
        <v>355</v>
      </c>
      <c r="D53" s="98">
        <v>34161</v>
      </c>
      <c r="E53" s="111">
        <f t="shared" ca="1" si="1"/>
        <v>32</v>
      </c>
      <c r="F53" s="132" t="s">
        <v>743</v>
      </c>
      <c r="G53" s="11" t="s">
        <v>254</v>
      </c>
      <c r="H53" s="139" t="s">
        <v>746</v>
      </c>
      <c r="I53" s="140" t="s">
        <v>747</v>
      </c>
      <c r="J53" s="132"/>
      <c r="K53" s="11" t="s">
        <v>773</v>
      </c>
      <c r="L53" s="96">
        <v>45689</v>
      </c>
      <c r="M53" s="96" t="str" cm="1">
        <f t="array" ref="M53">_xlfn.XLOOKUP(B53&amp;"", 'Registro EMO'!$C$13:$C$4248&amp;"", 'Registro EMO'!$F$13:$F$4248, "Sin registro", 0, -1)</f>
        <v>13/06/2026</v>
      </c>
      <c r="N53" s="11" t="str" cm="1">
        <f t="array" ref="N53">_xlfn.XLOOKUP(B53&amp;"", 'Registro EMO'!$C$13:$C$4248&amp;"", 'Registro EMO'!$E$13:$E$4248, "Sin registro", 0, -1)</f>
        <v>Pre-Ocupacional</v>
      </c>
      <c r="O53" s="11" t="str">
        <f t="shared" si="2"/>
        <v>SI</v>
      </c>
      <c r="P53" s="150" cm="1">
        <f t="array" ref="P53">_xlfn.LET(
    _xlpm.resultado, _xlfn.XLOOKUP(B53&amp;"", 'Registro EMO'!$C$13:$C$4248&amp;"", 'Registro EMO'!$I$13:$I$4248, "NO", 0, -1),
    IF(_xlpm.resultado=0, "NO", _xlpm.resultado)
)</f>
        <v>45107</v>
      </c>
      <c r="Q53" s="11" t="str">
        <f t="shared" ca="1" si="3"/>
        <v>Vigente</v>
      </c>
      <c r="R53" s="96"/>
      <c r="S53" s="11"/>
      <c r="T53" s="11" t="str">
        <f t="shared" si="4"/>
        <v/>
      </c>
      <c r="U53" s="11"/>
      <c r="V53" s="11" t="s">
        <v>796</v>
      </c>
      <c r="W53" s="29" t="s">
        <v>786</v>
      </c>
      <c r="X53" s="129"/>
      <c r="Y53" s="11"/>
      <c r="Z53" s="11"/>
      <c r="AA53" s="11"/>
      <c r="AB53" s="11"/>
      <c r="AC53" s="11"/>
      <c r="AD53" s="11"/>
      <c r="AE53" s="11"/>
      <c r="AF53" s="11"/>
      <c r="AG53" s="98"/>
      <c r="AH53" s="11" t="s">
        <v>32</v>
      </c>
    </row>
    <row r="54" spans="1:34" hidden="1" x14ac:dyDescent="0.3">
      <c r="A54" s="7" t="str">
        <f t="shared" si="0"/>
        <v>TR-1053</v>
      </c>
      <c r="B54" s="11" t="s">
        <v>356</v>
      </c>
      <c r="C54" s="141" t="s">
        <v>357</v>
      </c>
      <c r="D54" s="98">
        <v>38304</v>
      </c>
      <c r="E54" s="111">
        <f t="shared" ca="1" si="1"/>
        <v>21</v>
      </c>
      <c r="F54" s="132" t="s">
        <v>743</v>
      </c>
      <c r="G54" s="11" t="s">
        <v>254</v>
      </c>
      <c r="H54" s="139" t="s">
        <v>752</v>
      </c>
      <c r="I54" s="140" t="s">
        <v>753</v>
      </c>
      <c r="J54" s="132"/>
      <c r="K54" s="11" t="s">
        <v>773</v>
      </c>
      <c r="L54" s="96">
        <v>45261</v>
      </c>
      <c r="M54" s="96" t="str" cm="1">
        <f t="array" ref="M54">_xlfn.XLOOKUP(B54&amp;"", 'Registro EMO'!$C$13:$C$4248&amp;"", 'Registro EMO'!$F$13:$F$4248, "Sin registro", 0, -1)</f>
        <v>Sin registro</v>
      </c>
      <c r="N54" s="11" t="str" cm="1">
        <f t="array" ref="N54">_xlfn.XLOOKUP(B54&amp;"", 'Registro EMO'!$C$13:$C$4248&amp;"", 'Registro EMO'!$E$13:$E$4248, "Sin registro", 0, -1)</f>
        <v>Sin registro</v>
      </c>
      <c r="O54" s="11" t="str">
        <f t="shared" si="2"/>
        <v>NO</v>
      </c>
      <c r="P54" s="130" t="str" cm="1">
        <f t="array" ref="P54">_xlfn.LET(
    _xlpm.resultado, _xlfn.XLOOKUP(B54&amp;"", 'Registro EMO'!$C$13:$C$4248&amp;"", 'Registro EMO'!$I$13:$I$4248, "NO", 0, -1),
    IF(_xlpm.resultado=0, "NO", _xlpm.resultado)
)</f>
        <v>NO</v>
      </c>
      <c r="Q54" s="11" t="str">
        <f t="shared" ca="1" si="3"/>
        <v>Pendiente</v>
      </c>
      <c r="R54" s="96"/>
      <c r="S54" s="11"/>
      <c r="T54" s="11" t="str">
        <f t="shared" si="4"/>
        <v/>
      </c>
      <c r="U54" s="11"/>
      <c r="V54" s="11"/>
      <c r="W54" s="29"/>
      <c r="X54" s="129"/>
      <c r="Y54" s="11"/>
      <c r="Z54" s="11"/>
      <c r="AA54" s="11"/>
      <c r="AB54" s="11"/>
      <c r="AC54" s="11"/>
      <c r="AD54" s="11"/>
      <c r="AE54" s="11"/>
      <c r="AF54" s="11"/>
      <c r="AG54" s="98"/>
      <c r="AH54" s="11"/>
    </row>
    <row r="55" spans="1:34" hidden="1" x14ac:dyDescent="0.3">
      <c r="A55" s="7" t="str">
        <f t="shared" si="0"/>
        <v>TR-1054</v>
      </c>
      <c r="B55" s="11" t="s">
        <v>358</v>
      </c>
      <c r="C55" s="141" t="s">
        <v>359</v>
      </c>
      <c r="D55" s="98">
        <v>37021</v>
      </c>
      <c r="E55" s="111">
        <f t="shared" ca="1" si="1"/>
        <v>24</v>
      </c>
      <c r="F55" s="132" t="s">
        <v>743</v>
      </c>
      <c r="G55" s="11" t="s">
        <v>254</v>
      </c>
      <c r="H55" s="139" t="s">
        <v>744</v>
      </c>
      <c r="I55" s="140" t="s">
        <v>759</v>
      </c>
      <c r="J55" s="132"/>
      <c r="K55" s="11" t="s">
        <v>774</v>
      </c>
      <c r="L55" s="96">
        <v>45551</v>
      </c>
      <c r="M55" s="96" t="str" cm="1">
        <f t="array" ref="M55">_xlfn.XLOOKUP(B55&amp;"", 'Registro EMO'!$C$13:$C$4248&amp;"", 'Registro EMO'!$F$13:$F$4248, "Sin registro", 0, -1)</f>
        <v>24/12/2026</v>
      </c>
      <c r="N55" s="11" t="str" cm="1">
        <f t="array" ref="N55">_xlfn.XLOOKUP(B55&amp;"", 'Registro EMO'!$C$13:$C$4248&amp;"", 'Registro EMO'!$E$13:$E$4248, "Sin registro", 0, -1)</f>
        <v>Pre-Ocupacional</v>
      </c>
      <c r="O55" s="11" t="str">
        <f t="shared" si="2"/>
        <v>SI</v>
      </c>
      <c r="P55" s="150" cm="1">
        <f t="array" ref="P55">_xlfn.LET(
    _xlpm.resultado, _xlfn.XLOOKUP(B55&amp;"", 'Registro EMO'!$C$13:$C$4248&amp;"", 'Registro EMO'!$I$13:$I$4248, "NO", 0, -1),
    IF(_xlpm.resultado=0, "NO", _xlpm.resultado)
)</f>
        <v>46021</v>
      </c>
      <c r="Q55" s="11" t="str">
        <f t="shared" ca="1" si="3"/>
        <v>Vigente</v>
      </c>
      <c r="R55" s="96"/>
      <c r="S55" s="11"/>
      <c r="T55" s="11" t="str">
        <f t="shared" si="4"/>
        <v/>
      </c>
      <c r="U55" s="11"/>
      <c r="V55" s="11" t="s">
        <v>807</v>
      </c>
      <c r="W55" s="29"/>
      <c r="X55" s="129"/>
      <c r="Y55" s="11"/>
      <c r="Z55" s="11"/>
      <c r="AA55" s="11"/>
      <c r="AB55" s="11"/>
      <c r="AC55" s="11"/>
      <c r="AD55" s="11"/>
      <c r="AE55" s="11"/>
      <c r="AF55" s="11"/>
      <c r="AG55" s="98"/>
      <c r="AH55" s="11" t="s">
        <v>32</v>
      </c>
    </row>
    <row r="56" spans="1:34" hidden="1" x14ac:dyDescent="0.3">
      <c r="A56" s="7" t="str">
        <f t="shared" si="0"/>
        <v>TR-1055</v>
      </c>
      <c r="B56" s="11" t="s">
        <v>360</v>
      </c>
      <c r="C56" s="141" t="s">
        <v>361</v>
      </c>
      <c r="D56" s="98">
        <v>35630</v>
      </c>
      <c r="E56" s="111">
        <f t="shared" ca="1" si="1"/>
        <v>28</v>
      </c>
      <c r="F56" s="132" t="s">
        <v>743</v>
      </c>
      <c r="G56" s="11" t="s">
        <v>254</v>
      </c>
      <c r="H56" s="139" t="s">
        <v>746</v>
      </c>
      <c r="I56" s="140" t="s">
        <v>751</v>
      </c>
      <c r="J56" s="132"/>
      <c r="K56" s="11" t="s">
        <v>773</v>
      </c>
      <c r="L56" s="96">
        <v>43846</v>
      </c>
      <c r="M56" s="96" t="str" cm="1">
        <f t="array" ref="M56">_xlfn.XLOOKUP(B56&amp;"", 'Registro EMO'!$C$13:$C$4248&amp;"", 'Registro EMO'!$F$13:$F$4248, "Sin registro", 0, -1)</f>
        <v>Sin registro</v>
      </c>
      <c r="N56" s="11" t="str" cm="1">
        <f t="array" ref="N56">_xlfn.XLOOKUP(B56&amp;"", 'Registro EMO'!$C$13:$C$4248&amp;"", 'Registro EMO'!$E$13:$E$4248, "Sin registro", 0, -1)</f>
        <v>Sin registro</v>
      </c>
      <c r="O56" s="11" t="str">
        <f t="shared" si="2"/>
        <v>NO</v>
      </c>
      <c r="P56" s="130" t="str" cm="1">
        <f t="array" ref="P56">_xlfn.LET(
    _xlpm.resultado, _xlfn.XLOOKUP(B56&amp;"", 'Registro EMO'!$C$13:$C$4248&amp;"", 'Registro EMO'!$I$13:$I$4248, "NO", 0, -1),
    IF(_xlpm.resultado=0, "NO", _xlpm.resultado)
)</f>
        <v>NO</v>
      </c>
      <c r="Q56" s="11" t="str">
        <f t="shared" ca="1" si="3"/>
        <v>Pendiente</v>
      </c>
      <c r="R56" s="96"/>
      <c r="S56" s="11"/>
      <c r="T56" s="11" t="str">
        <f t="shared" si="4"/>
        <v/>
      </c>
      <c r="U56" s="11"/>
      <c r="V56" s="11"/>
      <c r="W56" s="29"/>
      <c r="X56" s="129"/>
      <c r="Y56" s="11"/>
      <c r="Z56" s="11"/>
      <c r="AA56" s="11"/>
      <c r="AB56" s="11"/>
      <c r="AC56" s="11"/>
      <c r="AD56" s="11"/>
      <c r="AE56" s="11"/>
      <c r="AF56" s="11"/>
      <c r="AG56" s="98"/>
      <c r="AH56" s="11"/>
    </row>
    <row r="57" spans="1:34" hidden="1" x14ac:dyDescent="0.3">
      <c r="A57" s="7" t="str">
        <f t="shared" si="0"/>
        <v>TR-1056</v>
      </c>
      <c r="B57" s="11" t="s">
        <v>362</v>
      </c>
      <c r="C57" s="141" t="s">
        <v>363</v>
      </c>
      <c r="D57" s="98">
        <v>36206</v>
      </c>
      <c r="E57" s="111">
        <f t="shared" ca="1" si="1"/>
        <v>27</v>
      </c>
      <c r="F57" s="132" t="s">
        <v>743</v>
      </c>
      <c r="G57" s="11" t="s">
        <v>254</v>
      </c>
      <c r="H57" s="139" t="s">
        <v>744</v>
      </c>
      <c r="I57" s="140" t="s">
        <v>748</v>
      </c>
      <c r="J57" s="132"/>
      <c r="K57" s="11" t="s">
        <v>773</v>
      </c>
      <c r="L57" s="96">
        <v>45773</v>
      </c>
      <c r="M57" s="96" t="str" cm="1">
        <f t="array" ref="M57">_xlfn.XLOOKUP(B57&amp;"", 'Registro EMO'!$C$13:$C$4248&amp;"", 'Registro EMO'!$F$13:$F$4248, "Sin registro", 0, -1)</f>
        <v>Sin registro</v>
      </c>
      <c r="N57" s="11" t="str" cm="1">
        <f t="array" ref="N57">_xlfn.XLOOKUP(B57&amp;"", 'Registro EMO'!$C$13:$C$4248&amp;"", 'Registro EMO'!$E$13:$E$4248, "Sin registro", 0, -1)</f>
        <v>Sin registro</v>
      </c>
      <c r="O57" s="11" t="str">
        <f t="shared" si="2"/>
        <v>NO</v>
      </c>
      <c r="P57" s="130" t="str" cm="1">
        <f t="array" ref="P57">_xlfn.LET(
    _xlpm.resultado, _xlfn.XLOOKUP(B57&amp;"", 'Registro EMO'!$C$13:$C$4248&amp;"", 'Registro EMO'!$I$13:$I$4248, "NO", 0, -1),
    IF(_xlpm.resultado=0, "NO", _xlpm.resultado)
)</f>
        <v>NO</v>
      </c>
      <c r="Q57" s="11" t="str">
        <f t="shared" ca="1" si="3"/>
        <v>Pendiente</v>
      </c>
      <c r="R57" s="96"/>
      <c r="S57" s="11"/>
      <c r="T57" s="11" t="str">
        <f t="shared" si="4"/>
        <v/>
      </c>
      <c r="U57" s="11"/>
      <c r="V57" s="11"/>
      <c r="W57" s="29"/>
      <c r="X57" s="129"/>
      <c r="Y57" s="11"/>
      <c r="Z57" s="11"/>
      <c r="AA57" s="11"/>
      <c r="AB57" s="11"/>
      <c r="AC57" s="11"/>
      <c r="AD57" s="11"/>
      <c r="AE57" s="11"/>
      <c r="AF57" s="11"/>
      <c r="AG57" s="98"/>
      <c r="AH57" s="11"/>
    </row>
    <row r="58" spans="1:34" hidden="1" x14ac:dyDescent="0.3">
      <c r="A58" s="7" t="str">
        <f t="shared" si="0"/>
        <v>TR-1057</v>
      </c>
      <c r="B58" s="11" t="s">
        <v>364</v>
      </c>
      <c r="C58" s="141" t="s">
        <v>365</v>
      </c>
      <c r="D58" s="98">
        <v>34015</v>
      </c>
      <c r="E58" s="111">
        <f t="shared" ca="1" si="1"/>
        <v>33</v>
      </c>
      <c r="F58" s="132" t="s">
        <v>743</v>
      </c>
      <c r="G58" s="11" t="s">
        <v>254</v>
      </c>
      <c r="H58" s="139" t="s">
        <v>746</v>
      </c>
      <c r="I58" s="140" t="s">
        <v>747</v>
      </c>
      <c r="J58" s="132"/>
      <c r="K58" s="11" t="s">
        <v>773</v>
      </c>
      <c r="L58" s="96">
        <v>45383</v>
      </c>
      <c r="M58" s="96" t="str" cm="1">
        <f t="array" ref="M58">_xlfn.XLOOKUP(B58&amp;"", 'Registro EMO'!$C$13:$C$4248&amp;"", 'Registro EMO'!$F$13:$F$4248, "Sin registro", 0, -1)</f>
        <v>Sin registro</v>
      </c>
      <c r="N58" s="11" t="str" cm="1">
        <f t="array" ref="N58">_xlfn.XLOOKUP(B58&amp;"", 'Registro EMO'!$C$13:$C$4248&amp;"", 'Registro EMO'!$E$13:$E$4248, "Sin registro", 0, -1)</f>
        <v>Sin registro</v>
      </c>
      <c r="O58" s="11" t="str">
        <f t="shared" si="2"/>
        <v>NO</v>
      </c>
      <c r="P58" s="130" t="str" cm="1">
        <f t="array" ref="P58">_xlfn.LET(
    _xlpm.resultado, _xlfn.XLOOKUP(B58&amp;"", 'Registro EMO'!$C$13:$C$4248&amp;"", 'Registro EMO'!$I$13:$I$4248, "NO", 0, -1),
    IF(_xlpm.resultado=0, "NO", _xlpm.resultado)
)</f>
        <v>NO</v>
      </c>
      <c r="Q58" s="11" t="str">
        <f t="shared" ca="1" si="3"/>
        <v>Pendiente</v>
      </c>
      <c r="R58" s="96"/>
      <c r="S58" s="11"/>
      <c r="T58" s="11" t="str">
        <f t="shared" si="4"/>
        <v/>
      </c>
      <c r="U58" s="11"/>
      <c r="V58" s="11"/>
      <c r="W58" s="29"/>
      <c r="X58" s="129"/>
      <c r="Y58" s="11"/>
      <c r="Z58" s="11"/>
      <c r="AA58" s="11"/>
      <c r="AB58" s="11"/>
      <c r="AC58" s="11"/>
      <c r="AD58" s="11"/>
      <c r="AE58" s="11"/>
      <c r="AF58" s="11"/>
      <c r="AG58" s="98"/>
      <c r="AH58" s="11"/>
    </row>
    <row r="59" spans="1:34" ht="28.8" hidden="1" x14ac:dyDescent="0.3">
      <c r="A59" s="7" t="str">
        <f t="shared" si="0"/>
        <v>TR-1058</v>
      </c>
      <c r="B59" s="11" t="s">
        <v>366</v>
      </c>
      <c r="C59" s="141" t="s">
        <v>367</v>
      </c>
      <c r="D59" s="98">
        <v>37178</v>
      </c>
      <c r="E59" s="111">
        <f t="shared" ca="1" si="1"/>
        <v>24</v>
      </c>
      <c r="F59" s="132" t="s">
        <v>743</v>
      </c>
      <c r="G59" s="11" t="s">
        <v>254</v>
      </c>
      <c r="H59" s="139" t="s">
        <v>746</v>
      </c>
      <c r="I59" s="140" t="s">
        <v>747</v>
      </c>
      <c r="J59" s="132"/>
      <c r="K59" s="11" t="s">
        <v>774</v>
      </c>
      <c r="L59" s="96">
        <v>45832</v>
      </c>
      <c r="M59" s="96" t="str" cm="1">
        <f t="array" ref="M59">_xlfn.XLOOKUP(B59&amp;"", 'Registro EMO'!$C$13:$C$4248&amp;"", 'Registro EMO'!$F$13:$F$4248, "Sin registro", 0, -1)</f>
        <v>30/04/2026</v>
      </c>
      <c r="N59" s="11" t="str" cm="1">
        <f t="array" ref="N59">_xlfn.XLOOKUP(B59&amp;"", 'Registro EMO'!$C$13:$C$4248&amp;"", 'Registro EMO'!$E$13:$E$4248, "Sin registro", 0, -1)</f>
        <v>Pre-Ocupacional</v>
      </c>
      <c r="O59" s="11" t="str">
        <f t="shared" si="2"/>
        <v>SI</v>
      </c>
      <c r="P59" s="150" cm="1">
        <f t="array" ref="P59">_xlfn.LET(
    _xlpm.resultado, _xlfn.XLOOKUP(B59&amp;"", 'Registro EMO'!$C$13:$C$4248&amp;"", 'Registro EMO'!$I$13:$I$4248, "NO", 0, -1),
    IF(_xlpm.resultado=0, "NO", _xlpm.resultado)
)</f>
        <v>45412</v>
      </c>
      <c r="Q59" s="11" t="str">
        <f t="shared" ca="1" si="3"/>
        <v>Vigente</v>
      </c>
      <c r="R59" s="96"/>
      <c r="S59" s="11"/>
      <c r="T59" s="11" t="str">
        <f t="shared" si="4"/>
        <v/>
      </c>
      <c r="U59" s="11"/>
      <c r="V59" s="11" t="s">
        <v>796</v>
      </c>
      <c r="W59" s="29" t="s">
        <v>779</v>
      </c>
      <c r="X59" s="129"/>
      <c r="Y59" s="11"/>
      <c r="Z59" s="11"/>
      <c r="AA59" s="11"/>
      <c r="AB59" s="11"/>
      <c r="AC59" s="11"/>
      <c r="AD59" s="11"/>
      <c r="AE59" s="11"/>
      <c r="AF59" s="11"/>
      <c r="AG59" s="98"/>
      <c r="AH59" s="11" t="s">
        <v>32</v>
      </c>
    </row>
    <row r="60" spans="1:34" hidden="1" x14ac:dyDescent="0.3">
      <c r="A60" s="7" t="str">
        <f t="shared" si="0"/>
        <v>TR-1059</v>
      </c>
      <c r="B60" s="11" t="s">
        <v>368</v>
      </c>
      <c r="C60" s="141" t="s">
        <v>369</v>
      </c>
      <c r="D60" s="98">
        <v>37336</v>
      </c>
      <c r="E60" s="111">
        <f t="shared" ca="1" si="1"/>
        <v>23</v>
      </c>
      <c r="F60" s="132" t="s">
        <v>743</v>
      </c>
      <c r="G60" s="11" t="s">
        <v>254</v>
      </c>
      <c r="H60" s="139" t="s">
        <v>744</v>
      </c>
      <c r="I60" s="140" t="s">
        <v>748</v>
      </c>
      <c r="J60" s="132"/>
      <c r="K60" s="11" t="s">
        <v>773</v>
      </c>
      <c r="L60" s="96">
        <v>45826</v>
      </c>
      <c r="M60" s="96" t="str" cm="1">
        <f t="array" ref="M60">_xlfn.XLOOKUP(B60&amp;"", 'Registro EMO'!$C$13:$C$4248&amp;"", 'Registro EMO'!$F$13:$F$4248, "Sin registro", 0, -1)</f>
        <v>25/06/2026</v>
      </c>
      <c r="N60" s="11" t="str" cm="1">
        <f t="array" ref="N60">_xlfn.XLOOKUP(B60&amp;"", 'Registro EMO'!$C$13:$C$4248&amp;"", 'Registro EMO'!$E$13:$E$4248, "Sin registro", 0, -1)</f>
        <v>Pre-Ocupacional</v>
      </c>
      <c r="O60" s="11" t="str">
        <f t="shared" si="2"/>
        <v>SI</v>
      </c>
      <c r="P60" s="150" cm="1">
        <f t="array" ref="P60">_xlfn.LET(
    _xlpm.resultado, _xlfn.XLOOKUP(B60&amp;"", 'Registro EMO'!$C$13:$C$4248&amp;"", 'Registro EMO'!$I$13:$I$4248, "NO", 0, -1),
    IF(_xlpm.resultado=0, "NO", _xlpm.resultado)
)</f>
        <v>45838</v>
      </c>
      <c r="Q60" s="11" t="str">
        <f t="shared" ca="1" si="3"/>
        <v>Vigente</v>
      </c>
      <c r="R60" s="96"/>
      <c r="S60" s="11"/>
      <c r="T60" s="11" t="str">
        <f t="shared" si="4"/>
        <v/>
      </c>
      <c r="U60" s="11"/>
      <c r="V60" s="11" t="s">
        <v>796</v>
      </c>
      <c r="W60" s="29"/>
      <c r="X60" s="129"/>
      <c r="Y60" s="11"/>
      <c r="Z60" s="11"/>
      <c r="AA60" s="11"/>
      <c r="AB60" s="11"/>
      <c r="AC60" s="11"/>
      <c r="AD60" s="11"/>
      <c r="AE60" s="11"/>
      <c r="AF60" s="11"/>
      <c r="AG60" s="98"/>
      <c r="AH60" s="11" t="s">
        <v>32</v>
      </c>
    </row>
    <row r="61" spans="1:34" hidden="1" x14ac:dyDescent="0.3">
      <c r="A61" s="7" t="str">
        <f t="shared" si="0"/>
        <v>TR-1060</v>
      </c>
      <c r="B61" s="11" t="s">
        <v>370</v>
      </c>
      <c r="C61" s="141" t="s">
        <v>371</v>
      </c>
      <c r="D61" s="98">
        <v>35980</v>
      </c>
      <c r="E61" s="111">
        <f t="shared" ca="1" si="1"/>
        <v>27</v>
      </c>
      <c r="F61" s="132" t="s">
        <v>743</v>
      </c>
      <c r="G61" s="11" t="s">
        <v>254</v>
      </c>
      <c r="H61" s="139" t="s">
        <v>744</v>
      </c>
      <c r="I61" s="140" t="s">
        <v>748</v>
      </c>
      <c r="J61" s="132"/>
      <c r="K61" s="11" t="s">
        <v>773</v>
      </c>
      <c r="L61" s="96">
        <v>45965</v>
      </c>
      <c r="M61" s="96" t="str" cm="1">
        <f t="array" ref="M61">_xlfn.XLOOKUP(B61&amp;"", 'Registro EMO'!$C$13:$C$4248&amp;"", 'Registro EMO'!$F$13:$F$4248, "Sin registro", 0, -1)</f>
        <v>Sin registro</v>
      </c>
      <c r="N61" s="11" t="str" cm="1">
        <f t="array" ref="N61">_xlfn.XLOOKUP(B61&amp;"", 'Registro EMO'!$C$13:$C$4248&amp;"", 'Registro EMO'!$E$13:$E$4248, "Sin registro", 0, -1)</f>
        <v>Sin registro</v>
      </c>
      <c r="O61" s="11" t="str">
        <f t="shared" si="2"/>
        <v>NO</v>
      </c>
      <c r="P61" s="130" t="str" cm="1">
        <f t="array" ref="P61">_xlfn.LET(
    _xlpm.resultado, _xlfn.XLOOKUP(B61&amp;"", 'Registro EMO'!$C$13:$C$4248&amp;"", 'Registro EMO'!$I$13:$I$4248, "NO", 0, -1),
    IF(_xlpm.resultado=0, "NO", _xlpm.resultado)
)</f>
        <v>NO</v>
      </c>
      <c r="Q61" s="11" t="str">
        <f t="shared" ca="1" si="3"/>
        <v>Pendiente</v>
      </c>
      <c r="R61" s="96"/>
      <c r="S61" s="11"/>
      <c r="T61" s="11" t="str">
        <f t="shared" si="4"/>
        <v/>
      </c>
      <c r="U61" s="11"/>
      <c r="V61" s="11"/>
      <c r="W61" s="29"/>
      <c r="X61" s="129"/>
      <c r="Y61" s="11"/>
      <c r="Z61" s="11"/>
      <c r="AA61" s="11"/>
      <c r="AB61" s="11"/>
      <c r="AC61" s="11"/>
      <c r="AD61" s="11"/>
      <c r="AE61" s="11"/>
      <c r="AF61" s="11"/>
      <c r="AG61" s="98"/>
      <c r="AH61" s="11"/>
    </row>
    <row r="62" spans="1:34" hidden="1" x14ac:dyDescent="0.3">
      <c r="A62" s="7" t="str">
        <f t="shared" si="0"/>
        <v>TR-1061</v>
      </c>
      <c r="B62" s="11" t="s">
        <v>372</v>
      </c>
      <c r="C62" s="141" t="s">
        <v>373</v>
      </c>
      <c r="D62" s="98">
        <v>38191</v>
      </c>
      <c r="E62" s="111">
        <f t="shared" ca="1" si="1"/>
        <v>21</v>
      </c>
      <c r="F62" s="132" t="s">
        <v>743</v>
      </c>
      <c r="G62" s="11" t="s">
        <v>254</v>
      </c>
      <c r="H62" s="139" t="s">
        <v>744</v>
      </c>
      <c r="I62" s="140" t="s">
        <v>748</v>
      </c>
      <c r="J62" s="132"/>
      <c r="K62" s="11" t="s">
        <v>773</v>
      </c>
      <c r="L62" s="96">
        <v>45956</v>
      </c>
      <c r="M62" s="96" t="str" cm="1">
        <f t="array" ref="M62">_xlfn.XLOOKUP(B62&amp;"", 'Registro EMO'!$C$13:$C$4248&amp;"", 'Registro EMO'!$F$13:$F$4248, "Sin registro", 0, -1)</f>
        <v>Sin registro</v>
      </c>
      <c r="N62" s="11" t="str" cm="1">
        <f t="array" ref="N62">_xlfn.XLOOKUP(B62&amp;"", 'Registro EMO'!$C$13:$C$4248&amp;"", 'Registro EMO'!$E$13:$E$4248, "Sin registro", 0, -1)</f>
        <v>Sin registro</v>
      </c>
      <c r="O62" s="11" t="str">
        <f t="shared" si="2"/>
        <v>NO</v>
      </c>
      <c r="P62" s="130" t="str" cm="1">
        <f t="array" ref="P62">_xlfn.LET(
    _xlpm.resultado, _xlfn.XLOOKUP(B62&amp;"", 'Registro EMO'!$C$13:$C$4248&amp;"", 'Registro EMO'!$I$13:$I$4248, "NO", 0, -1),
    IF(_xlpm.resultado=0, "NO", _xlpm.resultado)
)</f>
        <v>NO</v>
      </c>
      <c r="Q62" s="11" t="str">
        <f t="shared" ca="1" si="3"/>
        <v>Pendiente</v>
      </c>
      <c r="R62" s="96"/>
      <c r="S62" s="11"/>
      <c r="T62" s="11" t="str">
        <f t="shared" si="4"/>
        <v/>
      </c>
      <c r="U62" s="11"/>
      <c r="V62" s="11"/>
      <c r="W62" s="29"/>
      <c r="X62" s="129"/>
      <c r="Y62" s="11"/>
      <c r="Z62" s="11"/>
      <c r="AA62" s="11"/>
      <c r="AB62" s="11"/>
      <c r="AC62" s="11"/>
      <c r="AD62" s="11"/>
      <c r="AE62" s="11"/>
      <c r="AF62" s="11"/>
      <c r="AG62" s="98"/>
      <c r="AH62" s="11"/>
    </row>
    <row r="63" spans="1:34" hidden="1" x14ac:dyDescent="0.3">
      <c r="A63" s="7" t="str">
        <f t="shared" si="0"/>
        <v>TR-1062</v>
      </c>
      <c r="B63" s="11" t="s">
        <v>374</v>
      </c>
      <c r="C63" s="141" t="s">
        <v>375</v>
      </c>
      <c r="D63" s="98">
        <v>34857</v>
      </c>
      <c r="E63" s="111">
        <f t="shared" ca="1" si="1"/>
        <v>30</v>
      </c>
      <c r="F63" s="132" t="s">
        <v>743</v>
      </c>
      <c r="G63" s="11" t="s">
        <v>254</v>
      </c>
      <c r="H63" s="139" t="s">
        <v>744</v>
      </c>
      <c r="I63" s="140" t="s">
        <v>756</v>
      </c>
      <c r="J63" s="132"/>
      <c r="K63" s="11" t="s">
        <v>773</v>
      </c>
      <c r="L63" s="96">
        <v>45001</v>
      </c>
      <c r="M63" s="96" t="str" cm="1">
        <f t="array" ref="M63">_xlfn.XLOOKUP(B63&amp;"", 'Registro EMO'!$C$13:$C$4248&amp;"", 'Registro EMO'!$F$13:$F$4248, "Sin registro", 0, -1)</f>
        <v>29/01/2026</v>
      </c>
      <c r="N63" s="11" t="str" cm="1">
        <f t="array" ref="N63">_xlfn.XLOOKUP(B63&amp;"", 'Registro EMO'!$C$13:$C$4248&amp;"", 'Registro EMO'!$E$13:$E$4248, "Sin registro", 0, -1)</f>
        <v>Pre-Ocupacional</v>
      </c>
      <c r="O63" s="11" t="str">
        <f t="shared" si="2"/>
        <v>SI</v>
      </c>
      <c r="P63" s="150" cm="1">
        <f t="array" ref="P63">_xlfn.LET(
    _xlpm.resultado, _xlfn.XLOOKUP(B63&amp;"", 'Registro EMO'!$C$13:$C$4248&amp;"", 'Registro EMO'!$I$13:$I$4248, "NO", 0, -1),
    IF(_xlpm.resultado=0, "NO", _xlpm.resultado)
)</f>
        <v>45688</v>
      </c>
      <c r="Q63" s="11" t="str">
        <f t="shared" ca="1" si="3"/>
        <v>Vigente</v>
      </c>
      <c r="R63" s="96"/>
      <c r="S63" s="11"/>
      <c r="T63" s="11" t="str">
        <f t="shared" si="4"/>
        <v/>
      </c>
      <c r="U63" s="11"/>
      <c r="V63" s="11" t="s">
        <v>796</v>
      </c>
      <c r="W63" s="29"/>
      <c r="X63" s="129"/>
      <c r="Y63" s="11"/>
      <c r="Z63" s="11"/>
      <c r="AA63" s="11"/>
      <c r="AB63" s="11"/>
      <c r="AC63" s="11"/>
      <c r="AD63" s="11"/>
      <c r="AE63" s="11"/>
      <c r="AF63" s="11"/>
      <c r="AG63" s="98"/>
      <c r="AH63" s="11" t="s">
        <v>32</v>
      </c>
    </row>
    <row r="64" spans="1:34" ht="28.8" hidden="1" x14ac:dyDescent="0.3">
      <c r="A64" s="7" t="str">
        <f t="shared" si="0"/>
        <v>TR-1063</v>
      </c>
      <c r="B64" s="11" t="s">
        <v>376</v>
      </c>
      <c r="C64" s="141" t="s">
        <v>377</v>
      </c>
      <c r="D64" s="98">
        <v>36377</v>
      </c>
      <c r="E64" s="111">
        <f t="shared" ca="1" si="1"/>
        <v>26</v>
      </c>
      <c r="F64" s="132" t="s">
        <v>743</v>
      </c>
      <c r="G64" s="11" t="s">
        <v>254</v>
      </c>
      <c r="H64" s="139" t="s">
        <v>746</v>
      </c>
      <c r="I64" s="140" t="s">
        <v>751</v>
      </c>
      <c r="J64" s="132"/>
      <c r="K64" s="11" t="s">
        <v>773</v>
      </c>
      <c r="L64" s="96">
        <v>45658</v>
      </c>
      <c r="M64" s="96" t="str" cm="1">
        <f t="array" ref="M64">_xlfn.XLOOKUP(B64&amp;"", 'Registro EMO'!$C$13:$C$4248&amp;"", 'Registro EMO'!$F$13:$F$4248, "Sin registro", 0, -1)</f>
        <v>18/11/2026</v>
      </c>
      <c r="N64" s="11" t="str" cm="1">
        <f t="array" ref="N64">_xlfn.XLOOKUP(B64&amp;"", 'Registro EMO'!$C$13:$C$4248&amp;"", 'Registro EMO'!$E$13:$E$4248, "Sin registro", 0, -1)</f>
        <v>Pre-Ocupacional</v>
      </c>
      <c r="O64" s="11" t="str">
        <f t="shared" si="2"/>
        <v>SI</v>
      </c>
      <c r="P64" s="150" cm="1">
        <f t="array" ref="P64">_xlfn.LET(
    _xlpm.resultado, _xlfn.XLOOKUP(B64&amp;"", 'Registro EMO'!$C$13:$C$4248&amp;"", 'Registro EMO'!$I$13:$I$4248, "NO", 0, -1),
    IF(_xlpm.resultado=0, "NO", _xlpm.resultado)
)</f>
        <v>45991</v>
      </c>
      <c r="Q64" s="11" t="str">
        <f t="shared" ca="1" si="3"/>
        <v>Vigente</v>
      </c>
      <c r="R64" s="96"/>
      <c r="S64" s="11"/>
      <c r="T64" s="11" t="str">
        <f t="shared" si="4"/>
        <v/>
      </c>
      <c r="U64" s="11"/>
      <c r="V64" s="11" t="s">
        <v>796</v>
      </c>
      <c r="W64" s="29" t="s">
        <v>787</v>
      </c>
      <c r="X64" s="129"/>
      <c r="Y64" s="11"/>
      <c r="Z64" s="11"/>
      <c r="AA64" s="11"/>
      <c r="AB64" s="11"/>
      <c r="AC64" s="11"/>
      <c r="AD64" s="11"/>
      <c r="AE64" s="11"/>
      <c r="AF64" s="11"/>
      <c r="AG64" s="98"/>
      <c r="AH64" s="11" t="s">
        <v>32</v>
      </c>
    </row>
    <row r="65" spans="1:34" hidden="1" x14ac:dyDescent="0.3">
      <c r="A65" s="7" t="str">
        <f t="shared" si="0"/>
        <v>TR-1064</v>
      </c>
      <c r="B65" s="11" t="s">
        <v>378</v>
      </c>
      <c r="C65" s="141" t="s">
        <v>379</v>
      </c>
      <c r="D65" s="98">
        <v>38899</v>
      </c>
      <c r="E65" s="111">
        <f t="shared" ca="1" si="1"/>
        <v>19</v>
      </c>
      <c r="F65" s="132" t="s">
        <v>743</v>
      </c>
      <c r="G65" s="11" t="s">
        <v>254</v>
      </c>
      <c r="H65" s="139" t="s">
        <v>746</v>
      </c>
      <c r="I65" s="140" t="s">
        <v>751</v>
      </c>
      <c r="J65" s="132"/>
      <c r="K65" s="11" t="s">
        <v>773</v>
      </c>
      <c r="L65" s="96">
        <v>45047</v>
      </c>
      <c r="M65" s="96" t="str" cm="1">
        <f t="array" ref="M65">_xlfn.XLOOKUP(B65&amp;"", 'Registro EMO'!$C$13:$C$4248&amp;"", 'Registro EMO'!$F$13:$F$4248, "Sin registro", 0, -1)</f>
        <v>Sin registro</v>
      </c>
      <c r="N65" s="11" t="str" cm="1">
        <f t="array" ref="N65">_xlfn.XLOOKUP(B65&amp;"", 'Registro EMO'!$C$13:$C$4248&amp;"", 'Registro EMO'!$E$13:$E$4248, "Sin registro", 0, -1)</f>
        <v>Sin registro</v>
      </c>
      <c r="O65" s="11" t="str">
        <f t="shared" si="2"/>
        <v>NO</v>
      </c>
      <c r="P65" s="130" t="str" cm="1">
        <f t="array" ref="P65">_xlfn.LET(
    _xlpm.resultado, _xlfn.XLOOKUP(B65&amp;"", 'Registro EMO'!$C$13:$C$4248&amp;"", 'Registro EMO'!$I$13:$I$4248, "NO", 0, -1),
    IF(_xlpm.resultado=0, "NO", _xlpm.resultado)
)</f>
        <v>NO</v>
      </c>
      <c r="Q65" s="11" t="str">
        <f t="shared" ca="1" si="3"/>
        <v>Pendiente</v>
      </c>
      <c r="R65" s="96"/>
      <c r="S65" s="11"/>
      <c r="T65" s="11" t="str">
        <f t="shared" si="4"/>
        <v/>
      </c>
      <c r="U65" s="11"/>
      <c r="V65" s="11"/>
      <c r="W65" s="29"/>
      <c r="X65" s="129"/>
      <c r="Y65" s="11"/>
      <c r="Z65" s="11"/>
      <c r="AA65" s="11"/>
      <c r="AB65" s="11"/>
      <c r="AC65" s="11"/>
      <c r="AD65" s="11"/>
      <c r="AE65" s="11"/>
      <c r="AF65" s="11"/>
      <c r="AG65" s="98"/>
      <c r="AH65" s="11"/>
    </row>
    <row r="66" spans="1:34" hidden="1" x14ac:dyDescent="0.3">
      <c r="A66" s="7" t="str">
        <f t="shared" ref="A66:A129" si="5">IF(B66&lt;&gt;"", "TR-" &amp; TEXT(1000 + ROW(A66) - 1, "0000"), "")</f>
        <v>TR-1065</v>
      </c>
      <c r="B66" s="11" t="s">
        <v>380</v>
      </c>
      <c r="C66" s="141" t="s">
        <v>381</v>
      </c>
      <c r="D66" s="98">
        <v>33125</v>
      </c>
      <c r="E66" s="111">
        <f t="shared" ref="E66:E129" ca="1" si="6">IF(D66&lt;&gt;"", DATEDIF(D66, TODAY(), "y"), "")</f>
        <v>35</v>
      </c>
      <c r="F66" s="132" t="s">
        <v>743</v>
      </c>
      <c r="G66" s="11" t="s">
        <v>254</v>
      </c>
      <c r="H66" s="139" t="s">
        <v>746</v>
      </c>
      <c r="I66" s="140" t="s">
        <v>751</v>
      </c>
      <c r="J66" s="132"/>
      <c r="K66" s="11" t="s">
        <v>773</v>
      </c>
      <c r="L66" s="96">
        <v>45798</v>
      </c>
      <c r="M66" s="96" t="str" cm="1">
        <f t="array" ref="M66">_xlfn.XLOOKUP(B66&amp;"", 'Registro EMO'!$C$13:$C$4248&amp;"", 'Registro EMO'!$F$13:$F$4248, "Sin registro", 0, -1)</f>
        <v>21/12/2026</v>
      </c>
      <c r="N66" s="11" t="str" cm="1">
        <f t="array" ref="N66">_xlfn.XLOOKUP(B66&amp;"", 'Registro EMO'!$C$13:$C$4248&amp;"", 'Registro EMO'!$E$13:$E$4248, "Sin registro", 0, -1)</f>
        <v>Pre-Ocupacional</v>
      </c>
      <c r="O66" s="11" t="str">
        <f t="shared" ref="O66:O129" si="7">IF(P66="NO", "NO", "SI")</f>
        <v>SI</v>
      </c>
      <c r="P66" s="150" cm="1">
        <f t="array" ref="P66">_xlfn.LET(
    _xlpm.resultado, _xlfn.XLOOKUP(B66&amp;"", 'Registro EMO'!$C$13:$C$4248&amp;"", 'Registro EMO'!$I$13:$I$4248, "NO", 0, -1),
    IF(_xlpm.resultado=0, "NO", _xlpm.resultado)
)</f>
        <v>44960</v>
      </c>
      <c r="Q66" s="11" t="str">
        <f t="shared" ref="Q66:Q129" ca="1" si="8">IF(M66="Sin registro", "Pendiente", IF(EDATE(M66, IF(K66="Oficina", 24, 12)) &gt;= TODAY(), "Vigente", "Vencido"))</f>
        <v>Vigente</v>
      </c>
      <c r="R66" s="96"/>
      <c r="S66" s="11"/>
      <c r="T66" s="11" t="str">
        <f t="shared" ref="T66:T129" si="9">IF(R66="", "", IF(U66="", "NO", "SI"))</f>
        <v/>
      </c>
      <c r="U66" s="11"/>
      <c r="V66" s="11" t="s">
        <v>796</v>
      </c>
      <c r="W66" s="29" t="s">
        <v>788</v>
      </c>
      <c r="X66" s="129"/>
      <c r="Y66" s="11"/>
      <c r="Z66" s="11"/>
      <c r="AA66" s="11"/>
      <c r="AB66" s="11"/>
      <c r="AC66" s="11"/>
      <c r="AD66" s="11"/>
      <c r="AE66" s="11"/>
      <c r="AF66" s="11"/>
      <c r="AG66" s="98"/>
      <c r="AH66" s="11" t="s">
        <v>32</v>
      </c>
    </row>
    <row r="67" spans="1:34" hidden="1" x14ac:dyDescent="0.3">
      <c r="A67" s="7" t="str">
        <f t="shared" si="5"/>
        <v>TR-1066</v>
      </c>
      <c r="B67" s="11" t="s">
        <v>382</v>
      </c>
      <c r="C67" s="141" t="s">
        <v>383</v>
      </c>
      <c r="D67" s="98">
        <v>37188</v>
      </c>
      <c r="E67" s="111">
        <f t="shared" ca="1" si="6"/>
        <v>24</v>
      </c>
      <c r="F67" s="132" t="s">
        <v>743</v>
      </c>
      <c r="G67" s="11" t="s">
        <v>254</v>
      </c>
      <c r="H67" s="139" t="s">
        <v>746</v>
      </c>
      <c r="I67" s="140" t="s">
        <v>751</v>
      </c>
      <c r="J67" s="132"/>
      <c r="K67" s="11" t="s">
        <v>773</v>
      </c>
      <c r="L67" s="96">
        <v>45979</v>
      </c>
      <c r="M67" s="96" t="str" cm="1">
        <f t="array" ref="M67">_xlfn.XLOOKUP(B67&amp;"", 'Registro EMO'!$C$13:$C$4248&amp;"", 'Registro EMO'!$F$13:$F$4248, "Sin registro", 0, -1)</f>
        <v>Sin registro</v>
      </c>
      <c r="N67" s="11" t="str" cm="1">
        <f t="array" ref="N67">_xlfn.XLOOKUP(B67&amp;"", 'Registro EMO'!$C$13:$C$4248&amp;"", 'Registro EMO'!$E$13:$E$4248, "Sin registro", 0, -1)</f>
        <v>Sin registro</v>
      </c>
      <c r="O67" s="11" t="str">
        <f t="shared" si="7"/>
        <v>NO</v>
      </c>
      <c r="P67" s="130" t="str" cm="1">
        <f t="array" ref="P67">_xlfn.LET(
    _xlpm.resultado, _xlfn.XLOOKUP(B67&amp;"", 'Registro EMO'!$C$13:$C$4248&amp;"", 'Registro EMO'!$I$13:$I$4248, "NO", 0, -1),
    IF(_xlpm.resultado=0, "NO", _xlpm.resultado)
)</f>
        <v>NO</v>
      </c>
      <c r="Q67" s="11" t="str">
        <f t="shared" ca="1" si="8"/>
        <v>Pendiente</v>
      </c>
      <c r="R67" s="96"/>
      <c r="S67" s="11"/>
      <c r="T67" s="11" t="str">
        <f t="shared" si="9"/>
        <v/>
      </c>
      <c r="U67" s="11"/>
      <c r="V67" s="11"/>
      <c r="W67" s="29" t="s">
        <v>784</v>
      </c>
      <c r="X67" s="129"/>
      <c r="Y67" s="11"/>
      <c r="Z67" s="11"/>
      <c r="AA67" s="11"/>
      <c r="AB67" s="11"/>
      <c r="AC67" s="11"/>
      <c r="AD67" s="11"/>
      <c r="AE67" s="11"/>
      <c r="AF67" s="11"/>
      <c r="AG67" s="98"/>
      <c r="AH67" s="11"/>
    </row>
    <row r="68" spans="1:34" hidden="1" x14ac:dyDescent="0.3">
      <c r="A68" s="7" t="str">
        <f t="shared" si="5"/>
        <v>TR-1067</v>
      </c>
      <c r="B68" s="11" t="s">
        <v>384</v>
      </c>
      <c r="C68" s="141" t="s">
        <v>385</v>
      </c>
      <c r="D68" s="98">
        <v>38425</v>
      </c>
      <c r="E68" s="111">
        <f t="shared" ca="1" si="6"/>
        <v>20</v>
      </c>
      <c r="F68" s="132" t="s">
        <v>743</v>
      </c>
      <c r="G68" s="11" t="s">
        <v>254</v>
      </c>
      <c r="H68" s="139" t="s">
        <v>746</v>
      </c>
      <c r="I68" s="140" t="s">
        <v>747</v>
      </c>
      <c r="J68" s="132"/>
      <c r="K68" s="11" t="s">
        <v>773</v>
      </c>
      <c r="L68" s="96">
        <v>44820</v>
      </c>
      <c r="M68" s="96" t="str" cm="1">
        <f t="array" ref="M68">_xlfn.XLOOKUP(B68&amp;"", 'Registro EMO'!$C$13:$C$4248&amp;"", 'Registro EMO'!$F$13:$F$4248, "Sin registro", 0, -1)</f>
        <v>Sin registro</v>
      </c>
      <c r="N68" s="11" t="str" cm="1">
        <f t="array" ref="N68">_xlfn.XLOOKUP(B68&amp;"", 'Registro EMO'!$C$13:$C$4248&amp;"", 'Registro EMO'!$E$13:$E$4248, "Sin registro", 0, -1)</f>
        <v>Sin registro</v>
      </c>
      <c r="O68" s="11" t="str">
        <f t="shared" si="7"/>
        <v>NO</v>
      </c>
      <c r="P68" s="130" t="str" cm="1">
        <f t="array" ref="P68">_xlfn.LET(
    _xlpm.resultado, _xlfn.XLOOKUP(B68&amp;"", 'Registro EMO'!$C$13:$C$4248&amp;"", 'Registro EMO'!$I$13:$I$4248, "NO", 0, -1),
    IF(_xlpm.resultado=0, "NO", _xlpm.resultado)
)</f>
        <v>NO</v>
      </c>
      <c r="Q68" s="11" t="str">
        <f t="shared" ca="1" si="8"/>
        <v>Pendiente</v>
      </c>
      <c r="R68" s="96"/>
      <c r="S68" s="11"/>
      <c r="T68" s="11" t="str">
        <f t="shared" si="9"/>
        <v/>
      </c>
      <c r="U68" s="11"/>
      <c r="V68" s="11"/>
      <c r="W68" s="29"/>
      <c r="X68" s="129"/>
      <c r="Y68" s="11"/>
      <c r="Z68" s="11"/>
      <c r="AA68" s="11"/>
      <c r="AB68" s="11"/>
      <c r="AC68" s="11"/>
      <c r="AD68" s="11"/>
      <c r="AE68" s="11"/>
      <c r="AF68" s="11"/>
      <c r="AG68" s="98"/>
      <c r="AH68" s="11"/>
    </row>
    <row r="69" spans="1:34" hidden="1" x14ac:dyDescent="0.3">
      <c r="A69" s="7" t="str">
        <f t="shared" si="5"/>
        <v>TR-1068</v>
      </c>
      <c r="B69" s="11" t="s">
        <v>386</v>
      </c>
      <c r="C69" s="141" t="s">
        <v>387</v>
      </c>
      <c r="D69" s="98">
        <v>38196</v>
      </c>
      <c r="E69" s="111">
        <f t="shared" ca="1" si="6"/>
        <v>21</v>
      </c>
      <c r="F69" s="132" t="s">
        <v>743</v>
      </c>
      <c r="G69" s="11" t="s">
        <v>254</v>
      </c>
      <c r="H69" s="139" t="s">
        <v>746</v>
      </c>
      <c r="I69" s="140" t="s">
        <v>751</v>
      </c>
      <c r="J69" s="132"/>
      <c r="K69" s="11" t="s">
        <v>773</v>
      </c>
      <c r="L69" s="96">
        <v>45367</v>
      </c>
      <c r="M69" s="96" t="str" cm="1">
        <f t="array" ref="M69">_xlfn.XLOOKUP(B69&amp;"", 'Registro EMO'!$C$13:$C$4248&amp;"", 'Registro EMO'!$F$13:$F$4248, "Sin registro", 0, -1)</f>
        <v>15/04/2026</v>
      </c>
      <c r="N69" s="11" t="str" cm="1">
        <f t="array" ref="N69">_xlfn.XLOOKUP(B69&amp;"", 'Registro EMO'!$C$13:$C$4248&amp;"", 'Registro EMO'!$E$13:$E$4248, "Sin registro", 0, -1)</f>
        <v>Pre-Ocupacional</v>
      </c>
      <c r="O69" s="11" t="str">
        <f t="shared" si="7"/>
        <v>SI</v>
      </c>
      <c r="P69" s="150" cm="1">
        <f t="array" ref="P69">_xlfn.LET(
    _xlpm.resultado, _xlfn.XLOOKUP(B69&amp;"", 'Registro EMO'!$C$13:$C$4248&amp;"", 'Registro EMO'!$I$13:$I$4248, "NO", 0, -1),
    IF(_xlpm.resultado=0, "NO", _xlpm.resultado)
)</f>
        <v>44960</v>
      </c>
      <c r="Q69" s="11" t="str">
        <f t="shared" ca="1" si="8"/>
        <v>Vigente</v>
      </c>
      <c r="R69" s="96"/>
      <c r="S69" s="11"/>
      <c r="T69" s="11" t="str">
        <f t="shared" si="9"/>
        <v/>
      </c>
      <c r="U69" s="11"/>
      <c r="V69" s="11" t="s">
        <v>796</v>
      </c>
      <c r="W69" s="29"/>
      <c r="X69" s="129"/>
      <c r="Y69" s="11"/>
      <c r="Z69" s="11"/>
      <c r="AA69" s="11"/>
      <c r="AB69" s="11"/>
      <c r="AC69" s="11"/>
      <c r="AD69" s="11"/>
      <c r="AE69" s="11"/>
      <c r="AF69" s="11"/>
      <c r="AG69" s="98"/>
      <c r="AH69" s="11" t="s">
        <v>32</v>
      </c>
    </row>
    <row r="70" spans="1:34" ht="28.8" hidden="1" x14ac:dyDescent="0.3">
      <c r="A70" s="7" t="str">
        <f t="shared" si="5"/>
        <v>TR-1069</v>
      </c>
      <c r="B70" s="11" t="s">
        <v>388</v>
      </c>
      <c r="C70" s="141" t="s">
        <v>389</v>
      </c>
      <c r="D70" s="98">
        <v>34168</v>
      </c>
      <c r="E70" s="111">
        <f t="shared" ca="1" si="6"/>
        <v>32</v>
      </c>
      <c r="F70" s="132" t="s">
        <v>743</v>
      </c>
      <c r="G70" s="11" t="s">
        <v>254</v>
      </c>
      <c r="H70" s="139" t="s">
        <v>746</v>
      </c>
      <c r="I70" s="140" t="s">
        <v>751</v>
      </c>
      <c r="J70" s="132"/>
      <c r="K70" s="11" t="s">
        <v>773</v>
      </c>
      <c r="L70" s="96">
        <v>46018</v>
      </c>
      <c r="M70" s="96" t="str" cm="1">
        <f t="array" ref="M70">_xlfn.XLOOKUP(B70&amp;"", 'Registro EMO'!$C$13:$C$4248&amp;"", 'Registro EMO'!$F$13:$F$4248, "Sin registro", 0, -1)</f>
        <v>16/01/2026</v>
      </c>
      <c r="N70" s="11" t="str" cm="1">
        <f t="array" ref="N70">_xlfn.XLOOKUP(B70&amp;"", 'Registro EMO'!$C$13:$C$4248&amp;"", 'Registro EMO'!$E$13:$E$4248, "Sin registro", 0, -1)</f>
        <v>Pre-Ocupacional</v>
      </c>
      <c r="O70" s="11" t="str">
        <f t="shared" si="7"/>
        <v>SI</v>
      </c>
      <c r="P70" s="150" cm="1">
        <f t="array" ref="P70">_xlfn.LET(
    _xlpm.resultado, _xlfn.XLOOKUP(B70&amp;"", 'Registro EMO'!$C$13:$C$4248&amp;"", 'Registro EMO'!$I$13:$I$4248, "NO", 0, -1),
    IF(_xlpm.resultado=0, "NO", _xlpm.resultado)
)</f>
        <v>44960</v>
      </c>
      <c r="Q70" s="11" t="str">
        <f t="shared" ca="1" si="8"/>
        <v>Vigente</v>
      </c>
      <c r="R70" s="96"/>
      <c r="S70" s="11"/>
      <c r="T70" s="11" t="str">
        <f t="shared" si="9"/>
        <v/>
      </c>
      <c r="U70" s="11"/>
      <c r="V70" s="11" t="s">
        <v>796</v>
      </c>
      <c r="W70" s="29" t="s">
        <v>780</v>
      </c>
      <c r="X70" s="129"/>
      <c r="Y70" s="11"/>
      <c r="Z70" s="11"/>
      <c r="AA70" s="11"/>
      <c r="AB70" s="11"/>
      <c r="AC70" s="11"/>
      <c r="AD70" s="11"/>
      <c r="AE70" s="11"/>
      <c r="AF70" s="11"/>
      <c r="AG70" s="98"/>
      <c r="AH70" s="11" t="s">
        <v>32</v>
      </c>
    </row>
    <row r="71" spans="1:34" hidden="1" x14ac:dyDescent="0.3">
      <c r="A71" s="7" t="str">
        <f t="shared" si="5"/>
        <v>TR-1070</v>
      </c>
      <c r="B71" s="11" t="s">
        <v>390</v>
      </c>
      <c r="C71" s="141" t="s">
        <v>391</v>
      </c>
      <c r="D71" s="98">
        <v>37430</v>
      </c>
      <c r="E71" s="111">
        <f t="shared" ca="1" si="6"/>
        <v>23</v>
      </c>
      <c r="F71" s="132" t="s">
        <v>743</v>
      </c>
      <c r="G71" s="11" t="s">
        <v>254</v>
      </c>
      <c r="H71" s="139" t="s">
        <v>746</v>
      </c>
      <c r="I71" s="140" t="s">
        <v>751</v>
      </c>
      <c r="J71" s="132"/>
      <c r="K71" s="11" t="s">
        <v>773</v>
      </c>
      <c r="L71" s="96">
        <v>42566</v>
      </c>
      <c r="M71" s="96" t="str" cm="1">
        <f t="array" ref="M71">_xlfn.XLOOKUP(B71&amp;"", 'Registro EMO'!$C$13:$C$4248&amp;"", 'Registro EMO'!$F$13:$F$4248, "Sin registro", 0, -1)</f>
        <v>Sin registro</v>
      </c>
      <c r="N71" s="11" t="str" cm="1">
        <f t="array" ref="N71">_xlfn.XLOOKUP(B71&amp;"", 'Registro EMO'!$C$13:$C$4248&amp;"", 'Registro EMO'!$E$13:$E$4248, "Sin registro", 0, -1)</f>
        <v>Sin registro</v>
      </c>
      <c r="O71" s="11" t="str">
        <f t="shared" si="7"/>
        <v>NO</v>
      </c>
      <c r="P71" s="130" t="str" cm="1">
        <f t="array" ref="P71">_xlfn.LET(
    _xlpm.resultado, _xlfn.XLOOKUP(B71&amp;"", 'Registro EMO'!$C$13:$C$4248&amp;"", 'Registro EMO'!$I$13:$I$4248, "NO", 0, -1),
    IF(_xlpm.resultado=0, "NO", _xlpm.resultado)
)</f>
        <v>NO</v>
      </c>
      <c r="Q71" s="11" t="str">
        <f t="shared" ca="1" si="8"/>
        <v>Pendiente</v>
      </c>
      <c r="R71" s="96"/>
      <c r="S71" s="11"/>
      <c r="T71" s="11" t="str">
        <f t="shared" si="9"/>
        <v/>
      </c>
      <c r="U71" s="11"/>
      <c r="V71" s="11"/>
      <c r="W71" s="29"/>
      <c r="X71" s="129"/>
      <c r="Y71" s="11"/>
      <c r="Z71" s="11"/>
      <c r="AA71" s="11"/>
      <c r="AB71" s="11"/>
      <c r="AC71" s="11"/>
      <c r="AD71" s="11"/>
      <c r="AE71" s="11"/>
      <c r="AF71" s="11"/>
      <c r="AG71" s="98"/>
      <c r="AH71" s="11"/>
    </row>
    <row r="72" spans="1:34" ht="28.8" hidden="1" x14ac:dyDescent="0.3">
      <c r="A72" s="7" t="str">
        <f t="shared" si="5"/>
        <v>TR-1071</v>
      </c>
      <c r="B72" s="11" t="s">
        <v>392</v>
      </c>
      <c r="C72" s="141" t="s">
        <v>393</v>
      </c>
      <c r="D72" s="98">
        <v>28267</v>
      </c>
      <c r="E72" s="111">
        <f t="shared" ca="1" si="6"/>
        <v>48</v>
      </c>
      <c r="F72" s="132" t="s">
        <v>743</v>
      </c>
      <c r="G72" s="11" t="s">
        <v>254</v>
      </c>
      <c r="H72" s="139" t="s">
        <v>744</v>
      </c>
      <c r="I72" s="140" t="s">
        <v>748</v>
      </c>
      <c r="J72" s="132"/>
      <c r="K72" s="11" t="s">
        <v>773</v>
      </c>
      <c r="L72" s="96">
        <v>45875</v>
      </c>
      <c r="M72" s="96" t="str" cm="1">
        <f t="array" ref="M72">_xlfn.XLOOKUP(B72&amp;"", 'Registro EMO'!$C$13:$C$4248&amp;"", 'Registro EMO'!$F$13:$F$4248, "Sin registro", 0, -1)</f>
        <v>24/10/2026</v>
      </c>
      <c r="N72" s="11" t="str" cm="1">
        <f t="array" ref="N72">_xlfn.XLOOKUP(B72&amp;"", 'Registro EMO'!$C$13:$C$4248&amp;"", 'Registro EMO'!$E$13:$E$4248, "Sin registro", 0, -1)</f>
        <v>Ocupacional</v>
      </c>
      <c r="O72" s="11" t="str">
        <f t="shared" si="7"/>
        <v>SI</v>
      </c>
      <c r="P72" s="150" cm="1">
        <f t="array" ref="P72">_xlfn.LET(
    _xlpm.resultado, _xlfn.XLOOKUP(B72&amp;"", 'Registro EMO'!$C$13:$C$4248&amp;"", 'Registro EMO'!$I$13:$I$4248, "NO", 0, -1),
    IF(_xlpm.resultado=0, "NO", _xlpm.resultado)
)</f>
        <v>44960</v>
      </c>
      <c r="Q72" s="11" t="str">
        <f t="shared" ca="1" si="8"/>
        <v>Vigente</v>
      </c>
      <c r="R72" s="96"/>
      <c r="S72" s="11"/>
      <c r="T72" s="11" t="str">
        <f t="shared" si="9"/>
        <v/>
      </c>
      <c r="U72" s="11"/>
      <c r="V72" s="11" t="s">
        <v>796</v>
      </c>
      <c r="W72" s="29" t="s">
        <v>789</v>
      </c>
      <c r="X72" s="129"/>
      <c r="Y72" s="11" t="s">
        <v>1348</v>
      </c>
      <c r="Z72" s="11"/>
      <c r="AA72" s="11"/>
      <c r="AB72" s="11"/>
      <c r="AC72" s="11"/>
      <c r="AD72" s="11"/>
      <c r="AE72" s="11"/>
      <c r="AF72" s="11"/>
      <c r="AG72" s="98"/>
      <c r="AH72" s="11" t="s">
        <v>32</v>
      </c>
    </row>
    <row r="73" spans="1:34" hidden="1" x14ac:dyDescent="0.3">
      <c r="A73" s="7" t="str">
        <f t="shared" si="5"/>
        <v>TR-1072</v>
      </c>
      <c r="B73" s="11" t="s">
        <v>394</v>
      </c>
      <c r="C73" s="141" t="s">
        <v>395</v>
      </c>
      <c r="D73" s="98">
        <v>37304</v>
      </c>
      <c r="E73" s="111">
        <f t="shared" ca="1" si="6"/>
        <v>24</v>
      </c>
      <c r="F73" s="132" t="s">
        <v>743</v>
      </c>
      <c r="G73" s="11" t="s">
        <v>254</v>
      </c>
      <c r="H73" s="139" t="s">
        <v>744</v>
      </c>
      <c r="I73" s="140" t="s">
        <v>748</v>
      </c>
      <c r="J73" s="132"/>
      <c r="K73" s="11" t="s">
        <v>773</v>
      </c>
      <c r="L73" s="96">
        <v>45658</v>
      </c>
      <c r="M73" s="96" t="str" cm="1">
        <f t="array" ref="M73">_xlfn.XLOOKUP(B73&amp;"", 'Registro EMO'!$C$13:$C$4248&amp;"", 'Registro EMO'!$F$13:$F$4248, "Sin registro", 0, -1)</f>
        <v>26/06/2026</v>
      </c>
      <c r="N73" s="11" t="str" cm="1">
        <f t="array" ref="N73">_xlfn.XLOOKUP(B73&amp;"", 'Registro EMO'!$C$13:$C$4248&amp;"", 'Registro EMO'!$E$13:$E$4248, "Sin registro", 0, -1)</f>
        <v>Pre-Ocupacional</v>
      </c>
      <c r="O73" s="11" t="str">
        <f t="shared" si="7"/>
        <v>SI</v>
      </c>
      <c r="P73" s="150" cm="1">
        <f t="array" ref="P73">_xlfn.LET(
    _xlpm.resultado, _xlfn.XLOOKUP(B73&amp;"", 'Registro EMO'!$C$13:$C$4248&amp;"", 'Registro EMO'!$I$13:$I$4248, "NO", 0, -1),
    IF(_xlpm.resultado=0, "NO", _xlpm.resultado)
)</f>
        <v>45838</v>
      </c>
      <c r="Q73" s="11" t="str">
        <f t="shared" ca="1" si="8"/>
        <v>Vigente</v>
      </c>
      <c r="R73" s="96"/>
      <c r="S73" s="11"/>
      <c r="T73" s="11" t="str">
        <f t="shared" si="9"/>
        <v/>
      </c>
      <c r="U73" s="11"/>
      <c r="V73" s="11" t="s">
        <v>796</v>
      </c>
      <c r="W73" s="29"/>
      <c r="X73" s="129"/>
      <c r="Y73" s="11"/>
      <c r="Z73" s="11"/>
      <c r="AA73" s="11"/>
      <c r="AB73" s="11"/>
      <c r="AC73" s="11"/>
      <c r="AD73" s="11"/>
      <c r="AE73" s="11"/>
      <c r="AF73" s="11"/>
      <c r="AG73" s="98"/>
      <c r="AH73" s="11" t="s">
        <v>32</v>
      </c>
    </row>
    <row r="74" spans="1:34" ht="28.8" hidden="1" x14ac:dyDescent="0.3">
      <c r="A74" s="7" t="str">
        <f t="shared" si="5"/>
        <v>TR-1073</v>
      </c>
      <c r="B74" s="11" t="s">
        <v>396</v>
      </c>
      <c r="C74" s="141" t="s">
        <v>397</v>
      </c>
      <c r="D74" s="98">
        <v>36014</v>
      </c>
      <c r="E74" s="111">
        <f t="shared" ca="1" si="6"/>
        <v>27</v>
      </c>
      <c r="F74" s="132" t="s">
        <v>743</v>
      </c>
      <c r="G74" s="11" t="s">
        <v>254</v>
      </c>
      <c r="H74" s="139" t="s">
        <v>746</v>
      </c>
      <c r="I74" s="140" t="s">
        <v>751</v>
      </c>
      <c r="J74" s="132"/>
      <c r="K74" s="11" t="s">
        <v>773</v>
      </c>
      <c r="L74" s="96">
        <v>45994</v>
      </c>
      <c r="M74" s="96" t="str" cm="1">
        <f t="array" ref="M74">_xlfn.XLOOKUP(B74&amp;"", 'Registro EMO'!$C$13:$C$4248&amp;"", 'Registro EMO'!$F$13:$F$4248, "Sin registro", 0, -1)</f>
        <v>25/06/2026</v>
      </c>
      <c r="N74" s="11" t="str" cm="1">
        <f t="array" ref="N74">_xlfn.XLOOKUP(B74&amp;"", 'Registro EMO'!$C$13:$C$4248&amp;"", 'Registro EMO'!$E$13:$E$4248, "Sin registro", 0, -1)</f>
        <v>Pre-Ocupacional</v>
      </c>
      <c r="O74" s="11" t="str">
        <f t="shared" si="7"/>
        <v>SI</v>
      </c>
      <c r="P74" s="150" cm="1">
        <f t="array" ref="P74">_xlfn.LET(
    _xlpm.resultado, _xlfn.XLOOKUP(B74&amp;"", 'Registro EMO'!$C$13:$C$4248&amp;"", 'Registro EMO'!$I$13:$I$4248, "NO", 0, -1),
    IF(_xlpm.resultado=0, "NO", _xlpm.resultado)
)</f>
        <v>45443</v>
      </c>
      <c r="Q74" s="11" t="str">
        <f t="shared" ca="1" si="8"/>
        <v>Vigente</v>
      </c>
      <c r="R74" s="96"/>
      <c r="S74" s="11"/>
      <c r="T74" s="11" t="str">
        <f t="shared" si="9"/>
        <v/>
      </c>
      <c r="U74" s="11"/>
      <c r="V74" s="11" t="s">
        <v>796</v>
      </c>
      <c r="W74" s="29" t="s">
        <v>787</v>
      </c>
      <c r="X74" s="129"/>
      <c r="Y74" s="11"/>
      <c r="Z74" s="11"/>
      <c r="AA74" s="11"/>
      <c r="AB74" s="11"/>
      <c r="AC74" s="11"/>
      <c r="AD74" s="11"/>
      <c r="AE74" s="11"/>
      <c r="AF74" s="11"/>
      <c r="AG74" s="98"/>
      <c r="AH74" s="11" t="s">
        <v>32</v>
      </c>
    </row>
    <row r="75" spans="1:34" hidden="1" x14ac:dyDescent="0.3">
      <c r="A75" s="7" t="str">
        <f t="shared" si="5"/>
        <v>TR-1074</v>
      </c>
      <c r="B75" s="11" t="s">
        <v>398</v>
      </c>
      <c r="C75" s="141" t="s">
        <v>399</v>
      </c>
      <c r="D75" s="98">
        <v>38452</v>
      </c>
      <c r="E75" s="111">
        <f t="shared" ca="1" si="6"/>
        <v>20</v>
      </c>
      <c r="F75" s="132" t="s">
        <v>743</v>
      </c>
      <c r="G75" s="11" t="s">
        <v>254</v>
      </c>
      <c r="H75" s="139" t="s">
        <v>746</v>
      </c>
      <c r="I75" s="140" t="s">
        <v>751</v>
      </c>
      <c r="J75" s="132"/>
      <c r="K75" s="11" t="s">
        <v>773</v>
      </c>
      <c r="L75" s="96">
        <v>45994</v>
      </c>
      <c r="M75" s="96" t="str" cm="1">
        <f t="array" ref="M75">_xlfn.XLOOKUP(B75&amp;"", 'Registro EMO'!$C$13:$C$4248&amp;"", 'Registro EMO'!$F$13:$F$4248, "Sin registro", 0, -1)</f>
        <v>Sin registro</v>
      </c>
      <c r="N75" s="11" t="str" cm="1">
        <f t="array" ref="N75">_xlfn.XLOOKUP(B75&amp;"", 'Registro EMO'!$C$13:$C$4248&amp;"", 'Registro EMO'!$E$13:$E$4248, "Sin registro", 0, -1)</f>
        <v>Sin registro</v>
      </c>
      <c r="O75" s="11" t="str">
        <f t="shared" si="7"/>
        <v>NO</v>
      </c>
      <c r="P75" s="130" t="str" cm="1">
        <f t="array" ref="P75">_xlfn.LET(
    _xlpm.resultado, _xlfn.XLOOKUP(B75&amp;"", 'Registro EMO'!$C$13:$C$4248&amp;"", 'Registro EMO'!$I$13:$I$4248, "NO", 0, -1),
    IF(_xlpm.resultado=0, "NO", _xlpm.resultado)
)</f>
        <v>NO</v>
      </c>
      <c r="Q75" s="11" t="str">
        <f t="shared" ca="1" si="8"/>
        <v>Pendiente</v>
      </c>
      <c r="R75" s="96"/>
      <c r="S75" s="11"/>
      <c r="T75" s="11" t="str">
        <f t="shared" si="9"/>
        <v/>
      </c>
      <c r="U75" s="11"/>
      <c r="V75" s="11"/>
      <c r="W75" s="29"/>
      <c r="X75" s="129"/>
      <c r="Y75" s="11"/>
      <c r="Z75" s="11"/>
      <c r="AA75" s="11"/>
      <c r="AB75" s="11"/>
      <c r="AC75" s="11"/>
      <c r="AD75" s="11"/>
      <c r="AE75" s="11"/>
      <c r="AF75" s="11"/>
      <c r="AG75" s="98"/>
      <c r="AH75" s="11"/>
    </row>
    <row r="76" spans="1:34" hidden="1" x14ac:dyDescent="0.3">
      <c r="A76" s="7" t="str">
        <f t="shared" si="5"/>
        <v>TR-1075</v>
      </c>
      <c r="B76" s="11" t="s">
        <v>400</v>
      </c>
      <c r="C76" s="141" t="s">
        <v>401</v>
      </c>
      <c r="D76" s="98">
        <v>33034</v>
      </c>
      <c r="E76" s="111">
        <f t="shared" ca="1" si="6"/>
        <v>35</v>
      </c>
      <c r="F76" s="132" t="s">
        <v>743</v>
      </c>
      <c r="G76" s="11" t="s">
        <v>254</v>
      </c>
      <c r="H76" s="139" t="s">
        <v>746</v>
      </c>
      <c r="I76" s="140" t="s">
        <v>751</v>
      </c>
      <c r="J76" s="132"/>
      <c r="K76" s="11" t="s">
        <v>773</v>
      </c>
      <c r="L76" s="96">
        <v>45723</v>
      </c>
      <c r="M76" s="96" t="str" cm="1">
        <f t="array" ref="M76">_xlfn.XLOOKUP(B76&amp;"", 'Registro EMO'!$C$13:$C$4248&amp;"", 'Registro EMO'!$F$13:$F$4248, "Sin registro", 0, -1)</f>
        <v>Sin registro</v>
      </c>
      <c r="N76" s="11" t="str" cm="1">
        <f t="array" ref="N76">_xlfn.XLOOKUP(B76&amp;"", 'Registro EMO'!$C$13:$C$4248&amp;"", 'Registro EMO'!$E$13:$E$4248, "Sin registro", 0, -1)</f>
        <v>Sin registro</v>
      </c>
      <c r="O76" s="11" t="str">
        <f t="shared" si="7"/>
        <v>NO</v>
      </c>
      <c r="P76" s="130" t="str" cm="1">
        <f t="array" ref="P76">_xlfn.LET(
    _xlpm.resultado, _xlfn.XLOOKUP(B76&amp;"", 'Registro EMO'!$C$13:$C$4248&amp;"", 'Registro EMO'!$I$13:$I$4248, "NO", 0, -1),
    IF(_xlpm.resultado=0, "NO", _xlpm.resultado)
)</f>
        <v>NO</v>
      </c>
      <c r="Q76" s="11" t="str">
        <f t="shared" ca="1" si="8"/>
        <v>Pendiente</v>
      </c>
      <c r="R76" s="96"/>
      <c r="S76" s="11"/>
      <c r="T76" s="11" t="str">
        <f t="shared" si="9"/>
        <v/>
      </c>
      <c r="U76" s="11"/>
      <c r="V76" s="11"/>
      <c r="W76" s="29"/>
      <c r="X76" s="129"/>
      <c r="Y76" s="11"/>
      <c r="Z76" s="11"/>
      <c r="AA76" s="11"/>
      <c r="AB76" s="11"/>
      <c r="AC76" s="11"/>
      <c r="AD76" s="11"/>
      <c r="AE76" s="11"/>
      <c r="AF76" s="11"/>
      <c r="AG76" s="98"/>
      <c r="AH76" s="11"/>
    </row>
    <row r="77" spans="1:34" hidden="1" x14ac:dyDescent="0.3">
      <c r="A77" s="7" t="str">
        <f t="shared" si="5"/>
        <v>TR-1076</v>
      </c>
      <c r="B77" s="11" t="s">
        <v>402</v>
      </c>
      <c r="C77" s="141" t="s">
        <v>403</v>
      </c>
      <c r="D77" s="98">
        <v>37756</v>
      </c>
      <c r="E77" s="111">
        <f t="shared" ca="1" si="6"/>
        <v>22</v>
      </c>
      <c r="F77" s="132" t="s">
        <v>743</v>
      </c>
      <c r="G77" s="11" t="s">
        <v>254</v>
      </c>
      <c r="H77" s="139" t="s">
        <v>746</v>
      </c>
      <c r="I77" s="140" t="s">
        <v>747</v>
      </c>
      <c r="J77" s="132"/>
      <c r="K77" s="11" t="s">
        <v>773</v>
      </c>
      <c r="L77" s="96">
        <v>43692</v>
      </c>
      <c r="M77" s="96" t="str" cm="1">
        <f t="array" ref="M77">_xlfn.XLOOKUP(B77&amp;"", 'Registro EMO'!$C$13:$C$4248&amp;"", 'Registro EMO'!$F$13:$F$4248, "Sin registro", 0, -1)</f>
        <v>Sin registro</v>
      </c>
      <c r="N77" s="11" t="str" cm="1">
        <f t="array" ref="N77">_xlfn.XLOOKUP(B77&amp;"", 'Registro EMO'!$C$13:$C$4248&amp;"", 'Registro EMO'!$E$13:$E$4248, "Sin registro", 0, -1)</f>
        <v>Sin registro</v>
      </c>
      <c r="O77" s="11" t="str">
        <f t="shared" si="7"/>
        <v>NO</v>
      </c>
      <c r="P77" s="130" t="str" cm="1">
        <f t="array" ref="P77">_xlfn.LET(
    _xlpm.resultado, _xlfn.XLOOKUP(B77&amp;"", 'Registro EMO'!$C$13:$C$4248&amp;"", 'Registro EMO'!$I$13:$I$4248, "NO", 0, -1),
    IF(_xlpm.resultado=0, "NO", _xlpm.resultado)
)</f>
        <v>NO</v>
      </c>
      <c r="Q77" s="11" t="str">
        <f t="shared" ca="1" si="8"/>
        <v>Pendiente</v>
      </c>
      <c r="R77" s="96"/>
      <c r="S77" s="11"/>
      <c r="T77" s="11" t="str">
        <f t="shared" si="9"/>
        <v/>
      </c>
      <c r="U77" s="11"/>
      <c r="V77" s="11"/>
      <c r="W77" s="29"/>
      <c r="X77" s="129"/>
      <c r="Y77" s="11"/>
      <c r="Z77" s="11"/>
      <c r="AA77" s="11"/>
      <c r="AB77" s="11"/>
      <c r="AC77" s="11"/>
      <c r="AD77" s="11"/>
      <c r="AE77" s="11"/>
      <c r="AF77" s="11"/>
      <c r="AG77" s="98"/>
      <c r="AH77" s="11"/>
    </row>
    <row r="78" spans="1:34" hidden="1" x14ac:dyDescent="0.3">
      <c r="A78" s="7" t="str">
        <f t="shared" si="5"/>
        <v>TR-1077</v>
      </c>
      <c r="B78" s="11" t="s">
        <v>404</v>
      </c>
      <c r="C78" s="141" t="s">
        <v>405</v>
      </c>
      <c r="D78" s="98">
        <v>34986</v>
      </c>
      <c r="E78" s="111">
        <f t="shared" ca="1" si="6"/>
        <v>30</v>
      </c>
      <c r="F78" s="132" t="s">
        <v>743</v>
      </c>
      <c r="G78" s="11" t="s">
        <v>254</v>
      </c>
      <c r="H78" s="139" t="s">
        <v>744</v>
      </c>
      <c r="I78" s="140" t="s">
        <v>748</v>
      </c>
      <c r="J78" s="132"/>
      <c r="K78" s="11" t="s">
        <v>773</v>
      </c>
      <c r="L78" s="96">
        <v>45970</v>
      </c>
      <c r="M78" s="96" t="str" cm="1">
        <f t="array" ref="M78">_xlfn.XLOOKUP(B78&amp;"", 'Registro EMO'!$C$13:$C$4248&amp;"", 'Registro EMO'!$F$13:$F$4248, "Sin registro", 0, -1)</f>
        <v>26/05/2026</v>
      </c>
      <c r="N78" s="11" t="str" cm="1">
        <f t="array" ref="N78">_xlfn.XLOOKUP(B78&amp;"", 'Registro EMO'!$C$13:$C$4248&amp;"", 'Registro EMO'!$E$13:$E$4248, "Sin registro", 0, -1)</f>
        <v>Pre-Ocupacional</v>
      </c>
      <c r="O78" s="11" t="str">
        <f t="shared" si="7"/>
        <v>SI</v>
      </c>
      <c r="P78" s="150" cm="1">
        <f t="array" ref="P78">_xlfn.LET(
    _xlpm.resultado, _xlfn.XLOOKUP(B78&amp;"", 'Registro EMO'!$C$13:$C$4248&amp;"", 'Registro EMO'!$I$13:$I$4248, "NO", 0, -1),
    IF(_xlpm.resultado=0, "NO", _xlpm.resultado)
)</f>
        <v>45807</v>
      </c>
      <c r="Q78" s="11" t="str">
        <f t="shared" ca="1" si="8"/>
        <v>Vigente</v>
      </c>
      <c r="R78" s="96"/>
      <c r="S78" s="11"/>
      <c r="T78" s="11" t="str">
        <f t="shared" si="9"/>
        <v/>
      </c>
      <c r="U78" s="11"/>
      <c r="V78" s="11" t="s">
        <v>807</v>
      </c>
      <c r="W78" s="29"/>
      <c r="X78" s="129"/>
      <c r="Y78" s="11"/>
      <c r="Z78" s="11"/>
      <c r="AA78" s="11"/>
      <c r="AB78" s="11"/>
      <c r="AC78" s="11"/>
      <c r="AD78" s="11"/>
      <c r="AE78" s="11"/>
      <c r="AF78" s="11"/>
      <c r="AG78" s="98"/>
      <c r="AH78" s="11" t="s">
        <v>32</v>
      </c>
    </row>
    <row r="79" spans="1:34" hidden="1" x14ac:dyDescent="0.3">
      <c r="A79" s="7" t="str">
        <f t="shared" si="5"/>
        <v>TR-1078</v>
      </c>
      <c r="B79" s="11" t="s">
        <v>406</v>
      </c>
      <c r="C79" s="141" t="s">
        <v>407</v>
      </c>
      <c r="D79" s="98">
        <v>34123</v>
      </c>
      <c r="E79" s="111">
        <f t="shared" ca="1" si="6"/>
        <v>32</v>
      </c>
      <c r="F79" s="132" t="s">
        <v>743</v>
      </c>
      <c r="G79" s="11" t="s">
        <v>254</v>
      </c>
      <c r="H79" s="139" t="s">
        <v>746</v>
      </c>
      <c r="I79" s="140" t="s">
        <v>747</v>
      </c>
      <c r="J79" s="132"/>
      <c r="K79" s="11" t="s">
        <v>773</v>
      </c>
      <c r="L79" s="96">
        <v>41153</v>
      </c>
      <c r="M79" s="96" t="str" cm="1">
        <f t="array" ref="M79">_xlfn.XLOOKUP(B79&amp;"", 'Registro EMO'!$C$13:$C$4248&amp;"", 'Registro EMO'!$F$13:$F$4248, "Sin registro", 0, -1)</f>
        <v>Sin registro</v>
      </c>
      <c r="N79" s="11" t="str" cm="1">
        <f t="array" ref="N79">_xlfn.XLOOKUP(B79&amp;"", 'Registro EMO'!$C$13:$C$4248&amp;"", 'Registro EMO'!$E$13:$E$4248, "Sin registro", 0, -1)</f>
        <v>Sin registro</v>
      </c>
      <c r="O79" s="11" t="str">
        <f t="shared" si="7"/>
        <v>NO</v>
      </c>
      <c r="P79" s="130" t="str" cm="1">
        <f t="array" ref="P79">_xlfn.LET(
    _xlpm.resultado, _xlfn.XLOOKUP(B79&amp;"", 'Registro EMO'!$C$13:$C$4248&amp;"", 'Registro EMO'!$I$13:$I$4248, "NO", 0, -1),
    IF(_xlpm.resultado=0, "NO", _xlpm.resultado)
)</f>
        <v>NO</v>
      </c>
      <c r="Q79" s="11" t="str">
        <f t="shared" ca="1" si="8"/>
        <v>Pendiente</v>
      </c>
      <c r="R79" s="96"/>
      <c r="S79" s="11"/>
      <c r="T79" s="11" t="str">
        <f t="shared" si="9"/>
        <v/>
      </c>
      <c r="U79" s="11"/>
      <c r="V79" s="11"/>
      <c r="W79" s="29"/>
      <c r="X79" s="129"/>
      <c r="Y79" s="11"/>
      <c r="Z79" s="11"/>
      <c r="AA79" s="11"/>
      <c r="AB79" s="11"/>
      <c r="AC79" s="11"/>
      <c r="AD79" s="11"/>
      <c r="AE79" s="11"/>
      <c r="AF79" s="11"/>
      <c r="AG79" s="98"/>
      <c r="AH79" s="11"/>
    </row>
    <row r="80" spans="1:34" hidden="1" x14ac:dyDescent="0.3">
      <c r="A80" s="7" t="str">
        <f t="shared" si="5"/>
        <v>TR-1079</v>
      </c>
      <c r="B80" s="11" t="s">
        <v>408</v>
      </c>
      <c r="C80" s="141" t="s">
        <v>409</v>
      </c>
      <c r="D80" s="98">
        <v>36107</v>
      </c>
      <c r="E80" s="111">
        <f t="shared" ca="1" si="6"/>
        <v>27</v>
      </c>
      <c r="F80" s="132" t="s">
        <v>743</v>
      </c>
      <c r="G80" s="11" t="s">
        <v>254</v>
      </c>
      <c r="H80" s="139" t="s">
        <v>746</v>
      </c>
      <c r="I80" s="140" t="s">
        <v>751</v>
      </c>
      <c r="J80" s="132"/>
      <c r="K80" s="11" t="s">
        <v>773</v>
      </c>
      <c r="L80" s="96">
        <v>45047</v>
      </c>
      <c r="M80" s="96" t="str" cm="1">
        <f t="array" ref="M80">_xlfn.XLOOKUP(B80&amp;"", 'Registro EMO'!$C$13:$C$4248&amp;"", 'Registro EMO'!$F$13:$F$4248, "Sin registro", 0, -1)</f>
        <v>21/03/2026</v>
      </c>
      <c r="N80" s="11" t="str" cm="1">
        <f t="array" ref="N80">_xlfn.XLOOKUP(B80&amp;"", 'Registro EMO'!$C$13:$C$4248&amp;"", 'Registro EMO'!$E$13:$E$4248, "Sin registro", 0, -1)</f>
        <v>Pre-Ocupacional</v>
      </c>
      <c r="O80" s="11" t="str">
        <f t="shared" si="7"/>
        <v>SI</v>
      </c>
      <c r="P80" s="150" cm="1">
        <f t="array" ref="P80">_xlfn.LET(
    _xlpm.resultado, _xlfn.XLOOKUP(B80&amp;"", 'Registro EMO'!$C$13:$C$4248&amp;"", 'Registro EMO'!$I$13:$I$4248, "NO", 0, -1),
    IF(_xlpm.resultado=0, "NO", _xlpm.resultado)
)</f>
        <v>45015</v>
      </c>
      <c r="Q80" s="11" t="str">
        <f t="shared" ca="1" si="8"/>
        <v>Vigente</v>
      </c>
      <c r="R80" s="96"/>
      <c r="S80" s="11"/>
      <c r="T80" s="11" t="str">
        <f t="shared" si="9"/>
        <v/>
      </c>
      <c r="U80" s="11"/>
      <c r="V80" s="11" t="s">
        <v>796</v>
      </c>
      <c r="W80" s="29" t="s">
        <v>790</v>
      </c>
      <c r="X80" s="129"/>
      <c r="Y80" s="11"/>
      <c r="Z80" s="11"/>
      <c r="AA80" s="11"/>
      <c r="AB80" s="11"/>
      <c r="AC80" s="11"/>
      <c r="AD80" s="11"/>
      <c r="AE80" s="11"/>
      <c r="AF80" s="11"/>
      <c r="AG80" s="98"/>
      <c r="AH80" s="11" t="s">
        <v>32</v>
      </c>
    </row>
    <row r="81" spans="1:34" ht="28.8" hidden="1" x14ac:dyDescent="0.3">
      <c r="A81" s="7" t="str">
        <f t="shared" si="5"/>
        <v>TR-1080</v>
      </c>
      <c r="B81" s="11" t="s">
        <v>410</v>
      </c>
      <c r="C81" s="141" t="s">
        <v>411</v>
      </c>
      <c r="D81" s="98">
        <v>34007</v>
      </c>
      <c r="E81" s="111">
        <f t="shared" ca="1" si="6"/>
        <v>33</v>
      </c>
      <c r="F81" s="132" t="s">
        <v>743</v>
      </c>
      <c r="G81" s="11" t="s">
        <v>254</v>
      </c>
      <c r="H81" s="139" t="s">
        <v>746</v>
      </c>
      <c r="I81" s="140" t="s">
        <v>751</v>
      </c>
      <c r="J81" s="132"/>
      <c r="K81" s="11" t="s">
        <v>773</v>
      </c>
      <c r="L81" s="96">
        <v>45938</v>
      </c>
      <c r="M81" s="96" t="str" cm="1">
        <f t="array" ref="M81">_xlfn.XLOOKUP(B81&amp;"", 'Registro EMO'!$C$13:$C$4248&amp;"", 'Registro EMO'!$F$13:$F$4248, "Sin registro", 0, -1)</f>
        <v>19/09/2026</v>
      </c>
      <c r="N81" s="11" t="str" cm="1">
        <f t="array" ref="N81">_xlfn.XLOOKUP(B81&amp;"", 'Registro EMO'!$C$13:$C$4248&amp;"", 'Registro EMO'!$E$13:$E$4248, "Sin registro", 0, -1)</f>
        <v>Pre-Ocupacional</v>
      </c>
      <c r="O81" s="11" t="str">
        <f t="shared" si="7"/>
        <v>SI</v>
      </c>
      <c r="P81" s="150" cm="1">
        <f t="array" ref="P81">_xlfn.LET(
    _xlpm.resultado, _xlfn.XLOOKUP(B81&amp;"", 'Registro EMO'!$C$13:$C$4248&amp;"", 'Registro EMO'!$I$13:$I$4248, "NO", 0, -1),
    IF(_xlpm.resultado=0, "NO", _xlpm.resultado)
)</f>
        <v>45565</v>
      </c>
      <c r="Q81" s="11" t="str">
        <f t="shared" ca="1" si="8"/>
        <v>Vigente</v>
      </c>
      <c r="R81" s="96"/>
      <c r="S81" s="11"/>
      <c r="T81" s="11" t="str">
        <f t="shared" si="9"/>
        <v/>
      </c>
      <c r="U81" s="11"/>
      <c r="V81" s="11" t="s">
        <v>796</v>
      </c>
      <c r="W81" s="29" t="s">
        <v>780</v>
      </c>
      <c r="X81" s="129"/>
      <c r="Y81" s="11"/>
      <c r="Z81" s="11"/>
      <c r="AA81" s="11"/>
      <c r="AB81" s="11"/>
      <c r="AC81" s="11"/>
      <c r="AD81" s="11"/>
      <c r="AE81" s="11"/>
      <c r="AF81" s="11"/>
      <c r="AG81" s="98"/>
      <c r="AH81" s="11" t="s">
        <v>32</v>
      </c>
    </row>
    <row r="82" spans="1:34" hidden="1" x14ac:dyDescent="0.3">
      <c r="A82" s="7" t="str">
        <f t="shared" si="5"/>
        <v>TR-1081</v>
      </c>
      <c r="B82" s="11" t="s">
        <v>412</v>
      </c>
      <c r="C82" s="141" t="s">
        <v>413</v>
      </c>
      <c r="D82" s="98">
        <v>33113</v>
      </c>
      <c r="E82" s="111">
        <f t="shared" ca="1" si="6"/>
        <v>35</v>
      </c>
      <c r="F82" s="132" t="s">
        <v>743</v>
      </c>
      <c r="G82" s="11" t="s">
        <v>254</v>
      </c>
      <c r="H82" s="139" t="s">
        <v>746</v>
      </c>
      <c r="I82" s="140" t="s">
        <v>747</v>
      </c>
      <c r="J82" s="132"/>
      <c r="K82" s="11" t="s">
        <v>773</v>
      </c>
      <c r="L82" s="96">
        <v>43998</v>
      </c>
      <c r="M82" s="96" cm="1">
        <f t="array" ref="M82">_xlfn.XLOOKUP(B82&amp;"", 'Registro EMO'!$C$13:$C$4248&amp;"", 'Registro EMO'!$F$13:$F$4248, "Sin registro", 0, -1)</f>
        <v>46044</v>
      </c>
      <c r="N82" s="11" t="str" cm="1">
        <f t="array" ref="N82">_xlfn.XLOOKUP(B82&amp;"", 'Registro EMO'!$C$13:$C$4248&amp;"", 'Registro EMO'!$E$13:$E$4248, "Sin registro", 0, -1)</f>
        <v>Pre-Ocupacional</v>
      </c>
      <c r="O82" s="11" t="str">
        <f t="shared" si="7"/>
        <v>SI</v>
      </c>
      <c r="P82" s="150" cm="1">
        <f t="array" ref="P82">_xlfn.LET(
    _xlpm.resultado, _xlfn.XLOOKUP(B82&amp;"", 'Registro EMO'!$C$13:$C$4248&amp;"", 'Registro EMO'!$I$13:$I$4248, "NO", 0, -1),
    IF(_xlpm.resultado=0, "NO", _xlpm.resultado)
)</f>
        <v>46077</v>
      </c>
      <c r="Q82" s="11" t="str">
        <f t="shared" ca="1" si="8"/>
        <v>Vigente</v>
      </c>
      <c r="R82" s="96"/>
      <c r="S82" s="11"/>
      <c r="T82" s="11" t="str">
        <f t="shared" si="9"/>
        <v/>
      </c>
      <c r="U82" s="152"/>
      <c r="V82" s="11" t="s">
        <v>796</v>
      </c>
      <c r="W82" s="29"/>
      <c r="X82" s="129"/>
      <c r="Y82" s="11"/>
      <c r="Z82" s="11"/>
      <c r="AA82" s="11"/>
      <c r="AB82" s="11"/>
      <c r="AC82" s="11"/>
      <c r="AD82" s="11"/>
      <c r="AE82" s="11"/>
      <c r="AF82" s="11"/>
      <c r="AG82" s="98"/>
      <c r="AH82" s="11" t="s">
        <v>32</v>
      </c>
    </row>
    <row r="83" spans="1:34" ht="43.2" hidden="1" x14ac:dyDescent="0.3">
      <c r="A83" s="7" t="str">
        <f t="shared" si="5"/>
        <v>TR-1082</v>
      </c>
      <c r="B83" s="11" t="s">
        <v>414</v>
      </c>
      <c r="C83" s="141" t="s">
        <v>415</v>
      </c>
      <c r="D83" s="98">
        <v>29010</v>
      </c>
      <c r="E83" s="111">
        <f t="shared" ca="1" si="6"/>
        <v>46</v>
      </c>
      <c r="F83" s="132" t="s">
        <v>743</v>
      </c>
      <c r="G83" s="11" t="s">
        <v>254</v>
      </c>
      <c r="H83" s="139" t="s">
        <v>744</v>
      </c>
      <c r="I83" s="140" t="s">
        <v>748</v>
      </c>
      <c r="J83" s="132"/>
      <c r="K83" s="11" t="s">
        <v>774</v>
      </c>
      <c r="L83" s="96">
        <v>45978</v>
      </c>
      <c r="M83" s="96" t="str" cm="1">
        <f t="array" ref="M83">_xlfn.XLOOKUP(B83&amp;"", 'Registro EMO'!$C$13:$C$4248&amp;"", 'Registro EMO'!$F$13:$F$4248, "Sin registro", 0, -1)</f>
        <v>14/11/2026</v>
      </c>
      <c r="N83" s="11" t="str" cm="1">
        <f t="array" ref="N83">_xlfn.XLOOKUP(B83&amp;"", 'Registro EMO'!$C$13:$C$4248&amp;"", 'Registro EMO'!$E$13:$E$4248, "Sin registro", 0, -1)</f>
        <v>Ocupacional</v>
      </c>
      <c r="O83" s="11" t="str">
        <f t="shared" si="7"/>
        <v>NO</v>
      </c>
      <c r="P83" s="130" t="str" cm="1">
        <f t="array" ref="P83">_xlfn.LET(
    _xlpm.resultado, _xlfn.XLOOKUP(B83&amp;"", 'Registro EMO'!$C$13:$C$4248&amp;"", 'Registro EMO'!$I$13:$I$4248, "NO", 0, -1),
    IF(_xlpm.resultado=0, "NO", _xlpm.resultado)
)</f>
        <v>NO</v>
      </c>
      <c r="Q83" s="11" t="str">
        <f t="shared" ca="1" si="8"/>
        <v>Vigente</v>
      </c>
      <c r="R83" s="96"/>
      <c r="S83" s="11"/>
      <c r="T83" s="11" t="str">
        <f t="shared" si="9"/>
        <v/>
      </c>
      <c r="U83" s="11"/>
      <c r="V83" s="11" t="s">
        <v>796</v>
      </c>
      <c r="W83" s="29" t="s">
        <v>791</v>
      </c>
      <c r="X83" s="129"/>
      <c r="Y83" s="11"/>
      <c r="Z83" s="11"/>
      <c r="AA83" s="11"/>
      <c r="AB83" s="11"/>
      <c r="AC83" s="11"/>
      <c r="AD83" s="11"/>
      <c r="AE83" s="11"/>
      <c r="AF83" s="11"/>
      <c r="AG83" s="98"/>
      <c r="AH83" s="11" t="s">
        <v>32</v>
      </c>
    </row>
    <row r="84" spans="1:34" hidden="1" x14ac:dyDescent="0.3">
      <c r="A84" s="7" t="str">
        <f t="shared" si="5"/>
        <v>TR-1083</v>
      </c>
      <c r="B84" s="11" t="s">
        <v>416</v>
      </c>
      <c r="C84" s="141" t="s">
        <v>417</v>
      </c>
      <c r="D84" s="98">
        <v>35639</v>
      </c>
      <c r="E84" s="111">
        <f t="shared" ca="1" si="6"/>
        <v>28</v>
      </c>
      <c r="F84" s="132" t="s">
        <v>743</v>
      </c>
      <c r="G84" s="11" t="s">
        <v>254</v>
      </c>
      <c r="H84" s="139" t="s">
        <v>744</v>
      </c>
      <c r="I84" s="140" t="s">
        <v>748</v>
      </c>
      <c r="J84" s="132"/>
      <c r="K84" s="11" t="s">
        <v>773</v>
      </c>
      <c r="L84" s="96">
        <v>45980</v>
      </c>
      <c r="M84" s="96" t="str" cm="1">
        <f t="array" ref="M84">_xlfn.XLOOKUP(B84&amp;"", 'Registro EMO'!$C$13:$C$4248&amp;"", 'Registro EMO'!$F$13:$F$4248, "Sin registro", 0, -1)</f>
        <v>Sin registro</v>
      </c>
      <c r="N84" s="11" t="str" cm="1">
        <f t="array" ref="N84">_xlfn.XLOOKUP(B84&amp;"", 'Registro EMO'!$C$13:$C$4248&amp;"", 'Registro EMO'!$E$13:$E$4248, "Sin registro", 0, -1)</f>
        <v>Sin registro</v>
      </c>
      <c r="O84" s="11" t="str">
        <f t="shared" si="7"/>
        <v>NO</v>
      </c>
      <c r="P84" s="130" t="str" cm="1">
        <f t="array" ref="P84">_xlfn.LET(
    _xlpm.resultado, _xlfn.XLOOKUP(B84&amp;"", 'Registro EMO'!$C$13:$C$4248&amp;"", 'Registro EMO'!$I$13:$I$4248, "NO", 0, -1),
    IF(_xlpm.resultado=0, "NO", _xlpm.resultado)
)</f>
        <v>NO</v>
      </c>
      <c r="Q84" s="11" t="str">
        <f t="shared" ca="1" si="8"/>
        <v>Pendiente</v>
      </c>
      <c r="R84" s="96"/>
      <c r="S84" s="11"/>
      <c r="T84" s="11" t="str">
        <f t="shared" si="9"/>
        <v/>
      </c>
      <c r="U84" s="11"/>
      <c r="V84" s="11"/>
      <c r="W84" s="29"/>
      <c r="X84" s="129"/>
      <c r="Y84" s="11"/>
      <c r="Z84" s="11"/>
      <c r="AA84" s="11"/>
      <c r="AB84" s="11"/>
      <c r="AC84" s="11"/>
      <c r="AD84" s="11"/>
      <c r="AE84" s="11"/>
      <c r="AF84" s="11"/>
      <c r="AG84" s="98"/>
      <c r="AH84" s="11"/>
    </row>
    <row r="85" spans="1:34" hidden="1" x14ac:dyDescent="0.3">
      <c r="A85" s="7" t="str">
        <f t="shared" si="5"/>
        <v>TR-1084</v>
      </c>
      <c r="B85" s="11" t="s">
        <v>418</v>
      </c>
      <c r="C85" s="141" t="s">
        <v>419</v>
      </c>
      <c r="D85" s="98">
        <v>28926</v>
      </c>
      <c r="E85" s="111">
        <f t="shared" ca="1" si="6"/>
        <v>47</v>
      </c>
      <c r="F85" s="132" t="s">
        <v>743</v>
      </c>
      <c r="G85" s="11" t="s">
        <v>254</v>
      </c>
      <c r="H85" s="139" t="s">
        <v>744</v>
      </c>
      <c r="I85" s="140" t="s">
        <v>756</v>
      </c>
      <c r="J85" s="132"/>
      <c r="K85" s="11" t="s">
        <v>773</v>
      </c>
      <c r="L85" s="96">
        <v>45520</v>
      </c>
      <c r="M85" s="96" t="str" cm="1">
        <f t="array" ref="M85">_xlfn.XLOOKUP(B85&amp;"", 'Registro EMO'!$C$13:$C$4248&amp;"", 'Registro EMO'!$F$13:$F$4248, "Sin registro", 0, -1)</f>
        <v>Sin registro</v>
      </c>
      <c r="N85" s="11" t="str" cm="1">
        <f t="array" ref="N85">_xlfn.XLOOKUP(B85&amp;"", 'Registro EMO'!$C$13:$C$4248&amp;"", 'Registro EMO'!$E$13:$E$4248, "Sin registro", 0, -1)</f>
        <v>Sin registro</v>
      </c>
      <c r="O85" s="11" t="str">
        <f t="shared" si="7"/>
        <v>NO</v>
      </c>
      <c r="P85" s="130" t="str" cm="1">
        <f t="array" ref="P85">_xlfn.LET(
    _xlpm.resultado, _xlfn.XLOOKUP(B85&amp;"", 'Registro EMO'!$C$13:$C$4248&amp;"", 'Registro EMO'!$I$13:$I$4248, "NO", 0, -1),
    IF(_xlpm.resultado=0, "NO", _xlpm.resultado)
)</f>
        <v>NO</v>
      </c>
      <c r="Q85" s="11" t="str">
        <f t="shared" ca="1" si="8"/>
        <v>Pendiente</v>
      </c>
      <c r="R85" s="96"/>
      <c r="S85" s="11"/>
      <c r="T85" s="11" t="str">
        <f t="shared" si="9"/>
        <v/>
      </c>
      <c r="U85" s="11"/>
      <c r="V85" s="11"/>
      <c r="W85" s="29"/>
      <c r="X85" s="129"/>
      <c r="Y85" s="11"/>
      <c r="Z85" s="11"/>
      <c r="AA85" s="11"/>
      <c r="AB85" s="11"/>
      <c r="AC85" s="11"/>
      <c r="AD85" s="11"/>
      <c r="AE85" s="11"/>
      <c r="AF85" s="11"/>
      <c r="AG85" s="98"/>
      <c r="AH85" s="11"/>
    </row>
    <row r="86" spans="1:34" ht="28.8" hidden="1" x14ac:dyDescent="0.3">
      <c r="A86" s="7" t="str">
        <f t="shared" si="5"/>
        <v>TR-1085</v>
      </c>
      <c r="B86" s="11" t="s">
        <v>420</v>
      </c>
      <c r="C86" s="141" t="s">
        <v>421</v>
      </c>
      <c r="D86" s="98">
        <v>30494</v>
      </c>
      <c r="E86" s="111">
        <f t="shared" ca="1" si="6"/>
        <v>42</v>
      </c>
      <c r="F86" s="132" t="s">
        <v>743</v>
      </c>
      <c r="G86" s="11" t="s">
        <v>254</v>
      </c>
      <c r="H86" s="139" t="s">
        <v>744</v>
      </c>
      <c r="I86" s="140" t="s">
        <v>748</v>
      </c>
      <c r="J86" s="132"/>
      <c r="K86" s="11" t="s">
        <v>773</v>
      </c>
      <c r="L86" s="96">
        <v>44866</v>
      </c>
      <c r="M86" s="96" t="str" cm="1">
        <f t="array" ref="M86">_xlfn.XLOOKUP(B86&amp;"", 'Registro EMO'!$C$13:$C$4248&amp;"", 'Registro EMO'!$F$13:$F$4248, "Sin registro", 0, -1)</f>
        <v>27/01/2026</v>
      </c>
      <c r="N86" s="11" t="str" cm="1">
        <f t="array" ref="N86">_xlfn.XLOOKUP(B86&amp;"", 'Registro EMO'!$C$13:$C$4248&amp;"", 'Registro EMO'!$E$13:$E$4248, "Sin registro", 0, -1)</f>
        <v>Pre-Ocupacional</v>
      </c>
      <c r="O86" s="11" t="str">
        <f t="shared" si="7"/>
        <v>SI</v>
      </c>
      <c r="P86" s="150" cm="1">
        <f t="array" ref="P86">_xlfn.LET(
    _xlpm.resultado, _xlfn.XLOOKUP(B86&amp;"", 'Registro EMO'!$C$13:$C$4248&amp;"", 'Registro EMO'!$I$13:$I$4248, "NO", 0, -1),
    IF(_xlpm.resultado=0, "NO", _xlpm.resultado)
)</f>
        <v>44967</v>
      </c>
      <c r="Q86" s="11" t="str">
        <f t="shared" ca="1" si="8"/>
        <v>Vigente</v>
      </c>
      <c r="R86" s="96"/>
      <c r="S86" s="11"/>
      <c r="T86" s="11" t="str">
        <f t="shared" si="9"/>
        <v/>
      </c>
      <c r="U86" s="11"/>
      <c r="V86" s="11" t="s">
        <v>796</v>
      </c>
      <c r="W86" s="29" t="s">
        <v>779</v>
      </c>
      <c r="X86" s="129"/>
      <c r="Y86" s="11"/>
      <c r="Z86" s="11"/>
      <c r="AA86" s="11"/>
      <c r="AB86" s="11"/>
      <c r="AC86" s="11"/>
      <c r="AD86" s="11"/>
      <c r="AE86" s="11"/>
      <c r="AF86" s="11"/>
      <c r="AG86" s="98"/>
      <c r="AH86" s="11" t="s">
        <v>32</v>
      </c>
    </row>
    <row r="87" spans="1:34" hidden="1" x14ac:dyDescent="0.3">
      <c r="A87" s="7" t="str">
        <f t="shared" si="5"/>
        <v>TR-1086</v>
      </c>
      <c r="B87" s="11" t="s">
        <v>422</v>
      </c>
      <c r="C87" s="141" t="s">
        <v>423</v>
      </c>
      <c r="D87" s="98">
        <v>27281</v>
      </c>
      <c r="E87" s="111">
        <f t="shared" ca="1" si="6"/>
        <v>51</v>
      </c>
      <c r="F87" s="132" t="s">
        <v>743</v>
      </c>
      <c r="G87" s="11" t="s">
        <v>254</v>
      </c>
      <c r="H87" s="139" t="s">
        <v>746</v>
      </c>
      <c r="I87" s="140" t="s">
        <v>747</v>
      </c>
      <c r="J87" s="132"/>
      <c r="K87" s="11" t="s">
        <v>773</v>
      </c>
      <c r="L87" s="96">
        <v>45938</v>
      </c>
      <c r="M87" s="96" t="str" cm="1">
        <f t="array" ref="M87">_xlfn.XLOOKUP(B87&amp;"", 'Registro EMO'!$C$13:$C$4248&amp;"", 'Registro EMO'!$F$13:$F$4248, "Sin registro", 0, -1)</f>
        <v>Sin registro</v>
      </c>
      <c r="N87" s="11" t="str" cm="1">
        <f t="array" ref="N87">_xlfn.XLOOKUP(B87&amp;"", 'Registro EMO'!$C$13:$C$4248&amp;"", 'Registro EMO'!$E$13:$E$4248, "Sin registro", 0, -1)</f>
        <v>Sin registro</v>
      </c>
      <c r="O87" s="11" t="str">
        <f t="shared" si="7"/>
        <v>NO</v>
      </c>
      <c r="P87" s="130" t="str" cm="1">
        <f t="array" ref="P87">_xlfn.LET(
    _xlpm.resultado, _xlfn.XLOOKUP(B87&amp;"", 'Registro EMO'!$C$13:$C$4248&amp;"", 'Registro EMO'!$I$13:$I$4248, "NO", 0, -1),
    IF(_xlpm.resultado=0, "NO", _xlpm.resultado)
)</f>
        <v>NO</v>
      </c>
      <c r="Q87" s="11" t="str">
        <f t="shared" ca="1" si="8"/>
        <v>Pendiente</v>
      </c>
      <c r="R87" s="96"/>
      <c r="S87" s="11"/>
      <c r="T87" s="11" t="str">
        <f t="shared" si="9"/>
        <v/>
      </c>
      <c r="U87" s="11"/>
      <c r="V87" s="11"/>
      <c r="W87" s="29"/>
      <c r="X87" s="129"/>
      <c r="Y87" s="11"/>
      <c r="Z87" s="11"/>
      <c r="AA87" s="11"/>
      <c r="AB87" s="11"/>
      <c r="AC87" s="11"/>
      <c r="AD87" s="11"/>
      <c r="AE87" s="11"/>
      <c r="AF87" s="11"/>
      <c r="AG87" s="98"/>
      <c r="AH87" s="11"/>
    </row>
    <row r="88" spans="1:34" hidden="1" x14ac:dyDescent="0.3">
      <c r="A88" s="7" t="str">
        <f t="shared" si="5"/>
        <v>TR-1087</v>
      </c>
      <c r="B88" s="11" t="s">
        <v>424</v>
      </c>
      <c r="C88" s="141" t="s">
        <v>425</v>
      </c>
      <c r="D88" s="98">
        <v>37603</v>
      </c>
      <c r="E88" s="111">
        <f t="shared" ca="1" si="6"/>
        <v>23</v>
      </c>
      <c r="F88" s="132" t="s">
        <v>743</v>
      </c>
      <c r="G88" s="11" t="s">
        <v>254</v>
      </c>
      <c r="H88" s="139" t="s">
        <v>746</v>
      </c>
      <c r="I88" s="140" t="s">
        <v>747</v>
      </c>
      <c r="J88" s="132"/>
      <c r="K88" s="11" t="s">
        <v>773</v>
      </c>
      <c r="L88" s="96">
        <v>43952</v>
      </c>
      <c r="M88" s="96" t="str" cm="1">
        <f t="array" ref="M88">_xlfn.XLOOKUP(B88&amp;"", 'Registro EMO'!$C$13:$C$4248&amp;"", 'Registro EMO'!$F$13:$F$4248, "Sin registro", 0, -1)</f>
        <v>25/07/2026</v>
      </c>
      <c r="N88" s="11" t="str" cm="1">
        <f t="array" ref="N88">_xlfn.XLOOKUP(B88&amp;"", 'Registro EMO'!$C$13:$C$4248&amp;"", 'Registro EMO'!$E$13:$E$4248, "Sin registro", 0, -1)</f>
        <v>Pre-Ocupacional</v>
      </c>
      <c r="O88" s="11" t="str">
        <f t="shared" si="7"/>
        <v>SI</v>
      </c>
      <c r="P88" s="150" cm="1">
        <f t="array" ref="P88">_xlfn.LET(
    _xlpm.resultado, _xlfn.XLOOKUP(B88&amp;"", 'Registro EMO'!$C$13:$C$4248&amp;"", 'Registro EMO'!$I$13:$I$4248, "NO", 0, -1),
    IF(_xlpm.resultado=0, "NO", _xlpm.resultado)
)</f>
        <v>45869</v>
      </c>
      <c r="Q88" s="11" t="str">
        <f t="shared" ca="1" si="8"/>
        <v>Vigente</v>
      </c>
      <c r="R88" s="96"/>
      <c r="S88" s="11"/>
      <c r="T88" s="11" t="str">
        <f t="shared" si="9"/>
        <v/>
      </c>
      <c r="U88" s="11"/>
      <c r="V88" s="11" t="s">
        <v>796</v>
      </c>
      <c r="W88" s="29"/>
      <c r="X88" s="129"/>
      <c r="Y88" s="11"/>
      <c r="Z88" s="11"/>
      <c r="AA88" s="11"/>
      <c r="AB88" s="11"/>
      <c r="AC88" s="11"/>
      <c r="AD88" s="11"/>
      <c r="AE88" s="11"/>
      <c r="AF88" s="11"/>
      <c r="AG88" s="98"/>
      <c r="AH88" s="11" t="s">
        <v>32</v>
      </c>
    </row>
    <row r="89" spans="1:34" hidden="1" x14ac:dyDescent="0.3">
      <c r="A89" s="7" t="str">
        <f t="shared" si="5"/>
        <v>TR-1088</v>
      </c>
      <c r="B89" s="11" t="s">
        <v>426</v>
      </c>
      <c r="C89" s="141" t="s">
        <v>427</v>
      </c>
      <c r="D89" s="98">
        <v>35831</v>
      </c>
      <c r="E89" s="111">
        <f t="shared" ca="1" si="6"/>
        <v>28</v>
      </c>
      <c r="F89" s="132" t="s">
        <v>743</v>
      </c>
      <c r="G89" s="11" t="s">
        <v>254</v>
      </c>
      <c r="H89" s="139" t="s">
        <v>746</v>
      </c>
      <c r="I89" s="140" t="s">
        <v>751</v>
      </c>
      <c r="J89" s="132"/>
      <c r="K89" s="11" t="s">
        <v>773</v>
      </c>
      <c r="L89" s="96">
        <v>44510</v>
      </c>
      <c r="M89" s="96" t="str" cm="1">
        <f t="array" ref="M89">_xlfn.XLOOKUP(B89&amp;"", 'Registro EMO'!$C$13:$C$4248&amp;"", 'Registro EMO'!$F$13:$F$4248, "Sin registro", 0, -1)</f>
        <v>22/10/2026</v>
      </c>
      <c r="N89" s="11" t="str" cm="1">
        <f t="array" ref="N89">_xlfn.XLOOKUP(B89&amp;"", 'Registro EMO'!$C$13:$C$4248&amp;"", 'Registro EMO'!$E$13:$E$4248, "Sin registro", 0, -1)</f>
        <v>Pre-Ocupacional</v>
      </c>
      <c r="O89" s="11" t="str">
        <f t="shared" si="7"/>
        <v>SI</v>
      </c>
      <c r="P89" s="150" cm="1">
        <f t="array" ref="P89">_xlfn.LET(
    _xlpm.resultado, _xlfn.XLOOKUP(B89&amp;"", 'Registro EMO'!$C$13:$C$4248&amp;"", 'Registro EMO'!$I$13:$I$4248, "NO", 0, -1),
    IF(_xlpm.resultado=0, "NO", _xlpm.resultado)
)</f>
        <v>45773</v>
      </c>
      <c r="Q89" s="11" t="str">
        <f t="shared" ca="1" si="8"/>
        <v>Vigente</v>
      </c>
      <c r="R89" s="96"/>
      <c r="S89" s="11"/>
      <c r="T89" s="11" t="str">
        <f t="shared" si="9"/>
        <v/>
      </c>
      <c r="U89" s="11"/>
      <c r="V89" s="11" t="s">
        <v>796</v>
      </c>
      <c r="W89" s="29" t="s">
        <v>778</v>
      </c>
      <c r="X89" s="129"/>
      <c r="Y89" s="11"/>
      <c r="Z89" s="11"/>
      <c r="AA89" s="11"/>
      <c r="AB89" s="11"/>
      <c r="AC89" s="11"/>
      <c r="AD89" s="11"/>
      <c r="AE89" s="11"/>
      <c r="AF89" s="11"/>
      <c r="AG89" s="98"/>
      <c r="AH89" s="11" t="s">
        <v>32</v>
      </c>
    </row>
    <row r="90" spans="1:34" hidden="1" x14ac:dyDescent="0.3">
      <c r="A90" s="7" t="str">
        <f t="shared" si="5"/>
        <v>TR-1089</v>
      </c>
      <c r="B90" s="11" t="s">
        <v>428</v>
      </c>
      <c r="C90" s="141" t="s">
        <v>429</v>
      </c>
      <c r="D90" s="98">
        <v>35018</v>
      </c>
      <c r="E90" s="111">
        <f t="shared" ca="1" si="6"/>
        <v>30</v>
      </c>
      <c r="F90" s="132" t="s">
        <v>743</v>
      </c>
      <c r="G90" s="11" t="s">
        <v>254</v>
      </c>
      <c r="H90" s="139" t="s">
        <v>746</v>
      </c>
      <c r="I90" s="140" t="s">
        <v>751</v>
      </c>
      <c r="J90" s="132"/>
      <c r="K90" s="11" t="s">
        <v>773</v>
      </c>
      <c r="L90" s="96">
        <v>45459</v>
      </c>
      <c r="M90" s="96" t="str" cm="1">
        <f t="array" ref="M90">_xlfn.XLOOKUP(B90&amp;"", 'Registro EMO'!$C$13:$C$4248&amp;"", 'Registro EMO'!$F$13:$F$4248, "Sin registro", 0, -1)</f>
        <v>26/04/2026</v>
      </c>
      <c r="N90" s="11" t="str" cm="1">
        <f t="array" ref="N90">_xlfn.XLOOKUP(B90&amp;"", 'Registro EMO'!$C$13:$C$4248&amp;"", 'Registro EMO'!$E$13:$E$4248, "Sin registro", 0, -1)</f>
        <v>Pre-Ocupacional</v>
      </c>
      <c r="O90" s="11" t="str">
        <f t="shared" si="7"/>
        <v>SI</v>
      </c>
      <c r="P90" s="150" cm="1">
        <f t="array" ref="P90">_xlfn.LET(
    _xlpm.resultado, _xlfn.XLOOKUP(B90&amp;"", 'Registro EMO'!$C$13:$C$4248&amp;"", 'Registro EMO'!$I$13:$I$4248, "NO", 0, -1),
    IF(_xlpm.resultado=0, "NO", _xlpm.resultado)
)</f>
        <v>45746</v>
      </c>
      <c r="Q90" s="11" t="str">
        <f t="shared" ca="1" si="8"/>
        <v>Vigente</v>
      </c>
      <c r="R90" s="96"/>
      <c r="S90" s="11"/>
      <c r="T90" s="11" t="str">
        <f t="shared" si="9"/>
        <v/>
      </c>
      <c r="U90" s="11"/>
      <c r="V90" s="11" t="s">
        <v>807</v>
      </c>
      <c r="W90" s="29"/>
      <c r="X90" s="129"/>
      <c r="Y90" s="11"/>
      <c r="Z90" s="11"/>
      <c r="AA90" s="11"/>
      <c r="AB90" s="11"/>
      <c r="AC90" s="11"/>
      <c r="AD90" s="11"/>
      <c r="AE90" s="11"/>
      <c r="AF90" s="11"/>
      <c r="AG90" s="98"/>
      <c r="AH90" s="11" t="s">
        <v>32</v>
      </c>
    </row>
    <row r="91" spans="1:34" hidden="1" x14ac:dyDescent="0.3">
      <c r="A91" s="7" t="str">
        <f t="shared" si="5"/>
        <v>TR-1090</v>
      </c>
      <c r="B91" s="11" t="s">
        <v>430</v>
      </c>
      <c r="C91" s="141" t="s">
        <v>431</v>
      </c>
      <c r="D91" s="98">
        <v>31486</v>
      </c>
      <c r="E91" s="111">
        <f t="shared" ca="1" si="6"/>
        <v>39</v>
      </c>
      <c r="F91" s="132" t="s">
        <v>743</v>
      </c>
      <c r="G91" s="11" t="s">
        <v>254</v>
      </c>
      <c r="H91" s="139" t="s">
        <v>754</v>
      </c>
      <c r="I91" s="140" t="s">
        <v>760</v>
      </c>
      <c r="J91" s="132"/>
      <c r="K91" s="11" t="s">
        <v>773</v>
      </c>
      <c r="L91" s="96">
        <v>41699</v>
      </c>
      <c r="M91" s="96" t="str" cm="1">
        <f t="array" ref="M91">_xlfn.XLOOKUP(B91&amp;"", 'Registro EMO'!$C$13:$C$4248&amp;"", 'Registro EMO'!$F$13:$F$4248, "Sin registro", 0, -1)</f>
        <v>29/04/2026</v>
      </c>
      <c r="N91" s="11" t="str" cm="1">
        <f t="array" ref="N91">_xlfn.XLOOKUP(B91&amp;"", 'Registro EMO'!$C$13:$C$4248&amp;"", 'Registro EMO'!$E$13:$E$4248, "Sin registro", 0, -1)</f>
        <v>Pre-Ocupacional</v>
      </c>
      <c r="O91" s="11" t="str">
        <f t="shared" si="7"/>
        <v>SI</v>
      </c>
      <c r="P91" s="150" cm="1">
        <f t="array" ref="P91">_xlfn.LET(
    _xlpm.resultado, _xlfn.XLOOKUP(B91&amp;"", 'Registro EMO'!$C$13:$C$4248&amp;"", 'Registro EMO'!$I$13:$I$4248, "NO", 0, -1),
    IF(_xlpm.resultado=0, "NO", _xlpm.resultado)
)</f>
        <v>45412</v>
      </c>
      <c r="Q91" s="11" t="str">
        <f t="shared" ca="1" si="8"/>
        <v>Vigente</v>
      </c>
      <c r="R91" s="96"/>
      <c r="S91" s="11"/>
      <c r="T91" s="11" t="str">
        <f t="shared" si="9"/>
        <v/>
      </c>
      <c r="U91" s="11"/>
      <c r="V91" s="11" t="s">
        <v>796</v>
      </c>
      <c r="W91" s="29" t="s">
        <v>792</v>
      </c>
      <c r="X91" s="129"/>
      <c r="Y91" s="11"/>
      <c r="Z91" s="11"/>
      <c r="AA91" s="11"/>
      <c r="AB91" s="11"/>
      <c r="AC91" s="11"/>
      <c r="AD91" s="11"/>
      <c r="AE91" s="11"/>
      <c r="AF91" s="11"/>
      <c r="AG91" s="98"/>
      <c r="AH91" s="11" t="s">
        <v>32</v>
      </c>
    </row>
    <row r="92" spans="1:34" hidden="1" x14ac:dyDescent="0.3">
      <c r="A92" s="7" t="str">
        <f t="shared" si="5"/>
        <v>TR-1091</v>
      </c>
      <c r="B92" s="11" t="s">
        <v>432</v>
      </c>
      <c r="C92" s="141" t="s">
        <v>433</v>
      </c>
      <c r="D92" s="98">
        <v>38962</v>
      </c>
      <c r="E92" s="111">
        <f t="shared" ca="1" si="6"/>
        <v>19</v>
      </c>
      <c r="F92" s="132" t="s">
        <v>743</v>
      </c>
      <c r="G92" s="11" t="s">
        <v>254</v>
      </c>
      <c r="H92" s="139" t="s">
        <v>746</v>
      </c>
      <c r="I92" s="140" t="s">
        <v>747</v>
      </c>
      <c r="J92" s="132"/>
      <c r="K92" s="11" t="s">
        <v>773</v>
      </c>
      <c r="L92" s="96">
        <v>45903</v>
      </c>
      <c r="M92" s="96" t="str" cm="1">
        <f t="array" ref="M92">_xlfn.XLOOKUP(B92&amp;"", 'Registro EMO'!$C$13:$C$4248&amp;"", 'Registro EMO'!$F$13:$F$4248, "Sin registro", 0, -1)</f>
        <v>Sin registro</v>
      </c>
      <c r="N92" s="11" t="str" cm="1">
        <f t="array" ref="N92">_xlfn.XLOOKUP(B92&amp;"", 'Registro EMO'!$C$13:$C$4248&amp;"", 'Registro EMO'!$E$13:$E$4248, "Sin registro", 0, -1)</f>
        <v>Sin registro</v>
      </c>
      <c r="O92" s="11" t="str">
        <f t="shared" si="7"/>
        <v>NO</v>
      </c>
      <c r="P92" s="130" t="str" cm="1">
        <f t="array" ref="P92">_xlfn.LET(
    _xlpm.resultado, _xlfn.XLOOKUP(B92&amp;"", 'Registro EMO'!$C$13:$C$4248&amp;"", 'Registro EMO'!$I$13:$I$4248, "NO", 0, -1),
    IF(_xlpm.resultado=0, "NO", _xlpm.resultado)
)</f>
        <v>NO</v>
      </c>
      <c r="Q92" s="11" t="str">
        <f t="shared" ca="1" si="8"/>
        <v>Pendiente</v>
      </c>
      <c r="R92" s="96"/>
      <c r="S92" s="11"/>
      <c r="T92" s="11" t="str">
        <f t="shared" si="9"/>
        <v/>
      </c>
      <c r="U92" s="11"/>
      <c r="V92" s="11"/>
      <c r="W92" s="29"/>
      <c r="X92" s="129"/>
      <c r="Y92" s="11"/>
      <c r="Z92" s="11"/>
      <c r="AA92" s="11"/>
      <c r="AB92" s="11"/>
      <c r="AC92" s="11"/>
      <c r="AD92" s="11"/>
      <c r="AE92" s="11"/>
      <c r="AF92" s="11"/>
      <c r="AG92" s="98"/>
      <c r="AH92" s="11"/>
    </row>
    <row r="93" spans="1:34" hidden="1" x14ac:dyDescent="0.3">
      <c r="A93" s="7" t="str">
        <f t="shared" si="5"/>
        <v>TR-1092</v>
      </c>
      <c r="B93" s="11" t="s">
        <v>434</v>
      </c>
      <c r="C93" s="141" t="s">
        <v>435</v>
      </c>
      <c r="D93" s="98">
        <v>38695</v>
      </c>
      <c r="E93" s="111">
        <f t="shared" ca="1" si="6"/>
        <v>20</v>
      </c>
      <c r="F93" s="132" t="s">
        <v>743</v>
      </c>
      <c r="G93" s="11" t="s">
        <v>254</v>
      </c>
      <c r="H93" s="139" t="s">
        <v>746</v>
      </c>
      <c r="I93" s="140" t="s">
        <v>747</v>
      </c>
      <c r="J93" s="132"/>
      <c r="K93" s="11" t="s">
        <v>773</v>
      </c>
      <c r="L93" s="96">
        <v>45927</v>
      </c>
      <c r="M93" s="96" t="str" cm="1">
        <f t="array" ref="M93">_xlfn.XLOOKUP(B93&amp;"", 'Registro EMO'!$C$13:$C$4248&amp;"", 'Registro EMO'!$F$13:$F$4248, "Sin registro", 0, -1)</f>
        <v>Sin registro</v>
      </c>
      <c r="N93" s="11" t="str" cm="1">
        <f t="array" ref="N93">_xlfn.XLOOKUP(B93&amp;"", 'Registro EMO'!$C$13:$C$4248&amp;"", 'Registro EMO'!$E$13:$E$4248, "Sin registro", 0, -1)</f>
        <v>Sin registro</v>
      </c>
      <c r="O93" s="11" t="str">
        <f t="shared" si="7"/>
        <v>NO</v>
      </c>
      <c r="P93" s="130" t="str" cm="1">
        <f t="array" ref="P93">_xlfn.LET(
    _xlpm.resultado, _xlfn.XLOOKUP(B93&amp;"", 'Registro EMO'!$C$13:$C$4248&amp;"", 'Registro EMO'!$I$13:$I$4248, "NO", 0, -1),
    IF(_xlpm.resultado=0, "NO", _xlpm.resultado)
)</f>
        <v>NO</v>
      </c>
      <c r="Q93" s="11" t="str">
        <f t="shared" ca="1" si="8"/>
        <v>Pendiente</v>
      </c>
      <c r="R93" s="96"/>
      <c r="S93" s="11"/>
      <c r="T93" s="11" t="str">
        <f t="shared" si="9"/>
        <v/>
      </c>
      <c r="U93" s="11"/>
      <c r="V93" s="11"/>
      <c r="W93" s="29"/>
      <c r="X93" s="129"/>
      <c r="Y93" s="11"/>
      <c r="Z93" s="11"/>
      <c r="AA93" s="11"/>
      <c r="AB93" s="11"/>
      <c r="AC93" s="11"/>
      <c r="AD93" s="11"/>
      <c r="AE93" s="11"/>
      <c r="AF93" s="11"/>
      <c r="AG93" s="98"/>
      <c r="AH93" s="11"/>
    </row>
    <row r="94" spans="1:34" hidden="1" x14ac:dyDescent="0.3">
      <c r="A94" s="7" t="str">
        <f t="shared" si="5"/>
        <v>TR-1093</v>
      </c>
      <c r="B94" s="11" t="s">
        <v>436</v>
      </c>
      <c r="C94" s="141" t="s">
        <v>437</v>
      </c>
      <c r="D94" s="98">
        <v>39291</v>
      </c>
      <c r="E94" s="111">
        <f t="shared" ca="1" si="6"/>
        <v>18</v>
      </c>
      <c r="F94" s="132" t="s">
        <v>743</v>
      </c>
      <c r="G94" s="11" t="s">
        <v>254</v>
      </c>
      <c r="H94" s="139" t="s">
        <v>746</v>
      </c>
      <c r="I94" s="140" t="s">
        <v>751</v>
      </c>
      <c r="J94" s="132"/>
      <c r="K94" s="11" t="s">
        <v>773</v>
      </c>
      <c r="L94" s="96">
        <v>45950</v>
      </c>
      <c r="M94" s="96" t="str" cm="1">
        <f t="array" ref="M94">_xlfn.XLOOKUP(B94&amp;"", 'Registro EMO'!$C$13:$C$4248&amp;"", 'Registro EMO'!$F$13:$F$4248, "Sin registro", 0, -1)</f>
        <v>Sin registro</v>
      </c>
      <c r="N94" s="11" t="str" cm="1">
        <f t="array" ref="N94">_xlfn.XLOOKUP(B94&amp;"", 'Registro EMO'!$C$13:$C$4248&amp;"", 'Registro EMO'!$E$13:$E$4248, "Sin registro", 0, -1)</f>
        <v>Sin registro</v>
      </c>
      <c r="O94" s="11" t="str">
        <f t="shared" si="7"/>
        <v>NO</v>
      </c>
      <c r="P94" s="130" t="str" cm="1">
        <f t="array" ref="P94">_xlfn.LET(
    _xlpm.resultado, _xlfn.XLOOKUP(B94&amp;"", 'Registro EMO'!$C$13:$C$4248&amp;"", 'Registro EMO'!$I$13:$I$4248, "NO", 0, -1),
    IF(_xlpm.resultado=0, "NO", _xlpm.resultado)
)</f>
        <v>NO</v>
      </c>
      <c r="Q94" s="11" t="str">
        <f t="shared" ca="1" si="8"/>
        <v>Pendiente</v>
      </c>
      <c r="R94" s="96"/>
      <c r="S94" s="11"/>
      <c r="T94" s="11" t="str">
        <f t="shared" si="9"/>
        <v/>
      </c>
      <c r="U94" s="11"/>
      <c r="V94" s="11"/>
      <c r="W94" s="29"/>
      <c r="X94" s="129"/>
      <c r="Y94" s="11"/>
      <c r="Z94" s="11"/>
      <c r="AA94" s="11"/>
      <c r="AB94" s="11"/>
      <c r="AC94" s="11"/>
      <c r="AD94" s="11"/>
      <c r="AE94" s="11"/>
      <c r="AF94" s="11"/>
      <c r="AG94" s="98"/>
      <c r="AH94" s="11"/>
    </row>
    <row r="95" spans="1:34" hidden="1" x14ac:dyDescent="0.3">
      <c r="A95" s="7" t="str">
        <f t="shared" si="5"/>
        <v>TR-1094</v>
      </c>
      <c r="B95" s="11" t="s">
        <v>438</v>
      </c>
      <c r="C95" s="141" t="s">
        <v>439</v>
      </c>
      <c r="D95" s="98">
        <v>36328</v>
      </c>
      <c r="E95" s="111">
        <f t="shared" ca="1" si="6"/>
        <v>26</v>
      </c>
      <c r="F95" s="132" t="s">
        <v>743</v>
      </c>
      <c r="G95" s="11" t="s">
        <v>254</v>
      </c>
      <c r="H95" s="139" t="s">
        <v>752</v>
      </c>
      <c r="I95" s="140" t="s">
        <v>761</v>
      </c>
      <c r="J95" s="132"/>
      <c r="K95" s="11" t="s">
        <v>773</v>
      </c>
      <c r="L95" s="96">
        <v>43785</v>
      </c>
      <c r="M95" s="96" t="str" cm="1">
        <f t="array" ref="M95">_xlfn.XLOOKUP(B95&amp;"", 'Registro EMO'!$C$13:$C$4248&amp;"", 'Registro EMO'!$F$13:$F$4248, "Sin registro", 0, -1)</f>
        <v>Sin registro</v>
      </c>
      <c r="N95" s="11" t="str" cm="1">
        <f t="array" ref="N95">_xlfn.XLOOKUP(B95&amp;"", 'Registro EMO'!$C$13:$C$4248&amp;"", 'Registro EMO'!$E$13:$E$4248, "Sin registro", 0, -1)</f>
        <v>Sin registro</v>
      </c>
      <c r="O95" s="11" t="str">
        <f t="shared" si="7"/>
        <v>NO</v>
      </c>
      <c r="P95" s="130" t="str" cm="1">
        <f t="array" ref="P95">_xlfn.LET(
    _xlpm.resultado, _xlfn.XLOOKUP(B95&amp;"", 'Registro EMO'!$C$13:$C$4248&amp;"", 'Registro EMO'!$I$13:$I$4248, "NO", 0, -1),
    IF(_xlpm.resultado=0, "NO", _xlpm.resultado)
)</f>
        <v>NO</v>
      </c>
      <c r="Q95" s="11" t="str">
        <f t="shared" ca="1" si="8"/>
        <v>Pendiente</v>
      </c>
      <c r="R95" s="96"/>
      <c r="S95" s="11"/>
      <c r="T95" s="11" t="str">
        <f t="shared" si="9"/>
        <v/>
      </c>
      <c r="U95" s="11"/>
      <c r="V95" s="11"/>
      <c r="W95" s="29"/>
      <c r="X95" s="129"/>
      <c r="Y95" s="11"/>
      <c r="Z95" s="11"/>
      <c r="AA95" s="11"/>
      <c r="AB95" s="11"/>
      <c r="AC95" s="11"/>
      <c r="AD95" s="11"/>
      <c r="AE95" s="11"/>
      <c r="AF95" s="11"/>
      <c r="AG95" s="98"/>
      <c r="AH95" s="11"/>
    </row>
    <row r="96" spans="1:34" hidden="1" x14ac:dyDescent="0.3">
      <c r="A96" s="7" t="str">
        <f t="shared" si="5"/>
        <v>TR-1095</v>
      </c>
      <c r="B96" s="11" t="s">
        <v>440</v>
      </c>
      <c r="C96" s="141" t="s">
        <v>441</v>
      </c>
      <c r="D96" s="98">
        <v>38849</v>
      </c>
      <c r="E96" s="111">
        <f t="shared" ca="1" si="6"/>
        <v>19</v>
      </c>
      <c r="F96" s="132" t="s">
        <v>743</v>
      </c>
      <c r="G96" s="11" t="s">
        <v>254</v>
      </c>
      <c r="H96" s="139" t="s">
        <v>746</v>
      </c>
      <c r="I96" s="140" t="s">
        <v>747</v>
      </c>
      <c r="J96" s="132"/>
      <c r="K96" s="11" t="s">
        <v>773</v>
      </c>
      <c r="L96" s="96">
        <v>45890</v>
      </c>
      <c r="M96" s="96" t="str" cm="1">
        <f t="array" ref="M96">_xlfn.XLOOKUP(B96&amp;"", 'Registro EMO'!$C$13:$C$4248&amp;"", 'Registro EMO'!$F$13:$F$4248, "Sin registro", 0, -1)</f>
        <v>Sin registro</v>
      </c>
      <c r="N96" s="11" t="str" cm="1">
        <f t="array" ref="N96">_xlfn.XLOOKUP(B96&amp;"", 'Registro EMO'!$C$13:$C$4248&amp;"", 'Registro EMO'!$E$13:$E$4248, "Sin registro", 0, -1)</f>
        <v>Sin registro</v>
      </c>
      <c r="O96" s="11" t="str">
        <f t="shared" si="7"/>
        <v>NO</v>
      </c>
      <c r="P96" s="130" t="str" cm="1">
        <f t="array" ref="P96">_xlfn.LET(
    _xlpm.resultado, _xlfn.XLOOKUP(B96&amp;"", 'Registro EMO'!$C$13:$C$4248&amp;"", 'Registro EMO'!$I$13:$I$4248, "NO", 0, -1),
    IF(_xlpm.resultado=0, "NO", _xlpm.resultado)
)</f>
        <v>NO</v>
      </c>
      <c r="Q96" s="11" t="str">
        <f t="shared" ca="1" si="8"/>
        <v>Pendiente</v>
      </c>
      <c r="R96" s="96"/>
      <c r="S96" s="11"/>
      <c r="T96" s="11" t="str">
        <f t="shared" si="9"/>
        <v/>
      </c>
      <c r="U96" s="11"/>
      <c r="V96" s="11"/>
      <c r="W96" s="29"/>
      <c r="X96" s="129"/>
      <c r="Y96" s="11"/>
      <c r="Z96" s="11"/>
      <c r="AA96" s="11"/>
      <c r="AB96" s="11"/>
      <c r="AC96" s="11"/>
      <c r="AD96" s="11"/>
      <c r="AE96" s="11"/>
      <c r="AF96" s="11"/>
      <c r="AG96" s="98"/>
      <c r="AH96" s="11"/>
    </row>
    <row r="97" spans="1:34" hidden="1" x14ac:dyDescent="0.3">
      <c r="A97" s="7" t="str">
        <f t="shared" si="5"/>
        <v>TR-1096</v>
      </c>
      <c r="B97" s="11" t="s">
        <v>442</v>
      </c>
      <c r="C97" s="141" t="s">
        <v>443</v>
      </c>
      <c r="D97" s="98">
        <v>37770</v>
      </c>
      <c r="E97" s="111">
        <f t="shared" ca="1" si="6"/>
        <v>22</v>
      </c>
      <c r="F97" s="132" t="s">
        <v>743</v>
      </c>
      <c r="G97" s="11" t="s">
        <v>254</v>
      </c>
      <c r="H97" s="139" t="s">
        <v>752</v>
      </c>
      <c r="I97" s="140" t="s">
        <v>753</v>
      </c>
      <c r="J97" s="132"/>
      <c r="K97" s="11" t="s">
        <v>773</v>
      </c>
      <c r="L97" s="96">
        <v>45139</v>
      </c>
      <c r="M97" s="96" t="str" cm="1">
        <f t="array" ref="M97">_xlfn.XLOOKUP(B97&amp;"", 'Registro EMO'!$C$13:$C$4248&amp;"", 'Registro EMO'!$F$13:$F$4248, "Sin registro", 0, -1)</f>
        <v>24/05/2026</v>
      </c>
      <c r="N97" s="11" t="str" cm="1">
        <f t="array" ref="N97">_xlfn.XLOOKUP(B97&amp;"", 'Registro EMO'!$C$13:$C$4248&amp;"", 'Registro EMO'!$E$13:$E$4248, "Sin registro", 0, -1)</f>
        <v>Pre-Ocupacional</v>
      </c>
      <c r="O97" s="11" t="str">
        <f t="shared" si="7"/>
        <v>SI</v>
      </c>
      <c r="P97" s="150" cm="1">
        <f t="array" ref="P97">_xlfn.LET(
    _xlpm.resultado, _xlfn.XLOOKUP(B97&amp;"", 'Registro EMO'!$C$13:$C$4248&amp;"", 'Registro EMO'!$I$13:$I$4248, "NO", 0, -1),
    IF(_xlpm.resultado=0, "NO", _xlpm.resultado)
)</f>
        <v>45807</v>
      </c>
      <c r="Q97" s="11" t="str">
        <f t="shared" ca="1" si="8"/>
        <v>Vigente</v>
      </c>
      <c r="R97" s="96"/>
      <c r="S97" s="11"/>
      <c r="T97" s="11" t="str">
        <f t="shared" si="9"/>
        <v/>
      </c>
      <c r="U97" s="11"/>
      <c r="V97" s="11" t="s">
        <v>796</v>
      </c>
      <c r="W97" s="29"/>
      <c r="X97" s="129"/>
      <c r="Y97" s="11"/>
      <c r="Z97" s="11"/>
      <c r="AA97" s="11"/>
      <c r="AB97" s="11"/>
      <c r="AC97" s="11"/>
      <c r="AD97" s="11"/>
      <c r="AE97" s="11"/>
      <c r="AF97" s="11"/>
      <c r="AG97" s="98"/>
      <c r="AH97" s="11" t="s">
        <v>32</v>
      </c>
    </row>
    <row r="98" spans="1:34" hidden="1" x14ac:dyDescent="0.3">
      <c r="A98" s="7" t="str">
        <f t="shared" si="5"/>
        <v>TR-1097</v>
      </c>
      <c r="B98" s="11">
        <v>75452943</v>
      </c>
      <c r="C98" s="141" t="s">
        <v>444</v>
      </c>
      <c r="D98" s="98">
        <v>38795</v>
      </c>
      <c r="E98" s="111">
        <f t="shared" ca="1" si="6"/>
        <v>19</v>
      </c>
      <c r="F98" s="132" t="s">
        <v>743</v>
      </c>
      <c r="G98" s="11" t="s">
        <v>254</v>
      </c>
      <c r="H98" s="139" t="s">
        <v>746</v>
      </c>
      <c r="I98" s="140" t="s">
        <v>751</v>
      </c>
      <c r="J98" s="132"/>
      <c r="K98" s="11" t="s">
        <v>773</v>
      </c>
      <c r="L98" s="96">
        <v>44615</v>
      </c>
      <c r="M98" s="96" t="str" cm="1">
        <f t="array" ref="M98">_xlfn.XLOOKUP(B98&amp;"", 'Registro EMO'!$C$13:$C$4248&amp;"", 'Registro EMO'!$F$13:$F$4248, "Sin registro", 0, -1)</f>
        <v>Sin registro</v>
      </c>
      <c r="N98" s="11" t="str" cm="1">
        <f t="array" ref="N98">_xlfn.XLOOKUP(B98&amp;"", 'Registro EMO'!$C$13:$C$4248&amp;"", 'Registro EMO'!$E$13:$E$4248, "Sin registro", 0, -1)</f>
        <v>Sin registro</v>
      </c>
      <c r="O98" s="11" t="str">
        <f t="shared" si="7"/>
        <v>NO</v>
      </c>
      <c r="P98" s="130" t="str" cm="1">
        <f t="array" ref="P98">_xlfn.LET(
    _xlpm.resultado, _xlfn.XLOOKUP(B98&amp;"", 'Registro EMO'!$C$13:$C$4248&amp;"", 'Registro EMO'!$I$13:$I$4248, "NO", 0, -1),
    IF(_xlpm.resultado=0, "NO", _xlpm.resultado)
)</f>
        <v>NO</v>
      </c>
      <c r="Q98" s="11" t="str">
        <f t="shared" ca="1" si="8"/>
        <v>Pendiente</v>
      </c>
      <c r="R98" s="96"/>
      <c r="S98" s="11"/>
      <c r="T98" s="11" t="str">
        <f t="shared" si="9"/>
        <v/>
      </c>
      <c r="U98" s="11"/>
      <c r="V98" s="11"/>
      <c r="W98" s="29"/>
      <c r="X98" s="129"/>
      <c r="Y98" s="11"/>
      <c r="Z98" s="11"/>
      <c r="AA98" s="11"/>
      <c r="AB98" s="11"/>
      <c r="AC98" s="11"/>
      <c r="AD98" s="11"/>
      <c r="AE98" s="11"/>
      <c r="AF98" s="11"/>
      <c r="AG98" s="98"/>
      <c r="AH98" s="11"/>
    </row>
    <row r="99" spans="1:34" hidden="1" x14ac:dyDescent="0.3">
      <c r="A99" s="7" t="str">
        <f t="shared" si="5"/>
        <v>TR-1098</v>
      </c>
      <c r="B99" s="11" t="s">
        <v>445</v>
      </c>
      <c r="C99" s="141" t="s">
        <v>446</v>
      </c>
      <c r="D99" s="98">
        <v>37323</v>
      </c>
      <c r="E99" s="111">
        <f t="shared" ca="1" si="6"/>
        <v>24</v>
      </c>
      <c r="F99" s="132" t="s">
        <v>743</v>
      </c>
      <c r="G99" s="11" t="s">
        <v>254</v>
      </c>
      <c r="H99" s="139" t="s">
        <v>746</v>
      </c>
      <c r="I99" s="140" t="s">
        <v>747</v>
      </c>
      <c r="J99" s="132"/>
      <c r="K99" s="11" t="s">
        <v>773</v>
      </c>
      <c r="L99" s="96">
        <v>44958</v>
      </c>
      <c r="M99" s="96" t="str" cm="1">
        <f t="array" ref="M99">_xlfn.XLOOKUP(B99&amp;"", 'Registro EMO'!$C$13:$C$4248&amp;"", 'Registro EMO'!$F$13:$F$4248, "Sin registro", 0, -1)</f>
        <v>29/01/2026</v>
      </c>
      <c r="N99" s="11" t="str" cm="1">
        <f t="array" ref="N99">_xlfn.XLOOKUP(B99&amp;"", 'Registro EMO'!$C$13:$C$4248&amp;"", 'Registro EMO'!$E$13:$E$4248, "Sin registro", 0, -1)</f>
        <v>Pre-Ocupacional</v>
      </c>
      <c r="O99" s="11" t="str">
        <f t="shared" si="7"/>
        <v>SI</v>
      </c>
      <c r="P99" s="150" cm="1">
        <f t="array" ref="P99">_xlfn.LET(
    _xlpm.resultado, _xlfn.XLOOKUP(B99&amp;"", 'Registro EMO'!$C$13:$C$4248&amp;"", 'Registro EMO'!$I$13:$I$4248, "NO", 0, -1),
    IF(_xlpm.resultado=0, "NO", _xlpm.resultado)
)</f>
        <v>45688</v>
      </c>
      <c r="Q99" s="11" t="str">
        <f t="shared" ca="1" si="8"/>
        <v>Vigente</v>
      </c>
      <c r="R99" s="96"/>
      <c r="S99" s="11"/>
      <c r="T99" s="11" t="str">
        <f t="shared" si="9"/>
        <v/>
      </c>
      <c r="U99" s="11"/>
      <c r="V99" s="11" t="s">
        <v>807</v>
      </c>
      <c r="W99" s="29"/>
      <c r="X99" s="129"/>
      <c r="Y99" s="11"/>
      <c r="Z99" s="11"/>
      <c r="AA99" s="11"/>
      <c r="AB99" s="11"/>
      <c r="AC99" s="11"/>
      <c r="AD99" s="11"/>
      <c r="AE99" s="11"/>
      <c r="AF99" s="11"/>
      <c r="AG99" s="98"/>
      <c r="AH99" s="11" t="s">
        <v>32</v>
      </c>
    </row>
    <row r="100" spans="1:34" hidden="1" x14ac:dyDescent="0.3">
      <c r="A100" s="7" t="str">
        <f t="shared" si="5"/>
        <v>TR-1099</v>
      </c>
      <c r="B100" s="11" t="s">
        <v>447</v>
      </c>
      <c r="C100" s="141" t="s">
        <v>448</v>
      </c>
      <c r="D100" s="98">
        <v>36550</v>
      </c>
      <c r="E100" s="111">
        <f t="shared" ca="1" si="6"/>
        <v>26</v>
      </c>
      <c r="F100" s="132" t="s">
        <v>762</v>
      </c>
      <c r="G100" s="11" t="s">
        <v>254</v>
      </c>
      <c r="H100" s="139" t="s">
        <v>763</v>
      </c>
      <c r="I100" s="140" t="s">
        <v>764</v>
      </c>
      <c r="J100" s="132"/>
      <c r="K100" s="11" t="s">
        <v>773</v>
      </c>
      <c r="L100" s="96">
        <v>45017</v>
      </c>
      <c r="M100" s="96" t="str" cm="1">
        <f t="array" ref="M100">_xlfn.XLOOKUP(B100&amp;"", 'Registro EMO'!$C$13:$C$4248&amp;"", 'Registro EMO'!$F$13:$F$4248, "Sin registro", 0, -1)</f>
        <v>14/06/2026</v>
      </c>
      <c r="N100" s="11" t="str" cm="1">
        <f t="array" ref="N100">_xlfn.XLOOKUP(B100&amp;"", 'Registro EMO'!$C$13:$C$4248&amp;"", 'Registro EMO'!$E$13:$E$4248, "Sin registro", 0, -1)</f>
        <v>Pre-Ocupacional</v>
      </c>
      <c r="O100" s="11" t="str">
        <f t="shared" si="7"/>
        <v>SI</v>
      </c>
      <c r="P100" s="150" cm="1">
        <f t="array" ref="P100">_xlfn.LET(
    _xlpm.resultado, _xlfn.XLOOKUP(B100&amp;"", 'Registro EMO'!$C$13:$C$4248&amp;"", 'Registro EMO'!$I$13:$I$4248, "NO", 0, -1),
    IF(_xlpm.resultado=0, "NO", _xlpm.resultado)
)</f>
        <v>45107</v>
      </c>
      <c r="Q100" s="11" t="str">
        <f t="shared" ca="1" si="8"/>
        <v>Vigente</v>
      </c>
      <c r="R100" s="96"/>
      <c r="S100" s="11"/>
      <c r="T100" s="11" t="str">
        <f t="shared" si="9"/>
        <v/>
      </c>
      <c r="U100" s="11"/>
      <c r="V100" s="11" t="s">
        <v>796</v>
      </c>
      <c r="W100" s="29" t="s">
        <v>778</v>
      </c>
      <c r="X100" s="129"/>
      <c r="Y100" s="11"/>
      <c r="Z100" s="11"/>
      <c r="AA100" s="11"/>
      <c r="AB100" s="11"/>
      <c r="AC100" s="11"/>
      <c r="AD100" s="11"/>
      <c r="AE100" s="11"/>
      <c r="AF100" s="11"/>
      <c r="AG100" s="98"/>
      <c r="AH100" s="11" t="s">
        <v>32</v>
      </c>
    </row>
    <row r="101" spans="1:34" hidden="1" x14ac:dyDescent="0.3">
      <c r="A101" s="7" t="str">
        <f t="shared" si="5"/>
        <v>TR-1100</v>
      </c>
      <c r="B101" s="11" t="s">
        <v>449</v>
      </c>
      <c r="C101" s="141" t="s">
        <v>450</v>
      </c>
      <c r="D101" s="98">
        <v>37293</v>
      </c>
      <c r="E101" s="111">
        <f t="shared" ca="1" si="6"/>
        <v>24</v>
      </c>
      <c r="F101" s="132" t="s">
        <v>743</v>
      </c>
      <c r="G101" s="11" t="s">
        <v>254</v>
      </c>
      <c r="H101" s="139" t="s">
        <v>746</v>
      </c>
      <c r="I101" s="140" t="s">
        <v>751</v>
      </c>
      <c r="J101" s="132"/>
      <c r="K101" s="11" t="s">
        <v>773</v>
      </c>
      <c r="L101" s="96">
        <v>45978</v>
      </c>
      <c r="M101" s="96" t="str" cm="1">
        <f t="array" ref="M101">_xlfn.XLOOKUP(B101&amp;"", 'Registro EMO'!$C$13:$C$4248&amp;"", 'Registro EMO'!$F$13:$F$4248, "Sin registro", 0, -1)</f>
        <v>Sin registro</v>
      </c>
      <c r="N101" s="11" t="str" cm="1">
        <f t="array" ref="N101">_xlfn.XLOOKUP(B101&amp;"", 'Registro EMO'!$C$13:$C$4248&amp;"", 'Registro EMO'!$E$13:$E$4248, "Sin registro", 0, -1)</f>
        <v>Sin registro</v>
      </c>
      <c r="O101" s="11" t="str">
        <f t="shared" si="7"/>
        <v>NO</v>
      </c>
      <c r="P101" s="130" t="str" cm="1">
        <f t="array" ref="P101">_xlfn.LET(
    _xlpm.resultado, _xlfn.XLOOKUP(B101&amp;"", 'Registro EMO'!$C$13:$C$4248&amp;"", 'Registro EMO'!$I$13:$I$4248, "NO", 0, -1),
    IF(_xlpm.resultado=0, "NO", _xlpm.resultado)
)</f>
        <v>NO</v>
      </c>
      <c r="Q101" s="11" t="str">
        <f t="shared" ca="1" si="8"/>
        <v>Pendiente</v>
      </c>
      <c r="R101" s="96"/>
      <c r="S101" s="11"/>
      <c r="T101" s="11" t="str">
        <f t="shared" si="9"/>
        <v/>
      </c>
      <c r="U101" s="11"/>
      <c r="V101" s="11"/>
      <c r="W101" s="29"/>
      <c r="X101" s="129"/>
      <c r="Y101" s="11"/>
      <c r="Z101" s="11"/>
      <c r="AA101" s="11"/>
      <c r="AB101" s="11"/>
      <c r="AC101" s="11"/>
      <c r="AD101" s="11"/>
      <c r="AE101" s="11"/>
      <c r="AF101" s="11"/>
      <c r="AG101" s="98"/>
      <c r="AH101" s="11"/>
    </row>
    <row r="102" spans="1:34" hidden="1" x14ac:dyDescent="0.3">
      <c r="A102" s="7" t="str">
        <f t="shared" si="5"/>
        <v>TR-1101</v>
      </c>
      <c r="B102" s="11" t="s">
        <v>451</v>
      </c>
      <c r="C102" s="141" t="s">
        <v>452</v>
      </c>
      <c r="D102" s="98">
        <v>36701</v>
      </c>
      <c r="E102" s="111">
        <f t="shared" ca="1" si="6"/>
        <v>25</v>
      </c>
      <c r="F102" s="132" t="s">
        <v>743</v>
      </c>
      <c r="G102" s="11" t="s">
        <v>254</v>
      </c>
      <c r="H102" s="139" t="s">
        <v>746</v>
      </c>
      <c r="I102" s="140" t="s">
        <v>747</v>
      </c>
      <c r="J102" s="132"/>
      <c r="K102" s="11" t="s">
        <v>773</v>
      </c>
      <c r="L102" s="96">
        <v>44973</v>
      </c>
      <c r="M102" s="96" t="str" cm="1">
        <f t="array" ref="M102">_xlfn.XLOOKUP(B102&amp;"", 'Registro EMO'!$C$13:$C$4248&amp;"", 'Registro EMO'!$F$13:$F$4248, "Sin registro", 0, -1)</f>
        <v>Sin registro</v>
      </c>
      <c r="N102" s="11" t="str" cm="1">
        <f t="array" ref="N102">_xlfn.XLOOKUP(B102&amp;"", 'Registro EMO'!$C$13:$C$4248&amp;"", 'Registro EMO'!$E$13:$E$4248, "Sin registro", 0, -1)</f>
        <v>Sin registro</v>
      </c>
      <c r="O102" s="11" t="str">
        <f t="shared" si="7"/>
        <v>NO</v>
      </c>
      <c r="P102" s="130" t="str" cm="1">
        <f t="array" ref="P102">_xlfn.LET(
    _xlpm.resultado, _xlfn.XLOOKUP(B102&amp;"", 'Registro EMO'!$C$13:$C$4248&amp;"", 'Registro EMO'!$I$13:$I$4248, "NO", 0, -1),
    IF(_xlpm.resultado=0, "NO", _xlpm.resultado)
)</f>
        <v>NO</v>
      </c>
      <c r="Q102" s="11" t="str">
        <f t="shared" ca="1" si="8"/>
        <v>Pendiente</v>
      </c>
      <c r="R102" s="96"/>
      <c r="S102" s="11"/>
      <c r="T102" s="11" t="str">
        <f t="shared" si="9"/>
        <v/>
      </c>
      <c r="U102" s="11"/>
      <c r="V102" s="11"/>
      <c r="W102" s="29"/>
      <c r="X102" s="129"/>
      <c r="Y102" s="11"/>
      <c r="Z102" s="11"/>
      <c r="AA102" s="11"/>
      <c r="AB102" s="11"/>
      <c r="AC102" s="11"/>
      <c r="AD102" s="11"/>
      <c r="AE102" s="11"/>
      <c r="AF102" s="11"/>
      <c r="AG102" s="98"/>
      <c r="AH102" s="11"/>
    </row>
    <row r="103" spans="1:34" hidden="1" x14ac:dyDescent="0.3">
      <c r="A103" s="7" t="str">
        <f t="shared" si="5"/>
        <v>TR-1102</v>
      </c>
      <c r="B103" s="11" t="s">
        <v>453</v>
      </c>
      <c r="C103" s="141" t="s">
        <v>454</v>
      </c>
      <c r="D103" s="98">
        <v>36570</v>
      </c>
      <c r="E103" s="111">
        <f t="shared" ca="1" si="6"/>
        <v>26</v>
      </c>
      <c r="F103" s="132" t="s">
        <v>743</v>
      </c>
      <c r="G103" s="11" t="s">
        <v>254</v>
      </c>
      <c r="H103" s="139" t="s">
        <v>746</v>
      </c>
      <c r="I103" s="140" t="s">
        <v>751</v>
      </c>
      <c r="J103" s="132"/>
      <c r="K103" s="11" t="s">
        <v>773</v>
      </c>
      <c r="L103" s="96">
        <v>45935</v>
      </c>
      <c r="M103" s="96" t="str" cm="1">
        <f t="array" ref="M103">_xlfn.XLOOKUP(B103&amp;"", 'Registro EMO'!$C$13:$C$4248&amp;"", 'Registro EMO'!$F$13:$F$4248, "Sin registro", 0, -1)</f>
        <v>Sin registro</v>
      </c>
      <c r="N103" s="11" t="str" cm="1">
        <f t="array" ref="N103">_xlfn.XLOOKUP(B103&amp;"", 'Registro EMO'!$C$13:$C$4248&amp;"", 'Registro EMO'!$E$13:$E$4248, "Sin registro", 0, -1)</f>
        <v>Sin registro</v>
      </c>
      <c r="O103" s="11" t="str">
        <f t="shared" si="7"/>
        <v>NO</v>
      </c>
      <c r="P103" s="130" t="str" cm="1">
        <f t="array" ref="P103">_xlfn.LET(
    _xlpm.resultado, _xlfn.XLOOKUP(B103&amp;"", 'Registro EMO'!$C$13:$C$4248&amp;"", 'Registro EMO'!$I$13:$I$4248, "NO", 0, -1),
    IF(_xlpm.resultado=0, "NO", _xlpm.resultado)
)</f>
        <v>NO</v>
      </c>
      <c r="Q103" s="11" t="str">
        <f t="shared" ca="1" si="8"/>
        <v>Pendiente</v>
      </c>
      <c r="R103" s="96"/>
      <c r="S103" s="11"/>
      <c r="T103" s="11" t="str">
        <f t="shared" si="9"/>
        <v/>
      </c>
      <c r="U103" s="11"/>
      <c r="V103" s="11"/>
      <c r="W103" s="29"/>
      <c r="X103" s="129"/>
      <c r="Y103" s="11"/>
      <c r="Z103" s="11"/>
      <c r="AA103" s="11"/>
      <c r="AB103" s="11"/>
      <c r="AC103" s="11"/>
      <c r="AD103" s="11"/>
      <c r="AE103" s="11"/>
      <c r="AF103" s="11"/>
      <c r="AG103" s="98"/>
      <c r="AH103" s="11"/>
    </row>
    <row r="104" spans="1:34" hidden="1" x14ac:dyDescent="0.3">
      <c r="A104" s="7" t="str">
        <f t="shared" si="5"/>
        <v>TR-1103</v>
      </c>
      <c r="B104" s="11" t="s">
        <v>455</v>
      </c>
      <c r="C104" s="141" t="s">
        <v>456</v>
      </c>
      <c r="D104" s="98">
        <v>38484</v>
      </c>
      <c r="E104" s="111">
        <f t="shared" ca="1" si="6"/>
        <v>20</v>
      </c>
      <c r="F104" s="132" t="s">
        <v>743</v>
      </c>
      <c r="G104" s="11" t="s">
        <v>254</v>
      </c>
      <c r="H104" s="139" t="s">
        <v>746</v>
      </c>
      <c r="I104" s="140" t="s">
        <v>751</v>
      </c>
      <c r="J104" s="132"/>
      <c r="K104" s="11" t="s">
        <v>773</v>
      </c>
      <c r="L104" s="96">
        <v>44212</v>
      </c>
      <c r="M104" s="96" t="str" cm="1">
        <f t="array" ref="M104">_xlfn.XLOOKUP(B104&amp;"", 'Registro EMO'!$C$13:$C$4248&amp;"", 'Registro EMO'!$F$13:$F$4248, "Sin registro", 0, -1)</f>
        <v>Sin registro</v>
      </c>
      <c r="N104" s="11" t="str" cm="1">
        <f t="array" ref="N104">_xlfn.XLOOKUP(B104&amp;"", 'Registro EMO'!$C$13:$C$4248&amp;"", 'Registro EMO'!$E$13:$E$4248, "Sin registro", 0, -1)</f>
        <v>Sin registro</v>
      </c>
      <c r="O104" s="11" t="str">
        <f t="shared" si="7"/>
        <v>NO</v>
      </c>
      <c r="P104" s="130" t="str" cm="1">
        <f t="array" ref="P104">_xlfn.LET(
    _xlpm.resultado, _xlfn.XLOOKUP(B104&amp;"", 'Registro EMO'!$C$13:$C$4248&amp;"", 'Registro EMO'!$I$13:$I$4248, "NO", 0, -1),
    IF(_xlpm.resultado=0, "NO", _xlpm.resultado)
)</f>
        <v>NO</v>
      </c>
      <c r="Q104" s="11" t="str">
        <f t="shared" ca="1" si="8"/>
        <v>Pendiente</v>
      </c>
      <c r="R104" s="96"/>
      <c r="S104" s="11"/>
      <c r="T104" s="11" t="str">
        <f t="shared" si="9"/>
        <v/>
      </c>
      <c r="U104" s="11"/>
      <c r="V104" s="11"/>
      <c r="W104" s="29"/>
      <c r="X104" s="129"/>
      <c r="Y104" s="11"/>
      <c r="Z104" s="11"/>
      <c r="AA104" s="11"/>
      <c r="AB104" s="11"/>
      <c r="AC104" s="11"/>
      <c r="AD104" s="11"/>
      <c r="AE104" s="11"/>
      <c r="AF104" s="11"/>
      <c r="AG104" s="98"/>
      <c r="AH104" s="11"/>
    </row>
    <row r="105" spans="1:34" hidden="1" x14ac:dyDescent="0.3">
      <c r="A105" s="7" t="str">
        <f t="shared" si="5"/>
        <v>TR-1104</v>
      </c>
      <c r="B105" s="11" t="s">
        <v>457</v>
      </c>
      <c r="C105" s="141" t="s">
        <v>458</v>
      </c>
      <c r="D105" s="98">
        <v>31582</v>
      </c>
      <c r="E105" s="111">
        <f t="shared" ca="1" si="6"/>
        <v>39</v>
      </c>
      <c r="F105" s="132" t="s">
        <v>743</v>
      </c>
      <c r="G105" s="11" t="s">
        <v>254</v>
      </c>
      <c r="H105" s="139" t="s">
        <v>746</v>
      </c>
      <c r="I105" s="140" t="s">
        <v>751</v>
      </c>
      <c r="J105" s="132"/>
      <c r="K105" s="11" t="s">
        <v>773</v>
      </c>
      <c r="L105" s="96">
        <v>43846</v>
      </c>
      <c r="M105" s="96" t="str" cm="1">
        <f t="array" ref="M105">_xlfn.XLOOKUP(B105&amp;"", 'Registro EMO'!$C$13:$C$4248&amp;"", 'Registro EMO'!$F$13:$F$4248, "Sin registro", 0, -1)</f>
        <v>16/01/2026</v>
      </c>
      <c r="N105" s="11" t="str" cm="1">
        <f t="array" ref="N105">_xlfn.XLOOKUP(B105&amp;"", 'Registro EMO'!$C$13:$C$4248&amp;"", 'Registro EMO'!$E$13:$E$4248, "Sin registro", 0, -1)</f>
        <v>Pre-Ocupacional</v>
      </c>
      <c r="O105" s="11" t="str">
        <f t="shared" si="7"/>
        <v>SI</v>
      </c>
      <c r="P105" s="150" cm="1">
        <f t="array" ref="P105">_xlfn.LET(
    _xlpm.resultado, _xlfn.XLOOKUP(B105&amp;"", 'Registro EMO'!$C$13:$C$4248&amp;"", 'Registro EMO'!$I$13:$I$4248, "NO", 0, -1),
    IF(_xlpm.resultado=0, "NO", _xlpm.resultado)
)</f>
        <v>45030</v>
      </c>
      <c r="Q105" s="11" t="str">
        <f t="shared" ca="1" si="8"/>
        <v>Vigente</v>
      </c>
      <c r="R105" s="96"/>
      <c r="S105" s="11"/>
      <c r="T105" s="11" t="str">
        <f t="shared" si="9"/>
        <v/>
      </c>
      <c r="U105" s="11"/>
      <c r="V105" s="11" t="s">
        <v>796</v>
      </c>
      <c r="W105" s="29" t="s">
        <v>786</v>
      </c>
      <c r="X105" s="129"/>
      <c r="Y105" s="11"/>
      <c r="Z105" s="11"/>
      <c r="AA105" s="11"/>
      <c r="AB105" s="11"/>
      <c r="AC105" s="11"/>
      <c r="AD105" s="11"/>
      <c r="AE105" s="11"/>
      <c r="AF105" s="11"/>
      <c r="AG105" s="98"/>
      <c r="AH105" s="11" t="s">
        <v>32</v>
      </c>
    </row>
    <row r="106" spans="1:34" hidden="1" x14ac:dyDescent="0.3">
      <c r="A106" s="7" t="str">
        <f t="shared" si="5"/>
        <v>TR-1105</v>
      </c>
      <c r="B106" s="11" t="s">
        <v>459</v>
      </c>
      <c r="C106" s="141" t="s">
        <v>460</v>
      </c>
      <c r="D106" s="98">
        <v>35775</v>
      </c>
      <c r="E106" s="111">
        <f t="shared" ca="1" si="6"/>
        <v>28</v>
      </c>
      <c r="F106" s="132" t="s">
        <v>743</v>
      </c>
      <c r="G106" s="11" t="s">
        <v>254</v>
      </c>
      <c r="H106" s="139" t="s">
        <v>746</v>
      </c>
      <c r="I106" s="140" t="s">
        <v>751</v>
      </c>
      <c r="J106" s="132"/>
      <c r="K106" s="11" t="s">
        <v>773</v>
      </c>
      <c r="L106" s="96">
        <v>45689</v>
      </c>
      <c r="M106" s="96" t="str" cm="1">
        <f t="array" ref="M106">_xlfn.XLOOKUP(B106&amp;"", 'Registro EMO'!$C$13:$C$4248&amp;"", 'Registro EMO'!$F$13:$F$4248, "Sin registro", 0, -1)</f>
        <v>19/11/2026</v>
      </c>
      <c r="N106" s="11" t="str" cm="1">
        <f t="array" ref="N106">_xlfn.XLOOKUP(B106&amp;"", 'Registro EMO'!$C$13:$C$4248&amp;"", 'Registro EMO'!$E$13:$E$4248, "Sin registro", 0, -1)</f>
        <v>Pre-Ocupacional</v>
      </c>
      <c r="O106" s="11" t="str">
        <f t="shared" si="7"/>
        <v>SI</v>
      </c>
      <c r="P106" s="150" cm="1">
        <f t="array" ref="P106">_xlfn.LET(
    _xlpm.resultado, _xlfn.XLOOKUP(B106&amp;"", 'Registro EMO'!$C$13:$C$4248&amp;"", 'Registro EMO'!$I$13:$I$4248, "NO", 0, -1),
    IF(_xlpm.resultado=0, "NO", _xlpm.resultado)
)</f>
        <v>45991</v>
      </c>
      <c r="Q106" s="11" t="str">
        <f t="shared" ca="1" si="8"/>
        <v>Vigente</v>
      </c>
      <c r="R106" s="96"/>
      <c r="S106" s="11"/>
      <c r="T106" s="11" t="str">
        <f t="shared" si="9"/>
        <v/>
      </c>
      <c r="U106" s="11"/>
      <c r="V106" s="11" t="s">
        <v>796</v>
      </c>
      <c r="W106" s="29" t="s">
        <v>778</v>
      </c>
      <c r="X106" s="129"/>
      <c r="Y106" s="11"/>
      <c r="Z106" s="11"/>
      <c r="AA106" s="11"/>
      <c r="AB106" s="11"/>
      <c r="AC106" s="11"/>
      <c r="AD106" s="11"/>
      <c r="AE106" s="11"/>
      <c r="AF106" s="11"/>
      <c r="AG106" s="98"/>
      <c r="AH106" s="11" t="s">
        <v>32</v>
      </c>
    </row>
    <row r="107" spans="1:34" hidden="1" x14ac:dyDescent="0.3">
      <c r="A107" s="7" t="str">
        <f t="shared" si="5"/>
        <v>TR-1106</v>
      </c>
      <c r="B107" s="11" t="s">
        <v>461</v>
      </c>
      <c r="C107" s="141" t="s">
        <v>462</v>
      </c>
      <c r="D107" s="98">
        <v>38251</v>
      </c>
      <c r="E107" s="111">
        <f t="shared" ca="1" si="6"/>
        <v>21</v>
      </c>
      <c r="F107" s="132" t="s">
        <v>743</v>
      </c>
      <c r="G107" s="11" t="s">
        <v>254</v>
      </c>
      <c r="H107" s="139" t="s">
        <v>746</v>
      </c>
      <c r="I107" s="140" t="s">
        <v>751</v>
      </c>
      <c r="J107" s="132"/>
      <c r="K107" s="11" t="s">
        <v>773</v>
      </c>
      <c r="L107" s="96">
        <v>45916</v>
      </c>
      <c r="M107" s="96" t="str" cm="1">
        <f t="array" ref="M107">_xlfn.XLOOKUP(B107&amp;"", 'Registro EMO'!$C$13:$C$4248&amp;"", 'Registro EMO'!$F$13:$F$4248, "Sin registro", 0, -1)</f>
        <v>Sin registro</v>
      </c>
      <c r="N107" s="11" t="str" cm="1">
        <f t="array" ref="N107">_xlfn.XLOOKUP(B107&amp;"", 'Registro EMO'!$C$13:$C$4248&amp;"", 'Registro EMO'!$E$13:$E$4248, "Sin registro", 0, -1)</f>
        <v>Sin registro</v>
      </c>
      <c r="O107" s="11" t="str">
        <f t="shared" si="7"/>
        <v>NO</v>
      </c>
      <c r="P107" s="130" t="str" cm="1">
        <f t="array" ref="P107">_xlfn.LET(
    _xlpm.resultado, _xlfn.XLOOKUP(B107&amp;"", 'Registro EMO'!$C$13:$C$4248&amp;"", 'Registro EMO'!$I$13:$I$4248, "NO", 0, -1),
    IF(_xlpm.resultado=0, "NO", _xlpm.resultado)
)</f>
        <v>NO</v>
      </c>
      <c r="Q107" s="11" t="str">
        <f t="shared" ca="1" si="8"/>
        <v>Pendiente</v>
      </c>
      <c r="R107" s="96"/>
      <c r="S107" s="11"/>
      <c r="T107" s="11" t="str">
        <f t="shared" si="9"/>
        <v/>
      </c>
      <c r="U107" s="11"/>
      <c r="V107" s="11"/>
      <c r="W107" s="29"/>
      <c r="X107" s="129"/>
      <c r="Y107" s="11"/>
      <c r="Z107" s="11"/>
      <c r="AA107" s="11"/>
      <c r="AB107" s="11"/>
      <c r="AC107" s="11"/>
      <c r="AD107" s="11"/>
      <c r="AE107" s="11"/>
      <c r="AF107" s="11"/>
      <c r="AG107" s="98"/>
      <c r="AH107" s="11"/>
    </row>
    <row r="108" spans="1:34" hidden="1" x14ac:dyDescent="0.3">
      <c r="A108" s="7" t="str">
        <f t="shared" si="5"/>
        <v>TR-1107</v>
      </c>
      <c r="B108" s="11" t="s">
        <v>463</v>
      </c>
      <c r="C108" s="141" t="s">
        <v>464</v>
      </c>
      <c r="D108" s="98">
        <v>37630</v>
      </c>
      <c r="E108" s="111">
        <f t="shared" ca="1" si="6"/>
        <v>23</v>
      </c>
      <c r="F108" s="132" t="s">
        <v>743</v>
      </c>
      <c r="G108" s="11" t="s">
        <v>254</v>
      </c>
      <c r="H108" s="139" t="s">
        <v>744</v>
      </c>
      <c r="I108" s="140" t="s">
        <v>748</v>
      </c>
      <c r="J108" s="132"/>
      <c r="K108" s="11" t="s">
        <v>773</v>
      </c>
      <c r="L108" s="96">
        <v>46005</v>
      </c>
      <c r="M108" s="96" t="str" cm="1">
        <f t="array" ref="M108">_xlfn.XLOOKUP(B108&amp;"", 'Registro EMO'!$C$13:$C$4248&amp;"", 'Registro EMO'!$F$13:$F$4248, "Sin registro", 0, -1)</f>
        <v>Sin registro</v>
      </c>
      <c r="N108" s="11" t="str" cm="1">
        <f t="array" ref="N108">_xlfn.XLOOKUP(B108&amp;"", 'Registro EMO'!$C$13:$C$4248&amp;"", 'Registro EMO'!$E$13:$E$4248, "Sin registro", 0, -1)</f>
        <v>Sin registro</v>
      </c>
      <c r="O108" s="11" t="str">
        <f t="shared" si="7"/>
        <v>NO</v>
      </c>
      <c r="P108" s="130" t="str" cm="1">
        <f t="array" ref="P108">_xlfn.LET(
    _xlpm.resultado, _xlfn.XLOOKUP(B108&amp;"", 'Registro EMO'!$C$13:$C$4248&amp;"", 'Registro EMO'!$I$13:$I$4248, "NO", 0, -1),
    IF(_xlpm.resultado=0, "NO", _xlpm.resultado)
)</f>
        <v>NO</v>
      </c>
      <c r="Q108" s="11" t="str">
        <f t="shared" ca="1" si="8"/>
        <v>Pendiente</v>
      </c>
      <c r="R108" s="96"/>
      <c r="S108" s="11"/>
      <c r="T108" s="11" t="str">
        <f t="shared" si="9"/>
        <v/>
      </c>
      <c r="U108" s="11"/>
      <c r="V108" s="11"/>
      <c r="W108" s="29"/>
      <c r="X108" s="129"/>
      <c r="Y108" s="11"/>
      <c r="Z108" s="11"/>
      <c r="AA108" s="11"/>
      <c r="AB108" s="11"/>
      <c r="AC108" s="11"/>
      <c r="AD108" s="11"/>
      <c r="AE108" s="11"/>
      <c r="AF108" s="11"/>
      <c r="AG108" s="98"/>
      <c r="AH108" s="11"/>
    </row>
    <row r="109" spans="1:34" hidden="1" x14ac:dyDescent="0.3">
      <c r="A109" s="7" t="str">
        <f t="shared" si="5"/>
        <v>TR-1108</v>
      </c>
      <c r="B109" s="11" t="s">
        <v>465</v>
      </c>
      <c r="C109" s="141" t="s">
        <v>466</v>
      </c>
      <c r="D109" s="98">
        <v>36323</v>
      </c>
      <c r="E109" s="111">
        <f t="shared" ca="1" si="6"/>
        <v>26</v>
      </c>
      <c r="F109" s="132" t="s">
        <v>743</v>
      </c>
      <c r="G109" s="11" t="s">
        <v>254</v>
      </c>
      <c r="H109" s="139" t="s">
        <v>754</v>
      </c>
      <c r="I109" s="140" t="s">
        <v>760</v>
      </c>
      <c r="J109" s="132"/>
      <c r="K109" s="11" t="s">
        <v>774</v>
      </c>
      <c r="L109" s="96">
        <v>43739</v>
      </c>
      <c r="M109" s="96" t="str" cm="1">
        <f t="array" ref="M109">_xlfn.XLOOKUP(B109&amp;"", 'Registro EMO'!$C$13:$C$4248&amp;"", 'Registro EMO'!$F$13:$F$4248, "Sin registro", 0, -1)</f>
        <v>Sin registro</v>
      </c>
      <c r="N109" s="11" t="str" cm="1">
        <f t="array" ref="N109">_xlfn.XLOOKUP(B109&amp;"", 'Registro EMO'!$C$13:$C$4248&amp;"", 'Registro EMO'!$E$13:$E$4248, "Sin registro", 0, -1)</f>
        <v>Sin registro</v>
      </c>
      <c r="O109" s="11" t="str">
        <f t="shared" si="7"/>
        <v>NO</v>
      </c>
      <c r="P109" s="130" t="str" cm="1">
        <f t="array" ref="P109">_xlfn.LET(
    _xlpm.resultado, _xlfn.XLOOKUP(B109&amp;"", 'Registro EMO'!$C$13:$C$4248&amp;"", 'Registro EMO'!$I$13:$I$4248, "NO", 0, -1),
    IF(_xlpm.resultado=0, "NO", _xlpm.resultado)
)</f>
        <v>NO</v>
      </c>
      <c r="Q109" s="11" t="str">
        <f t="shared" ca="1" si="8"/>
        <v>Pendiente</v>
      </c>
      <c r="R109" s="96"/>
      <c r="S109" s="11"/>
      <c r="T109" s="11" t="str">
        <f t="shared" si="9"/>
        <v/>
      </c>
      <c r="U109" s="11"/>
      <c r="V109" s="11"/>
      <c r="W109" s="29"/>
      <c r="X109" s="129"/>
      <c r="Y109" s="11"/>
      <c r="Z109" s="11"/>
      <c r="AA109" s="11"/>
      <c r="AB109" s="11"/>
      <c r="AC109" s="11"/>
      <c r="AD109" s="11"/>
      <c r="AE109" s="11"/>
      <c r="AF109" s="11"/>
      <c r="AG109" s="98"/>
      <c r="AH109" s="11"/>
    </row>
    <row r="110" spans="1:34" ht="28.8" hidden="1" x14ac:dyDescent="0.3">
      <c r="A110" s="7" t="str">
        <f t="shared" si="5"/>
        <v>TR-1109</v>
      </c>
      <c r="B110" s="11" t="s">
        <v>467</v>
      </c>
      <c r="C110" s="141" t="s">
        <v>468</v>
      </c>
      <c r="D110" s="98">
        <v>34758</v>
      </c>
      <c r="E110" s="111">
        <f t="shared" ca="1" si="6"/>
        <v>31</v>
      </c>
      <c r="F110" s="132" t="s">
        <v>743</v>
      </c>
      <c r="G110" s="11" t="s">
        <v>254</v>
      </c>
      <c r="H110" s="139" t="s">
        <v>746</v>
      </c>
      <c r="I110" s="140" t="s">
        <v>751</v>
      </c>
      <c r="J110" s="132"/>
      <c r="K110" s="11" t="s">
        <v>773</v>
      </c>
      <c r="L110" s="96">
        <v>45367</v>
      </c>
      <c r="M110" s="96" t="str" cm="1">
        <f t="array" ref="M110">_xlfn.XLOOKUP(B110&amp;"", 'Registro EMO'!$C$13:$C$4248&amp;"", 'Registro EMO'!$F$13:$F$4248, "Sin registro", 0, -1)</f>
        <v>28/04/2026</v>
      </c>
      <c r="N110" s="11" t="str" cm="1">
        <f t="array" ref="N110">_xlfn.XLOOKUP(B110&amp;"", 'Registro EMO'!$C$13:$C$4248&amp;"", 'Registro EMO'!$E$13:$E$4248, "Sin registro", 0, -1)</f>
        <v>Pre-Ocupacional</v>
      </c>
      <c r="O110" s="11" t="str">
        <f t="shared" si="7"/>
        <v>SI</v>
      </c>
      <c r="P110" s="150" cm="1">
        <f t="array" ref="P110">_xlfn.LET(
    _xlpm.resultado, _xlfn.XLOOKUP(B110&amp;"", 'Registro EMO'!$C$13:$C$4248&amp;"", 'Registro EMO'!$I$13:$I$4248, "NO", 0, -1),
    IF(_xlpm.resultado=0, "NO", _xlpm.resultado)
)</f>
        <v>45058</v>
      </c>
      <c r="Q110" s="11" t="str">
        <f t="shared" ca="1" si="8"/>
        <v>Vigente</v>
      </c>
      <c r="R110" s="96"/>
      <c r="S110" s="11"/>
      <c r="T110" s="11" t="str">
        <f t="shared" si="9"/>
        <v/>
      </c>
      <c r="U110" s="11"/>
      <c r="V110" s="11" t="s">
        <v>796</v>
      </c>
      <c r="W110" s="29" t="s">
        <v>793</v>
      </c>
      <c r="X110" s="129"/>
      <c r="Y110" s="11"/>
      <c r="Z110" s="11"/>
      <c r="AA110" s="11"/>
      <c r="AB110" s="11"/>
      <c r="AC110" s="11"/>
      <c r="AD110" s="11"/>
      <c r="AE110" s="11"/>
      <c r="AF110" s="11"/>
      <c r="AG110" s="98"/>
      <c r="AH110" s="11" t="s">
        <v>32</v>
      </c>
    </row>
    <row r="111" spans="1:34" hidden="1" x14ac:dyDescent="0.3">
      <c r="A111" s="7" t="str">
        <f t="shared" si="5"/>
        <v>TR-1110</v>
      </c>
      <c r="B111" s="11" t="s">
        <v>469</v>
      </c>
      <c r="C111" s="141" t="s">
        <v>470</v>
      </c>
      <c r="D111" s="98">
        <v>33899</v>
      </c>
      <c r="E111" s="111">
        <f t="shared" ca="1" si="6"/>
        <v>33</v>
      </c>
      <c r="F111" s="132" t="s">
        <v>743</v>
      </c>
      <c r="G111" s="11" t="s">
        <v>254</v>
      </c>
      <c r="H111" s="139" t="s">
        <v>746</v>
      </c>
      <c r="I111" s="140" t="s">
        <v>747</v>
      </c>
      <c r="J111" s="132"/>
      <c r="K111" s="11" t="s">
        <v>773</v>
      </c>
      <c r="L111" s="96">
        <v>45931</v>
      </c>
      <c r="M111" s="96" t="str" cm="1">
        <f t="array" ref="M111">_xlfn.XLOOKUP(B111&amp;"", 'Registro EMO'!$C$13:$C$4248&amp;"", 'Registro EMO'!$F$13:$F$4248, "Sin registro", 0, -1)</f>
        <v>Sin registro</v>
      </c>
      <c r="N111" s="11" t="str" cm="1">
        <f t="array" ref="N111">_xlfn.XLOOKUP(B111&amp;"", 'Registro EMO'!$C$13:$C$4248&amp;"", 'Registro EMO'!$E$13:$E$4248, "Sin registro", 0, -1)</f>
        <v>Sin registro</v>
      </c>
      <c r="O111" s="11" t="str">
        <f t="shared" si="7"/>
        <v>NO</v>
      </c>
      <c r="P111" s="130" t="str" cm="1">
        <f t="array" ref="P111">_xlfn.LET(
    _xlpm.resultado, _xlfn.XLOOKUP(B111&amp;"", 'Registro EMO'!$C$13:$C$4248&amp;"", 'Registro EMO'!$I$13:$I$4248, "NO", 0, -1),
    IF(_xlpm.resultado=0, "NO", _xlpm.resultado)
)</f>
        <v>NO</v>
      </c>
      <c r="Q111" s="11" t="str">
        <f t="shared" ca="1" si="8"/>
        <v>Pendiente</v>
      </c>
      <c r="R111" s="96"/>
      <c r="S111" s="11"/>
      <c r="T111" s="11" t="str">
        <f t="shared" si="9"/>
        <v/>
      </c>
      <c r="U111" s="11"/>
      <c r="V111" s="11"/>
      <c r="W111" s="29"/>
      <c r="X111" s="129"/>
      <c r="Y111" s="11"/>
      <c r="Z111" s="11"/>
      <c r="AA111" s="11"/>
      <c r="AB111" s="11"/>
      <c r="AC111" s="11"/>
      <c r="AD111" s="11"/>
      <c r="AE111" s="11"/>
      <c r="AF111" s="11"/>
      <c r="AG111" s="98"/>
      <c r="AH111" s="11"/>
    </row>
    <row r="112" spans="1:34" hidden="1" x14ac:dyDescent="0.3">
      <c r="A112" s="7" t="str">
        <f t="shared" si="5"/>
        <v>TR-1111</v>
      </c>
      <c r="B112" s="11" t="s">
        <v>471</v>
      </c>
      <c r="C112" s="141" t="s">
        <v>472</v>
      </c>
      <c r="D112" s="98">
        <v>36379</v>
      </c>
      <c r="E112" s="111">
        <f t="shared" ca="1" si="6"/>
        <v>26</v>
      </c>
      <c r="F112" s="132" t="s">
        <v>762</v>
      </c>
      <c r="G112" s="11" t="s">
        <v>254</v>
      </c>
      <c r="H112" s="139" t="s">
        <v>765</v>
      </c>
      <c r="I112" s="140" t="s">
        <v>766</v>
      </c>
      <c r="J112" s="132"/>
      <c r="K112" s="11" t="s">
        <v>773</v>
      </c>
      <c r="L112" s="96">
        <v>45804</v>
      </c>
      <c r="M112" s="96" t="str" cm="1">
        <f t="array" ref="M112">_xlfn.XLOOKUP(B112&amp;"", 'Registro EMO'!$C$13:$C$4248&amp;"", 'Registro EMO'!$F$13:$F$4248, "Sin registro", 0, -1)</f>
        <v>Sin registro</v>
      </c>
      <c r="N112" s="11" t="str" cm="1">
        <f t="array" ref="N112">_xlfn.XLOOKUP(B112&amp;"", 'Registro EMO'!$C$13:$C$4248&amp;"", 'Registro EMO'!$E$13:$E$4248, "Sin registro", 0, -1)</f>
        <v>Sin registro</v>
      </c>
      <c r="O112" s="11" t="str">
        <f t="shared" si="7"/>
        <v>NO</v>
      </c>
      <c r="P112" s="130" t="str" cm="1">
        <f t="array" ref="P112">_xlfn.LET(
    _xlpm.resultado, _xlfn.XLOOKUP(B112&amp;"", 'Registro EMO'!$C$13:$C$4248&amp;"", 'Registro EMO'!$I$13:$I$4248, "NO", 0, -1),
    IF(_xlpm.resultado=0, "NO", _xlpm.resultado)
)</f>
        <v>NO</v>
      </c>
      <c r="Q112" s="11" t="str">
        <f t="shared" ca="1" si="8"/>
        <v>Pendiente</v>
      </c>
      <c r="R112" s="96"/>
      <c r="S112" s="11"/>
      <c r="T112" s="11" t="str">
        <f t="shared" si="9"/>
        <v/>
      </c>
      <c r="U112" s="11"/>
      <c r="V112" s="11"/>
      <c r="W112" s="29"/>
      <c r="X112" s="129"/>
      <c r="Y112" s="11"/>
      <c r="Z112" s="11"/>
      <c r="AA112" s="11"/>
      <c r="AB112" s="11"/>
      <c r="AC112" s="11"/>
      <c r="AD112" s="11"/>
      <c r="AE112" s="11"/>
      <c r="AF112" s="11"/>
      <c r="AG112" s="98"/>
      <c r="AH112" s="11"/>
    </row>
    <row r="113" spans="1:34" hidden="1" x14ac:dyDescent="0.3">
      <c r="A113" s="7" t="str">
        <f t="shared" si="5"/>
        <v>TR-1112</v>
      </c>
      <c r="B113" s="11" t="s">
        <v>473</v>
      </c>
      <c r="C113" s="141" t="s">
        <v>474</v>
      </c>
      <c r="D113" s="98">
        <v>37660</v>
      </c>
      <c r="E113" s="111">
        <f t="shared" ca="1" si="6"/>
        <v>23</v>
      </c>
      <c r="F113" s="132" t="s">
        <v>743</v>
      </c>
      <c r="G113" s="11" t="s">
        <v>254</v>
      </c>
      <c r="H113" s="139" t="s">
        <v>746</v>
      </c>
      <c r="I113" s="140" t="s">
        <v>751</v>
      </c>
      <c r="J113" s="132"/>
      <c r="K113" s="11" t="s">
        <v>773</v>
      </c>
      <c r="L113" s="96">
        <v>44440</v>
      </c>
      <c r="M113" s="96" t="str" cm="1">
        <f t="array" ref="M113">_xlfn.XLOOKUP(B113&amp;"", 'Registro EMO'!$C$13:$C$4248&amp;"", 'Registro EMO'!$F$13:$F$4248, "Sin registro", 0, -1)</f>
        <v>Sin registro</v>
      </c>
      <c r="N113" s="11" t="str" cm="1">
        <f t="array" ref="N113">_xlfn.XLOOKUP(B113&amp;"", 'Registro EMO'!$C$13:$C$4248&amp;"", 'Registro EMO'!$E$13:$E$4248, "Sin registro", 0, -1)</f>
        <v>Sin registro</v>
      </c>
      <c r="O113" s="11" t="str">
        <f t="shared" si="7"/>
        <v>NO</v>
      </c>
      <c r="P113" s="130" t="str" cm="1">
        <f t="array" ref="P113">_xlfn.LET(
    _xlpm.resultado, _xlfn.XLOOKUP(B113&amp;"", 'Registro EMO'!$C$13:$C$4248&amp;"", 'Registro EMO'!$I$13:$I$4248, "NO", 0, -1),
    IF(_xlpm.resultado=0, "NO", _xlpm.resultado)
)</f>
        <v>NO</v>
      </c>
      <c r="Q113" s="11" t="str">
        <f t="shared" ca="1" si="8"/>
        <v>Pendiente</v>
      </c>
      <c r="R113" s="96"/>
      <c r="S113" s="11"/>
      <c r="T113" s="11" t="str">
        <f t="shared" si="9"/>
        <v/>
      </c>
      <c r="U113" s="11"/>
      <c r="V113" s="11"/>
      <c r="W113" s="29"/>
      <c r="X113" s="129"/>
      <c r="Y113" s="11"/>
      <c r="Z113" s="11"/>
      <c r="AA113" s="11"/>
      <c r="AB113" s="11"/>
      <c r="AC113" s="11"/>
      <c r="AD113" s="11"/>
      <c r="AE113" s="11"/>
      <c r="AF113" s="11"/>
      <c r="AG113" s="98"/>
      <c r="AH113" s="11"/>
    </row>
    <row r="114" spans="1:34" hidden="1" x14ac:dyDescent="0.3">
      <c r="A114" s="7" t="str">
        <f t="shared" si="5"/>
        <v>TR-1113</v>
      </c>
      <c r="B114" s="11" t="s">
        <v>475</v>
      </c>
      <c r="C114" s="141" t="s">
        <v>476</v>
      </c>
      <c r="D114" s="98">
        <v>34977</v>
      </c>
      <c r="E114" s="111">
        <f t="shared" ca="1" si="6"/>
        <v>30</v>
      </c>
      <c r="F114" s="132" t="s">
        <v>743</v>
      </c>
      <c r="G114" s="11" t="s">
        <v>254</v>
      </c>
      <c r="H114" s="139" t="s">
        <v>746</v>
      </c>
      <c r="I114" s="140" t="s">
        <v>751</v>
      </c>
      <c r="J114" s="132"/>
      <c r="K114" s="11" t="s">
        <v>773</v>
      </c>
      <c r="L114" s="96">
        <v>45931</v>
      </c>
      <c r="M114" s="96" t="str" cm="1">
        <f t="array" ref="M114">_xlfn.XLOOKUP(B114&amp;"", 'Registro EMO'!$C$13:$C$4248&amp;"", 'Registro EMO'!$F$13:$F$4248, "Sin registro", 0, -1)</f>
        <v>Sin registro</v>
      </c>
      <c r="N114" s="11" t="str" cm="1">
        <f t="array" ref="N114">_xlfn.XLOOKUP(B114&amp;"", 'Registro EMO'!$C$13:$C$4248&amp;"", 'Registro EMO'!$E$13:$E$4248, "Sin registro", 0, -1)</f>
        <v>Sin registro</v>
      </c>
      <c r="O114" s="11" t="str">
        <f t="shared" si="7"/>
        <v>NO</v>
      </c>
      <c r="P114" s="130" t="str" cm="1">
        <f t="array" ref="P114">_xlfn.LET(
    _xlpm.resultado, _xlfn.XLOOKUP(B114&amp;"", 'Registro EMO'!$C$13:$C$4248&amp;"", 'Registro EMO'!$I$13:$I$4248, "NO", 0, -1),
    IF(_xlpm.resultado=0, "NO", _xlpm.resultado)
)</f>
        <v>NO</v>
      </c>
      <c r="Q114" s="11" t="str">
        <f t="shared" ca="1" si="8"/>
        <v>Pendiente</v>
      </c>
      <c r="R114" s="96"/>
      <c r="S114" s="11"/>
      <c r="T114" s="11" t="str">
        <f t="shared" si="9"/>
        <v/>
      </c>
      <c r="U114" s="11"/>
      <c r="V114" s="11"/>
      <c r="W114" s="29"/>
      <c r="X114" s="129"/>
      <c r="Y114" s="11"/>
      <c r="Z114" s="11"/>
      <c r="AA114" s="11"/>
      <c r="AB114" s="11"/>
      <c r="AC114" s="11"/>
      <c r="AD114" s="11"/>
      <c r="AE114" s="11"/>
      <c r="AF114" s="11"/>
      <c r="AG114" s="98"/>
      <c r="AH114" s="11"/>
    </row>
    <row r="115" spans="1:34" hidden="1" x14ac:dyDescent="0.3">
      <c r="A115" s="7" t="str">
        <f t="shared" si="5"/>
        <v>TR-1114</v>
      </c>
      <c r="B115" s="11" t="s">
        <v>477</v>
      </c>
      <c r="C115" s="141" t="s">
        <v>478</v>
      </c>
      <c r="D115" s="98">
        <v>34960</v>
      </c>
      <c r="E115" s="111">
        <f t="shared" ca="1" si="6"/>
        <v>30</v>
      </c>
      <c r="F115" s="132" t="s">
        <v>743</v>
      </c>
      <c r="G115" s="11" t="s">
        <v>254</v>
      </c>
      <c r="H115" s="139" t="s">
        <v>746</v>
      </c>
      <c r="I115" s="140" t="s">
        <v>747</v>
      </c>
      <c r="J115" s="132"/>
      <c r="K115" s="11" t="s">
        <v>774</v>
      </c>
      <c r="L115" s="96">
        <v>45798</v>
      </c>
      <c r="M115" s="96" t="str" cm="1">
        <f t="array" ref="M115">_xlfn.XLOOKUP(B115&amp;"", 'Registro EMO'!$C$13:$C$4248&amp;"", 'Registro EMO'!$F$13:$F$4248, "Sin registro", 0, -1)</f>
        <v>Sin registro</v>
      </c>
      <c r="N115" s="11" t="str" cm="1">
        <f t="array" ref="N115">_xlfn.XLOOKUP(B115&amp;"", 'Registro EMO'!$C$13:$C$4248&amp;"", 'Registro EMO'!$E$13:$E$4248, "Sin registro", 0, -1)</f>
        <v>Sin registro</v>
      </c>
      <c r="O115" s="11" t="str">
        <f t="shared" si="7"/>
        <v>NO</v>
      </c>
      <c r="P115" s="130" t="str" cm="1">
        <f t="array" ref="P115">_xlfn.LET(
    _xlpm.resultado, _xlfn.XLOOKUP(B115&amp;"", 'Registro EMO'!$C$13:$C$4248&amp;"", 'Registro EMO'!$I$13:$I$4248, "NO", 0, -1),
    IF(_xlpm.resultado=0, "NO", _xlpm.resultado)
)</f>
        <v>NO</v>
      </c>
      <c r="Q115" s="11" t="str">
        <f t="shared" ca="1" si="8"/>
        <v>Pendiente</v>
      </c>
      <c r="R115" s="96"/>
      <c r="S115" s="11"/>
      <c r="T115" s="11" t="str">
        <f t="shared" si="9"/>
        <v/>
      </c>
      <c r="U115" s="11"/>
      <c r="V115" s="11"/>
      <c r="W115" s="29"/>
      <c r="X115" s="129"/>
      <c r="Y115" s="11"/>
      <c r="Z115" s="11"/>
      <c r="AA115" s="11"/>
      <c r="AB115" s="11"/>
      <c r="AC115" s="11"/>
      <c r="AD115" s="11"/>
      <c r="AE115" s="11"/>
      <c r="AF115" s="11"/>
      <c r="AG115" s="98"/>
      <c r="AH115" s="11"/>
    </row>
    <row r="116" spans="1:34" hidden="1" x14ac:dyDescent="0.3">
      <c r="A116" s="7" t="str">
        <f t="shared" si="5"/>
        <v>TR-1115</v>
      </c>
      <c r="B116" s="11" t="s">
        <v>479</v>
      </c>
      <c r="C116" s="141" t="s">
        <v>480</v>
      </c>
      <c r="D116" s="98">
        <v>34195</v>
      </c>
      <c r="E116" s="111">
        <f t="shared" ca="1" si="6"/>
        <v>32</v>
      </c>
      <c r="F116" s="132" t="s">
        <v>743</v>
      </c>
      <c r="G116" s="11" t="s">
        <v>254</v>
      </c>
      <c r="H116" s="139" t="s">
        <v>752</v>
      </c>
      <c r="I116" s="140" t="s">
        <v>753</v>
      </c>
      <c r="J116" s="132"/>
      <c r="K116" s="11" t="s">
        <v>773</v>
      </c>
      <c r="L116" s="96">
        <v>45748</v>
      </c>
      <c r="M116" s="96" t="str" cm="1">
        <f t="array" ref="M116">_xlfn.XLOOKUP(B116&amp;"", 'Registro EMO'!$C$13:$C$4248&amp;"", 'Registro EMO'!$F$13:$F$4248, "Sin registro", 0, -1)</f>
        <v>Sin registro</v>
      </c>
      <c r="N116" s="11" t="str" cm="1">
        <f t="array" ref="N116">_xlfn.XLOOKUP(B116&amp;"", 'Registro EMO'!$C$13:$C$4248&amp;"", 'Registro EMO'!$E$13:$E$4248, "Sin registro", 0, -1)</f>
        <v>Sin registro</v>
      </c>
      <c r="O116" s="11" t="str">
        <f t="shared" si="7"/>
        <v>NO</v>
      </c>
      <c r="P116" s="130" t="str" cm="1">
        <f t="array" ref="P116">_xlfn.LET(
    _xlpm.resultado, _xlfn.XLOOKUP(B116&amp;"", 'Registro EMO'!$C$13:$C$4248&amp;"", 'Registro EMO'!$I$13:$I$4248, "NO", 0, -1),
    IF(_xlpm.resultado=0, "NO", _xlpm.resultado)
)</f>
        <v>NO</v>
      </c>
      <c r="Q116" s="11" t="str">
        <f t="shared" ca="1" si="8"/>
        <v>Pendiente</v>
      </c>
      <c r="R116" s="96"/>
      <c r="S116" s="11"/>
      <c r="T116" s="11" t="str">
        <f t="shared" si="9"/>
        <v/>
      </c>
      <c r="U116" s="11"/>
      <c r="V116" s="11"/>
      <c r="W116" s="29"/>
      <c r="X116" s="129"/>
      <c r="Y116" s="11"/>
      <c r="Z116" s="11"/>
      <c r="AA116" s="11"/>
      <c r="AB116" s="11"/>
      <c r="AC116" s="11"/>
      <c r="AD116" s="11"/>
      <c r="AE116" s="11"/>
      <c r="AF116" s="11"/>
      <c r="AG116" s="98"/>
      <c r="AH116" s="11"/>
    </row>
    <row r="117" spans="1:34" hidden="1" x14ac:dyDescent="0.3">
      <c r="A117" s="7" t="str">
        <f t="shared" si="5"/>
        <v>TR-1116</v>
      </c>
      <c r="B117" s="11" t="s">
        <v>481</v>
      </c>
      <c r="C117" s="141" t="s">
        <v>482</v>
      </c>
      <c r="D117" s="98">
        <v>37232</v>
      </c>
      <c r="E117" s="111">
        <f t="shared" ca="1" si="6"/>
        <v>24</v>
      </c>
      <c r="F117" s="132" t="s">
        <v>743</v>
      </c>
      <c r="G117" s="11" t="s">
        <v>254</v>
      </c>
      <c r="H117" s="139" t="s">
        <v>746</v>
      </c>
      <c r="I117" s="140" t="s">
        <v>751</v>
      </c>
      <c r="J117" s="132"/>
      <c r="K117" s="11" t="s">
        <v>773</v>
      </c>
      <c r="L117" s="96">
        <v>45818</v>
      </c>
      <c r="M117" s="96" t="str" cm="1">
        <f t="array" ref="M117">_xlfn.XLOOKUP(B117&amp;"", 'Registro EMO'!$C$13:$C$4248&amp;"", 'Registro EMO'!$F$13:$F$4248, "Sin registro", 0, -1)</f>
        <v>16/04/2026</v>
      </c>
      <c r="N117" s="11" t="str" cm="1">
        <f t="array" ref="N117">_xlfn.XLOOKUP(B117&amp;"", 'Registro EMO'!$C$13:$C$4248&amp;"", 'Registro EMO'!$E$13:$E$4248, "Sin registro", 0, -1)</f>
        <v>Pre-Ocupacional</v>
      </c>
      <c r="O117" s="11" t="str">
        <f t="shared" si="7"/>
        <v>SI</v>
      </c>
      <c r="P117" s="150" cm="1">
        <f t="array" ref="P117">_xlfn.LET(
    _xlpm.resultado, _xlfn.XLOOKUP(B117&amp;"", 'Registro EMO'!$C$13:$C$4248&amp;"", 'Registro EMO'!$I$13:$I$4248, "NO", 0, -1),
    IF(_xlpm.resultado=0, "NO", _xlpm.resultado)
)</f>
        <v>45688</v>
      </c>
      <c r="Q117" s="11" t="str">
        <f t="shared" ca="1" si="8"/>
        <v>Vigente</v>
      </c>
      <c r="R117" s="96"/>
      <c r="S117" s="11"/>
      <c r="T117" s="11" t="str">
        <f t="shared" si="9"/>
        <v/>
      </c>
      <c r="U117" s="11"/>
      <c r="V117" s="11" t="s">
        <v>796</v>
      </c>
      <c r="W117" s="29"/>
      <c r="X117" s="129"/>
      <c r="Y117" s="11"/>
      <c r="Z117" s="11"/>
      <c r="AA117" s="11"/>
      <c r="AB117" s="11"/>
      <c r="AC117" s="11"/>
      <c r="AD117" s="11"/>
      <c r="AE117" s="11"/>
      <c r="AF117" s="11"/>
      <c r="AG117" s="98"/>
      <c r="AH117" s="11" t="s">
        <v>32</v>
      </c>
    </row>
    <row r="118" spans="1:34" hidden="1" x14ac:dyDescent="0.3">
      <c r="A118" s="7" t="str">
        <f t="shared" si="5"/>
        <v>TR-1117</v>
      </c>
      <c r="B118" s="11" t="s">
        <v>483</v>
      </c>
      <c r="C118" s="141" t="s">
        <v>484</v>
      </c>
      <c r="D118" s="98">
        <v>32930</v>
      </c>
      <c r="E118" s="111">
        <f t="shared" ca="1" si="6"/>
        <v>36</v>
      </c>
      <c r="F118" s="132" t="s">
        <v>743</v>
      </c>
      <c r="G118" s="11" t="s">
        <v>254</v>
      </c>
      <c r="H118" s="139" t="s">
        <v>746</v>
      </c>
      <c r="I118" s="140" t="s">
        <v>751</v>
      </c>
      <c r="J118" s="132"/>
      <c r="K118" s="11" t="s">
        <v>773</v>
      </c>
      <c r="L118" s="96">
        <v>44942</v>
      </c>
      <c r="M118" s="96" t="str" cm="1">
        <f t="array" ref="M118">_xlfn.XLOOKUP(B118&amp;"", 'Registro EMO'!$C$13:$C$4248&amp;"", 'Registro EMO'!$F$13:$F$4248, "Sin registro", 0, -1)</f>
        <v>30/01/2026</v>
      </c>
      <c r="N118" s="11" t="str" cm="1">
        <f t="array" ref="N118">_xlfn.XLOOKUP(B118&amp;"", 'Registro EMO'!$C$13:$C$4248&amp;"", 'Registro EMO'!$E$13:$E$4248, "Sin registro", 0, -1)</f>
        <v>Pre-Ocupacional</v>
      </c>
      <c r="O118" s="11" t="str">
        <f t="shared" si="7"/>
        <v>SI</v>
      </c>
      <c r="P118" s="150" cm="1">
        <f t="array" ref="P118">_xlfn.LET(
    _xlpm.resultado, _xlfn.XLOOKUP(B118&amp;"", 'Registro EMO'!$C$13:$C$4248&amp;"", 'Registro EMO'!$I$13:$I$4248, "NO", 0, -1),
    IF(_xlpm.resultado=0, "NO", _xlpm.resultado)
)</f>
        <v>45688</v>
      </c>
      <c r="Q118" s="11" t="str">
        <f t="shared" ca="1" si="8"/>
        <v>Vigente</v>
      </c>
      <c r="R118" s="96"/>
      <c r="S118" s="11"/>
      <c r="T118" s="11" t="str">
        <f t="shared" si="9"/>
        <v/>
      </c>
      <c r="U118" s="11"/>
      <c r="V118" s="11" t="s">
        <v>796</v>
      </c>
      <c r="W118" s="29"/>
      <c r="X118" s="129"/>
      <c r="Y118" s="11"/>
      <c r="Z118" s="11"/>
      <c r="AA118" s="11"/>
      <c r="AB118" s="11"/>
      <c r="AC118" s="11"/>
      <c r="AD118" s="11"/>
      <c r="AE118" s="11"/>
      <c r="AF118" s="11"/>
      <c r="AG118" s="98"/>
      <c r="AH118" s="11" t="s">
        <v>32</v>
      </c>
    </row>
    <row r="119" spans="1:34" hidden="1" x14ac:dyDescent="0.3">
      <c r="A119" s="7" t="str">
        <f t="shared" si="5"/>
        <v>TR-1118</v>
      </c>
      <c r="B119" s="11" t="s">
        <v>485</v>
      </c>
      <c r="C119" s="141" t="s">
        <v>486</v>
      </c>
      <c r="D119" s="98">
        <v>32423</v>
      </c>
      <c r="E119" s="111">
        <f t="shared" ca="1" si="6"/>
        <v>37</v>
      </c>
      <c r="F119" s="132" t="s">
        <v>743</v>
      </c>
      <c r="G119" s="11" t="s">
        <v>254</v>
      </c>
      <c r="H119" s="139" t="s">
        <v>746</v>
      </c>
      <c r="I119" s="140" t="s">
        <v>747</v>
      </c>
      <c r="J119" s="132"/>
      <c r="K119" s="11" t="s">
        <v>773</v>
      </c>
      <c r="L119" s="96">
        <v>44850</v>
      </c>
      <c r="M119" s="96" t="str" cm="1">
        <f t="array" ref="M119">_xlfn.XLOOKUP(B119&amp;"", 'Registro EMO'!$C$13:$C$4248&amp;"", 'Registro EMO'!$F$13:$F$4248, "Sin registro", 0, -1)</f>
        <v>28/08/2026</v>
      </c>
      <c r="N119" s="11" t="str" cm="1">
        <f t="array" ref="N119">_xlfn.XLOOKUP(B119&amp;"", 'Registro EMO'!$C$13:$C$4248&amp;"", 'Registro EMO'!$E$13:$E$4248, "Sin registro", 0, -1)</f>
        <v>Pre-Ocupacional</v>
      </c>
      <c r="O119" s="11" t="str">
        <f t="shared" si="7"/>
        <v>SI</v>
      </c>
      <c r="P119" s="150" cm="1">
        <f t="array" ref="P119">_xlfn.LET(
    _xlpm.resultado, _xlfn.XLOOKUP(B119&amp;"", 'Registro EMO'!$C$13:$C$4248&amp;"", 'Registro EMO'!$I$13:$I$4248, "NO", 0, -1),
    IF(_xlpm.resultado=0, "NO", _xlpm.resultado)
)</f>
        <v>45535</v>
      </c>
      <c r="Q119" s="11" t="str">
        <f t="shared" ca="1" si="8"/>
        <v>Vigente</v>
      </c>
      <c r="R119" s="96"/>
      <c r="S119" s="11"/>
      <c r="T119" s="11" t="str">
        <f t="shared" si="9"/>
        <v/>
      </c>
      <c r="U119" s="11"/>
      <c r="V119" s="11" t="s">
        <v>796</v>
      </c>
      <c r="W119" s="29" t="s">
        <v>778</v>
      </c>
      <c r="X119" s="129"/>
      <c r="Y119" s="11"/>
      <c r="Z119" s="11"/>
      <c r="AA119" s="11"/>
      <c r="AB119" s="11"/>
      <c r="AC119" s="11"/>
      <c r="AD119" s="11"/>
      <c r="AE119" s="11"/>
      <c r="AF119" s="11"/>
      <c r="AG119" s="98"/>
      <c r="AH119" s="11" t="s">
        <v>32</v>
      </c>
    </row>
    <row r="120" spans="1:34" ht="28.8" hidden="1" x14ac:dyDescent="0.3">
      <c r="A120" s="7" t="str">
        <f t="shared" si="5"/>
        <v>TR-1119</v>
      </c>
      <c r="B120" s="11" t="s">
        <v>487</v>
      </c>
      <c r="C120" s="141" t="s">
        <v>488</v>
      </c>
      <c r="D120" s="98">
        <v>27456</v>
      </c>
      <c r="E120" s="111">
        <f t="shared" ca="1" si="6"/>
        <v>51</v>
      </c>
      <c r="F120" s="132" t="s">
        <v>743</v>
      </c>
      <c r="G120" s="11" t="s">
        <v>254</v>
      </c>
      <c r="H120" s="139" t="s">
        <v>746</v>
      </c>
      <c r="I120" s="140" t="s">
        <v>747</v>
      </c>
      <c r="J120" s="132"/>
      <c r="K120" s="11" t="s">
        <v>773</v>
      </c>
      <c r="L120" s="96">
        <v>44482</v>
      </c>
      <c r="M120" s="96" cm="1">
        <f t="array" ref="M120">_xlfn.XLOOKUP(B120&amp;"", 'Registro EMO'!$C$13:$C$4248&amp;"", 'Registro EMO'!$F$13:$F$4248, "Sin registro", 0, -1)</f>
        <v>46082</v>
      </c>
      <c r="N120" s="11" t="str" cm="1">
        <f t="array" ref="N120">_xlfn.XLOOKUP(B120&amp;"", 'Registro EMO'!$C$13:$C$4248&amp;"", 'Registro EMO'!$E$13:$E$4248, "Sin registro", 0, -1)</f>
        <v>Pre-Ocupacional</v>
      </c>
      <c r="O120" s="11" t="str">
        <f t="shared" si="7"/>
        <v>SI</v>
      </c>
      <c r="P120" s="150" cm="1">
        <f t="array" ref="P120">_xlfn.LET(
    _xlpm.resultado, _xlfn.XLOOKUP(B120&amp;"", 'Registro EMO'!$C$13:$C$4248&amp;"", 'Registro EMO'!$I$13:$I$4248, "NO", 0, -1),
    IF(_xlpm.resultado=0, "NO", _xlpm.resultado)
)</f>
        <v>45015</v>
      </c>
      <c r="Q120" s="11" t="str">
        <f t="shared" ca="1" si="8"/>
        <v>Vigente</v>
      </c>
      <c r="R120" s="96"/>
      <c r="S120" s="11"/>
      <c r="T120" s="11" t="str">
        <f t="shared" si="9"/>
        <v/>
      </c>
      <c r="U120" s="11"/>
      <c r="V120" s="11" t="s">
        <v>796</v>
      </c>
      <c r="W120" s="29" t="s">
        <v>794</v>
      </c>
      <c r="X120" s="129"/>
      <c r="Y120" s="11"/>
      <c r="Z120" s="11"/>
      <c r="AA120" s="11"/>
      <c r="AB120" s="11"/>
      <c r="AC120" s="11"/>
      <c r="AD120" s="11"/>
      <c r="AE120" s="11"/>
      <c r="AF120" s="11"/>
      <c r="AG120" s="98"/>
      <c r="AH120" s="11" t="s">
        <v>32</v>
      </c>
    </row>
    <row r="121" spans="1:34" hidden="1" x14ac:dyDescent="0.3">
      <c r="A121" s="7" t="str">
        <f t="shared" si="5"/>
        <v>TR-1120</v>
      </c>
      <c r="B121" s="11" t="s">
        <v>489</v>
      </c>
      <c r="C121" s="141" t="s">
        <v>490</v>
      </c>
      <c r="D121" s="98">
        <v>35547</v>
      </c>
      <c r="E121" s="111">
        <f t="shared" ca="1" si="6"/>
        <v>28</v>
      </c>
      <c r="F121" s="132" t="s">
        <v>743</v>
      </c>
      <c r="G121" s="11" t="s">
        <v>254</v>
      </c>
      <c r="H121" s="139" t="s">
        <v>746</v>
      </c>
      <c r="I121" s="140" t="s">
        <v>747</v>
      </c>
      <c r="J121" s="132"/>
      <c r="K121" s="11" t="s">
        <v>773</v>
      </c>
      <c r="L121" s="96">
        <v>44044</v>
      </c>
      <c r="M121" s="96" t="str" cm="1">
        <f t="array" ref="M121">_xlfn.XLOOKUP(B121&amp;"", 'Registro EMO'!$C$13:$C$4248&amp;"", 'Registro EMO'!$F$13:$F$4248, "Sin registro", 0, -1)</f>
        <v>25/02/2026</v>
      </c>
      <c r="N121" s="11" t="str" cm="1">
        <f t="array" ref="N121">_xlfn.XLOOKUP(B121&amp;"", 'Registro EMO'!$C$13:$C$4248&amp;"", 'Registro EMO'!$E$13:$E$4248, "Sin registro", 0, -1)</f>
        <v>Pre-Ocupacional</v>
      </c>
      <c r="O121" s="11" t="str">
        <f t="shared" si="7"/>
        <v>NO</v>
      </c>
      <c r="P121" s="130" t="str" cm="1">
        <f t="array" ref="P121">_xlfn.LET(
    _xlpm.resultado, _xlfn.XLOOKUP(B121&amp;"", 'Registro EMO'!$C$13:$C$4248&amp;"", 'Registro EMO'!$I$13:$I$4248, "NO", 0, -1),
    IF(_xlpm.resultado=0, "NO", _xlpm.resultado)
)</f>
        <v>NO</v>
      </c>
      <c r="Q121" s="11" t="str">
        <f t="shared" ca="1" si="8"/>
        <v>Vigente</v>
      </c>
      <c r="R121" s="96"/>
      <c r="S121" s="11"/>
      <c r="T121" s="11" t="str">
        <f t="shared" si="9"/>
        <v/>
      </c>
      <c r="U121" s="11"/>
      <c r="V121" s="11" t="s">
        <v>796</v>
      </c>
      <c r="W121" s="29"/>
      <c r="X121" s="129"/>
      <c r="Y121" s="11"/>
      <c r="Z121" s="11"/>
      <c r="AA121" s="11"/>
      <c r="AB121" s="11"/>
      <c r="AC121" s="11"/>
      <c r="AD121" s="11"/>
      <c r="AE121" s="11"/>
      <c r="AF121" s="11"/>
      <c r="AG121" s="98"/>
      <c r="AH121" s="11" t="s">
        <v>32</v>
      </c>
    </row>
    <row r="122" spans="1:34" hidden="1" x14ac:dyDescent="0.3">
      <c r="A122" s="7" t="str">
        <f t="shared" si="5"/>
        <v>TR-1121</v>
      </c>
      <c r="B122" s="11" t="s">
        <v>491</v>
      </c>
      <c r="C122" s="141" t="s">
        <v>492</v>
      </c>
      <c r="D122" s="98">
        <v>38760</v>
      </c>
      <c r="E122" s="111">
        <f t="shared" ca="1" si="6"/>
        <v>20</v>
      </c>
      <c r="F122" s="132" t="s">
        <v>743</v>
      </c>
      <c r="G122" s="11" t="s">
        <v>254</v>
      </c>
      <c r="H122" s="139" t="s">
        <v>746</v>
      </c>
      <c r="I122" s="140" t="s">
        <v>747</v>
      </c>
      <c r="J122" s="132"/>
      <c r="K122" s="11" t="s">
        <v>773</v>
      </c>
      <c r="L122" s="96">
        <v>45536</v>
      </c>
      <c r="M122" s="96" t="str" cm="1">
        <f t="array" ref="M122">_xlfn.XLOOKUP(B122&amp;"", 'Registro EMO'!$C$13:$C$4248&amp;"", 'Registro EMO'!$F$13:$F$4248, "Sin registro", 0, -1)</f>
        <v>Sin registro</v>
      </c>
      <c r="N122" s="11" t="str" cm="1">
        <f t="array" ref="N122">_xlfn.XLOOKUP(B122&amp;"", 'Registro EMO'!$C$13:$C$4248&amp;"", 'Registro EMO'!$E$13:$E$4248, "Sin registro", 0, -1)</f>
        <v>Sin registro</v>
      </c>
      <c r="O122" s="11" t="str">
        <f t="shared" si="7"/>
        <v>NO</v>
      </c>
      <c r="P122" s="130" t="str" cm="1">
        <f t="array" ref="P122">_xlfn.LET(
    _xlpm.resultado, _xlfn.XLOOKUP(B122&amp;"", 'Registro EMO'!$C$13:$C$4248&amp;"", 'Registro EMO'!$I$13:$I$4248, "NO", 0, -1),
    IF(_xlpm.resultado=0, "NO", _xlpm.resultado)
)</f>
        <v>NO</v>
      </c>
      <c r="Q122" s="11" t="str">
        <f t="shared" ca="1" si="8"/>
        <v>Pendiente</v>
      </c>
      <c r="R122" s="96"/>
      <c r="S122" s="11"/>
      <c r="T122" s="11" t="str">
        <f t="shared" si="9"/>
        <v/>
      </c>
      <c r="U122" s="11"/>
      <c r="V122" s="11"/>
      <c r="W122" s="29"/>
      <c r="X122" s="129"/>
      <c r="Y122" s="11"/>
      <c r="Z122" s="11"/>
      <c r="AA122" s="11"/>
      <c r="AB122" s="11"/>
      <c r="AC122" s="11"/>
      <c r="AD122" s="11"/>
      <c r="AE122" s="11"/>
      <c r="AF122" s="11"/>
      <c r="AG122" s="98"/>
      <c r="AH122" s="11"/>
    </row>
    <row r="123" spans="1:34" hidden="1" x14ac:dyDescent="0.3">
      <c r="A123" s="7" t="str">
        <f t="shared" si="5"/>
        <v>TR-1122</v>
      </c>
      <c r="B123" s="11" t="s">
        <v>493</v>
      </c>
      <c r="C123" s="141" t="s">
        <v>494</v>
      </c>
      <c r="D123" s="98">
        <v>38051</v>
      </c>
      <c r="E123" s="111">
        <f t="shared" ca="1" si="6"/>
        <v>22</v>
      </c>
      <c r="F123" s="132" t="s">
        <v>743</v>
      </c>
      <c r="G123" s="11" t="s">
        <v>254</v>
      </c>
      <c r="H123" s="139" t="s">
        <v>746</v>
      </c>
      <c r="I123" s="140" t="s">
        <v>747</v>
      </c>
      <c r="J123" s="132"/>
      <c r="K123" s="11" t="s">
        <v>774</v>
      </c>
      <c r="L123" s="96">
        <v>45842</v>
      </c>
      <c r="M123" s="96" t="str" cm="1">
        <f t="array" ref="M123">_xlfn.XLOOKUP(B123&amp;"", 'Registro EMO'!$C$13:$C$4248&amp;"", 'Registro EMO'!$F$13:$F$4248, "Sin registro", 0, -1)</f>
        <v>Sin registro</v>
      </c>
      <c r="N123" s="11" t="str" cm="1">
        <f t="array" ref="N123">_xlfn.XLOOKUP(B123&amp;"", 'Registro EMO'!$C$13:$C$4248&amp;"", 'Registro EMO'!$E$13:$E$4248, "Sin registro", 0, -1)</f>
        <v>Sin registro</v>
      </c>
      <c r="O123" s="11" t="str">
        <f t="shared" si="7"/>
        <v>NO</v>
      </c>
      <c r="P123" s="130" t="str" cm="1">
        <f t="array" ref="P123">_xlfn.LET(
    _xlpm.resultado, _xlfn.XLOOKUP(B123&amp;"", 'Registro EMO'!$C$13:$C$4248&amp;"", 'Registro EMO'!$I$13:$I$4248, "NO", 0, -1),
    IF(_xlpm.resultado=0, "NO", _xlpm.resultado)
)</f>
        <v>NO</v>
      </c>
      <c r="Q123" s="11" t="str">
        <f t="shared" ca="1" si="8"/>
        <v>Pendiente</v>
      </c>
      <c r="R123" s="96"/>
      <c r="S123" s="11"/>
      <c r="T123" s="11" t="str">
        <f t="shared" si="9"/>
        <v/>
      </c>
      <c r="U123" s="11"/>
      <c r="V123" s="11"/>
      <c r="W123" s="29"/>
      <c r="X123" s="129"/>
      <c r="Y123" s="11"/>
      <c r="Z123" s="11"/>
      <c r="AA123" s="11"/>
      <c r="AB123" s="11"/>
      <c r="AC123" s="11"/>
      <c r="AD123" s="11"/>
      <c r="AE123" s="11"/>
      <c r="AF123" s="11"/>
      <c r="AG123" s="98"/>
      <c r="AH123" s="11"/>
    </row>
    <row r="124" spans="1:34" ht="28.8" hidden="1" x14ac:dyDescent="0.3">
      <c r="A124" s="7" t="str">
        <f t="shared" si="5"/>
        <v>TR-1123</v>
      </c>
      <c r="B124" s="11" t="s">
        <v>495</v>
      </c>
      <c r="C124" s="141" t="s">
        <v>496</v>
      </c>
      <c r="D124" s="98">
        <v>34058</v>
      </c>
      <c r="E124" s="111">
        <f t="shared" ca="1" si="6"/>
        <v>32</v>
      </c>
      <c r="F124" s="132" t="s">
        <v>743</v>
      </c>
      <c r="G124" s="11" t="s">
        <v>254</v>
      </c>
      <c r="H124" s="139" t="s">
        <v>746</v>
      </c>
      <c r="I124" s="140" t="s">
        <v>751</v>
      </c>
      <c r="J124" s="132"/>
      <c r="K124" s="11" t="s">
        <v>773</v>
      </c>
      <c r="L124" s="96">
        <v>45855</v>
      </c>
      <c r="M124" s="96" cm="1">
        <f t="array" ref="M124">_xlfn.XLOOKUP(B124&amp;"", 'Registro EMO'!$C$13:$C$4248&amp;"", 'Registro EMO'!$F$13:$F$4248, "Sin registro", 0, -1)</f>
        <v>45000</v>
      </c>
      <c r="N124" s="11" t="str" cm="1">
        <f t="array" ref="N124">_xlfn.XLOOKUP(B124&amp;"", 'Registro EMO'!$C$13:$C$4248&amp;"", 'Registro EMO'!$E$13:$E$4248, "Sin registro", 0, -1)</f>
        <v>Pre-Ocupacional</v>
      </c>
      <c r="O124" s="11" t="str">
        <f t="shared" si="7"/>
        <v>SI</v>
      </c>
      <c r="P124" s="150" cm="1">
        <f t="array" ref="P124">_xlfn.LET(
    _xlpm.resultado, _xlfn.XLOOKUP(B124&amp;"", 'Registro EMO'!$C$13:$C$4248&amp;"", 'Registro EMO'!$I$13:$I$4248, "NO", 0, -1),
    IF(_xlpm.resultado=0, "NO", _xlpm.resultado)
)</f>
        <v>45015</v>
      </c>
      <c r="Q124" s="11" t="str">
        <f t="shared" ca="1" si="8"/>
        <v>Vencido</v>
      </c>
      <c r="R124" s="96"/>
      <c r="S124" s="11"/>
      <c r="T124" s="11" t="str">
        <f t="shared" si="9"/>
        <v/>
      </c>
      <c r="U124" s="151"/>
      <c r="V124" s="11" t="s">
        <v>807</v>
      </c>
      <c r="W124" s="29" t="s">
        <v>795</v>
      </c>
      <c r="X124" s="129"/>
      <c r="Y124" s="11"/>
      <c r="Z124" s="11"/>
      <c r="AA124" s="11"/>
      <c r="AB124" s="11"/>
      <c r="AC124" s="11"/>
      <c r="AD124" s="11"/>
      <c r="AE124" s="11"/>
      <c r="AF124" s="11"/>
      <c r="AG124" s="98"/>
      <c r="AH124" s="11" t="s">
        <v>32</v>
      </c>
    </row>
    <row r="125" spans="1:34" hidden="1" x14ac:dyDescent="0.3">
      <c r="A125" s="7" t="str">
        <f t="shared" si="5"/>
        <v>TR-1124</v>
      </c>
      <c r="B125" s="11" t="s">
        <v>497</v>
      </c>
      <c r="C125" s="141" t="s">
        <v>498</v>
      </c>
      <c r="D125" s="98">
        <v>37566</v>
      </c>
      <c r="E125" s="111">
        <f t="shared" ca="1" si="6"/>
        <v>23</v>
      </c>
      <c r="F125" s="132" t="s">
        <v>743</v>
      </c>
      <c r="G125" s="11" t="s">
        <v>254</v>
      </c>
      <c r="H125" s="139" t="s">
        <v>746</v>
      </c>
      <c r="I125" s="140" t="s">
        <v>751</v>
      </c>
      <c r="J125" s="132"/>
      <c r="K125" s="11" t="s">
        <v>773</v>
      </c>
      <c r="L125" s="96">
        <v>45787</v>
      </c>
      <c r="M125" s="96" t="str" cm="1">
        <f t="array" ref="M125">_xlfn.XLOOKUP(B125&amp;"", 'Registro EMO'!$C$13:$C$4248&amp;"", 'Registro EMO'!$F$13:$F$4248, "Sin registro", 0, -1)</f>
        <v>Sin registro</v>
      </c>
      <c r="N125" s="11" t="str" cm="1">
        <f t="array" ref="N125">_xlfn.XLOOKUP(B125&amp;"", 'Registro EMO'!$C$13:$C$4248&amp;"", 'Registro EMO'!$E$13:$E$4248, "Sin registro", 0, -1)</f>
        <v>Sin registro</v>
      </c>
      <c r="O125" s="11" t="str">
        <f t="shared" si="7"/>
        <v>NO</v>
      </c>
      <c r="P125" s="130" t="str" cm="1">
        <f t="array" ref="P125">_xlfn.LET(
    _xlpm.resultado, _xlfn.XLOOKUP(B125&amp;"", 'Registro EMO'!$C$13:$C$4248&amp;"", 'Registro EMO'!$I$13:$I$4248, "NO", 0, -1),
    IF(_xlpm.resultado=0, "NO", _xlpm.resultado)
)</f>
        <v>NO</v>
      </c>
      <c r="Q125" s="11" t="str">
        <f t="shared" ca="1" si="8"/>
        <v>Pendiente</v>
      </c>
      <c r="R125" s="96"/>
      <c r="S125" s="11"/>
      <c r="T125" s="11" t="str">
        <f t="shared" si="9"/>
        <v/>
      </c>
      <c r="U125" s="11"/>
      <c r="V125" s="11"/>
      <c r="W125" s="29"/>
      <c r="X125" s="129"/>
      <c r="Y125" s="11"/>
      <c r="Z125" s="11"/>
      <c r="AA125" s="11"/>
      <c r="AB125" s="11"/>
      <c r="AC125" s="11"/>
      <c r="AD125" s="11"/>
      <c r="AE125" s="11"/>
      <c r="AF125" s="11"/>
      <c r="AG125" s="98"/>
      <c r="AH125" s="11"/>
    </row>
    <row r="126" spans="1:34" hidden="1" x14ac:dyDescent="0.3">
      <c r="A126" s="7" t="str">
        <f t="shared" si="5"/>
        <v>TR-1125</v>
      </c>
      <c r="B126" s="11" t="s">
        <v>499</v>
      </c>
      <c r="C126" s="141" t="s">
        <v>500</v>
      </c>
      <c r="D126" s="98">
        <v>35404</v>
      </c>
      <c r="E126" s="111">
        <f t="shared" ca="1" si="6"/>
        <v>29</v>
      </c>
      <c r="F126" s="132" t="s">
        <v>743</v>
      </c>
      <c r="G126" s="11" t="s">
        <v>254</v>
      </c>
      <c r="H126" s="139" t="s">
        <v>746</v>
      </c>
      <c r="I126" s="140" t="s">
        <v>747</v>
      </c>
      <c r="J126" s="132"/>
      <c r="K126" s="11" t="s">
        <v>773</v>
      </c>
      <c r="L126" s="96">
        <v>44013</v>
      </c>
      <c r="M126" s="96" t="str" cm="1">
        <f t="array" ref="M126">_xlfn.XLOOKUP(B126&amp;"", 'Registro EMO'!$C$13:$C$4248&amp;"", 'Registro EMO'!$F$13:$F$4248, "Sin registro", 0, -1)</f>
        <v>Sin registro</v>
      </c>
      <c r="N126" s="11" t="str" cm="1">
        <f t="array" ref="N126">_xlfn.XLOOKUP(B126&amp;"", 'Registro EMO'!$C$13:$C$4248&amp;"", 'Registro EMO'!$E$13:$E$4248, "Sin registro", 0, -1)</f>
        <v>Sin registro</v>
      </c>
      <c r="O126" s="11" t="str">
        <f t="shared" si="7"/>
        <v>NO</v>
      </c>
      <c r="P126" s="130" t="str" cm="1">
        <f t="array" ref="P126">_xlfn.LET(
    _xlpm.resultado, _xlfn.XLOOKUP(B126&amp;"", 'Registro EMO'!$C$13:$C$4248&amp;"", 'Registro EMO'!$I$13:$I$4248, "NO", 0, -1),
    IF(_xlpm.resultado=0, "NO", _xlpm.resultado)
)</f>
        <v>NO</v>
      </c>
      <c r="Q126" s="11" t="str">
        <f t="shared" ca="1" si="8"/>
        <v>Pendiente</v>
      </c>
      <c r="R126" s="96"/>
      <c r="S126" s="11"/>
      <c r="T126" s="11" t="str">
        <f t="shared" si="9"/>
        <v/>
      </c>
      <c r="U126" s="11"/>
      <c r="V126" s="11"/>
      <c r="W126" s="29"/>
      <c r="X126" s="129"/>
      <c r="Y126" s="11"/>
      <c r="Z126" s="11"/>
      <c r="AA126" s="11"/>
      <c r="AB126" s="11"/>
      <c r="AC126" s="11"/>
      <c r="AD126" s="11"/>
      <c r="AE126" s="11"/>
      <c r="AF126" s="11"/>
      <c r="AG126" s="98"/>
      <c r="AH126" s="11"/>
    </row>
    <row r="127" spans="1:34" hidden="1" x14ac:dyDescent="0.3">
      <c r="A127" s="7" t="str">
        <f t="shared" si="5"/>
        <v>TR-1126</v>
      </c>
      <c r="B127" s="11" t="s">
        <v>501</v>
      </c>
      <c r="C127" s="141" t="s">
        <v>502</v>
      </c>
      <c r="D127" s="98">
        <v>38505</v>
      </c>
      <c r="E127" s="111">
        <f t="shared" ca="1" si="6"/>
        <v>20</v>
      </c>
      <c r="F127" s="132" t="s">
        <v>743</v>
      </c>
      <c r="G127" s="11" t="s">
        <v>254</v>
      </c>
      <c r="H127" s="139" t="s">
        <v>746</v>
      </c>
      <c r="I127" s="140" t="s">
        <v>751</v>
      </c>
      <c r="J127" s="132"/>
      <c r="K127" s="11" t="s">
        <v>773</v>
      </c>
      <c r="L127" s="96">
        <v>45935</v>
      </c>
      <c r="M127" s="96" t="str" cm="1">
        <f t="array" ref="M127">_xlfn.XLOOKUP(B127&amp;"", 'Registro EMO'!$C$13:$C$4248&amp;"", 'Registro EMO'!$F$13:$F$4248, "Sin registro", 0, -1)</f>
        <v>Sin registro</v>
      </c>
      <c r="N127" s="11" t="str" cm="1">
        <f t="array" ref="N127">_xlfn.XLOOKUP(B127&amp;"", 'Registro EMO'!$C$13:$C$4248&amp;"", 'Registro EMO'!$E$13:$E$4248, "Sin registro", 0, -1)</f>
        <v>Sin registro</v>
      </c>
      <c r="O127" s="11" t="str">
        <f t="shared" si="7"/>
        <v>NO</v>
      </c>
      <c r="P127" s="130" t="str" cm="1">
        <f t="array" ref="P127">_xlfn.LET(
    _xlpm.resultado, _xlfn.XLOOKUP(B127&amp;"", 'Registro EMO'!$C$13:$C$4248&amp;"", 'Registro EMO'!$I$13:$I$4248, "NO", 0, -1),
    IF(_xlpm.resultado=0, "NO", _xlpm.resultado)
)</f>
        <v>NO</v>
      </c>
      <c r="Q127" s="11" t="str">
        <f t="shared" ca="1" si="8"/>
        <v>Pendiente</v>
      </c>
      <c r="R127" s="96"/>
      <c r="S127" s="11"/>
      <c r="T127" s="11" t="str">
        <f t="shared" si="9"/>
        <v/>
      </c>
      <c r="U127" s="11"/>
      <c r="V127" s="11"/>
      <c r="W127" s="29"/>
      <c r="X127" s="129"/>
      <c r="Y127" s="11"/>
      <c r="Z127" s="11"/>
      <c r="AA127" s="11"/>
      <c r="AB127" s="11"/>
      <c r="AC127" s="11"/>
      <c r="AD127" s="11"/>
      <c r="AE127" s="11"/>
      <c r="AF127" s="11"/>
      <c r="AG127" s="98"/>
      <c r="AH127" s="11"/>
    </row>
    <row r="128" spans="1:34" hidden="1" x14ac:dyDescent="0.3">
      <c r="A128" s="7" t="str">
        <f t="shared" si="5"/>
        <v>TR-1127</v>
      </c>
      <c r="B128" s="11" t="s">
        <v>503</v>
      </c>
      <c r="C128" s="141" t="s">
        <v>504</v>
      </c>
      <c r="D128" s="98">
        <v>36542</v>
      </c>
      <c r="E128" s="111">
        <f t="shared" ca="1" si="6"/>
        <v>26</v>
      </c>
      <c r="F128" s="132" t="s">
        <v>743</v>
      </c>
      <c r="G128" s="11" t="s">
        <v>254</v>
      </c>
      <c r="H128" s="139" t="s">
        <v>746</v>
      </c>
      <c r="I128" s="140" t="s">
        <v>747</v>
      </c>
      <c r="J128" s="132"/>
      <c r="K128" s="11" t="s">
        <v>773</v>
      </c>
      <c r="L128" s="96">
        <v>45367</v>
      </c>
      <c r="M128" s="96" t="str" cm="1">
        <f t="array" ref="M128">_xlfn.XLOOKUP(B128&amp;"", 'Registro EMO'!$C$13:$C$4248&amp;"", 'Registro EMO'!$F$13:$F$4248, "Sin registro", 0, -1)</f>
        <v>Sin registro</v>
      </c>
      <c r="N128" s="11" t="str" cm="1">
        <f t="array" ref="N128">_xlfn.XLOOKUP(B128&amp;"", 'Registro EMO'!$C$13:$C$4248&amp;"", 'Registro EMO'!$E$13:$E$4248, "Sin registro", 0, -1)</f>
        <v>Sin registro</v>
      </c>
      <c r="O128" s="11" t="str">
        <f t="shared" si="7"/>
        <v>NO</v>
      </c>
      <c r="P128" s="130" t="str" cm="1">
        <f t="array" ref="P128">_xlfn.LET(
    _xlpm.resultado, _xlfn.XLOOKUP(B128&amp;"", 'Registro EMO'!$C$13:$C$4248&amp;"", 'Registro EMO'!$I$13:$I$4248, "NO", 0, -1),
    IF(_xlpm.resultado=0, "NO", _xlpm.resultado)
)</f>
        <v>NO</v>
      </c>
      <c r="Q128" s="11" t="str">
        <f t="shared" ca="1" si="8"/>
        <v>Pendiente</v>
      </c>
      <c r="R128" s="96"/>
      <c r="S128" s="11"/>
      <c r="T128" s="11" t="str">
        <f t="shared" si="9"/>
        <v/>
      </c>
      <c r="U128" s="11"/>
      <c r="V128" s="11"/>
      <c r="W128" s="29"/>
      <c r="X128" s="129"/>
      <c r="Y128" s="11"/>
      <c r="Z128" s="11"/>
      <c r="AA128" s="11"/>
      <c r="AB128" s="11"/>
      <c r="AC128" s="11"/>
      <c r="AD128" s="11"/>
      <c r="AE128" s="11"/>
      <c r="AF128" s="11"/>
      <c r="AG128" s="98"/>
      <c r="AH128" s="11"/>
    </row>
    <row r="129" spans="1:34" hidden="1" x14ac:dyDescent="0.3">
      <c r="A129" s="7" t="str">
        <f t="shared" si="5"/>
        <v>TR-1128</v>
      </c>
      <c r="B129" s="11" t="s">
        <v>505</v>
      </c>
      <c r="C129" s="141" t="s">
        <v>506</v>
      </c>
      <c r="D129" s="98">
        <v>37355</v>
      </c>
      <c r="E129" s="111">
        <f t="shared" ca="1" si="6"/>
        <v>23</v>
      </c>
      <c r="F129" s="132" t="s">
        <v>743</v>
      </c>
      <c r="G129" s="11" t="s">
        <v>254</v>
      </c>
      <c r="H129" s="139" t="s">
        <v>746</v>
      </c>
      <c r="I129" s="140" t="s">
        <v>747</v>
      </c>
      <c r="J129" s="132"/>
      <c r="K129" s="11" t="s">
        <v>773</v>
      </c>
      <c r="L129" s="96">
        <v>45985</v>
      </c>
      <c r="M129" s="96" t="str" cm="1">
        <f t="array" ref="M129">_xlfn.XLOOKUP(B129&amp;"", 'Registro EMO'!$C$13:$C$4248&amp;"", 'Registro EMO'!$F$13:$F$4248, "Sin registro", 0, -1)</f>
        <v>17/10/2026</v>
      </c>
      <c r="N129" s="11" t="str" cm="1">
        <f t="array" ref="N129">_xlfn.XLOOKUP(B129&amp;"", 'Registro EMO'!$C$13:$C$4248&amp;"", 'Registro EMO'!$E$13:$E$4248, "Sin registro", 0, -1)</f>
        <v>Pre-Ocupacional</v>
      </c>
      <c r="O129" s="11" t="str">
        <f t="shared" si="7"/>
        <v>NO</v>
      </c>
      <c r="P129" s="130" t="str" cm="1">
        <f t="array" ref="P129">_xlfn.LET(
    _xlpm.resultado, _xlfn.XLOOKUP(B129&amp;"", 'Registro EMO'!$C$13:$C$4248&amp;"", 'Registro EMO'!$I$13:$I$4248, "NO", 0, -1),
    IF(_xlpm.resultado=0, "NO", _xlpm.resultado)
)</f>
        <v>NO</v>
      </c>
      <c r="Q129" s="11" t="str">
        <f t="shared" ca="1" si="8"/>
        <v>Vigente</v>
      </c>
      <c r="R129" s="96"/>
      <c r="S129" s="11"/>
      <c r="T129" s="11" t="str">
        <f t="shared" si="9"/>
        <v/>
      </c>
      <c r="U129" s="11"/>
      <c r="V129" s="11" t="s">
        <v>796</v>
      </c>
      <c r="W129" s="29"/>
      <c r="X129" s="129"/>
      <c r="Y129" s="11"/>
      <c r="Z129" s="11"/>
      <c r="AA129" s="11"/>
      <c r="AB129" s="11"/>
      <c r="AC129" s="11"/>
      <c r="AD129" s="11"/>
      <c r="AE129" s="11"/>
      <c r="AF129" s="11"/>
      <c r="AG129" s="98"/>
      <c r="AH129" s="11" t="s">
        <v>32</v>
      </c>
    </row>
    <row r="130" spans="1:34" hidden="1" x14ac:dyDescent="0.3">
      <c r="A130" s="7" t="str">
        <f t="shared" ref="A130:A193" si="10">IF(B130&lt;&gt;"", "TR-" &amp; TEXT(1000 + ROW(A130) - 1, "0000"), "")</f>
        <v>TR-1129</v>
      </c>
      <c r="B130" s="11" t="s">
        <v>507</v>
      </c>
      <c r="C130" s="141" t="s">
        <v>508</v>
      </c>
      <c r="D130" s="98">
        <v>39128</v>
      </c>
      <c r="E130" s="111">
        <f t="shared" ref="E130:E193" ca="1" si="11">IF(D130&lt;&gt;"", DATEDIF(D130, TODAY(), "y"), "")</f>
        <v>19</v>
      </c>
      <c r="F130" s="132" t="s">
        <v>743</v>
      </c>
      <c r="G130" s="11" t="s">
        <v>254</v>
      </c>
      <c r="H130" s="139" t="s">
        <v>746</v>
      </c>
      <c r="I130" s="140" t="s">
        <v>751</v>
      </c>
      <c r="J130" s="132"/>
      <c r="K130" s="11" t="s">
        <v>773</v>
      </c>
      <c r="L130" s="96">
        <v>45809</v>
      </c>
      <c r="M130" s="96" t="str" cm="1">
        <f t="array" ref="M130">_xlfn.XLOOKUP(B130&amp;"", 'Registro EMO'!$C$13:$C$4248&amp;"", 'Registro EMO'!$F$13:$F$4248, "Sin registro", 0, -1)</f>
        <v>Sin registro</v>
      </c>
      <c r="N130" s="11" t="str" cm="1">
        <f t="array" ref="N130">_xlfn.XLOOKUP(B130&amp;"", 'Registro EMO'!$C$13:$C$4248&amp;"", 'Registro EMO'!$E$13:$E$4248, "Sin registro", 0, -1)</f>
        <v>Sin registro</v>
      </c>
      <c r="O130" s="11" t="str">
        <f t="shared" ref="O130:O193" si="12">IF(P130="NO", "NO", "SI")</f>
        <v>NO</v>
      </c>
      <c r="P130" s="130" t="str" cm="1">
        <f t="array" ref="P130">_xlfn.LET(
    _xlpm.resultado, _xlfn.XLOOKUP(B130&amp;"", 'Registro EMO'!$C$13:$C$4248&amp;"", 'Registro EMO'!$I$13:$I$4248, "NO", 0, -1),
    IF(_xlpm.resultado=0, "NO", _xlpm.resultado)
)</f>
        <v>NO</v>
      </c>
      <c r="Q130" s="11" t="str">
        <f t="shared" ref="Q130:Q193" ca="1" si="13">IF(M130="Sin registro", "Pendiente", IF(EDATE(M130, IF(K130="Oficina", 24, 12)) &gt;= TODAY(), "Vigente", "Vencido"))</f>
        <v>Pendiente</v>
      </c>
      <c r="R130" s="96"/>
      <c r="S130" s="11"/>
      <c r="T130" s="11" t="str">
        <f t="shared" ref="T130:T193" si="14">IF(R130="", "", IF(U130="", "NO", "SI"))</f>
        <v/>
      </c>
      <c r="U130" s="11"/>
      <c r="V130" s="11"/>
      <c r="W130" s="29"/>
      <c r="X130" s="129"/>
      <c r="Y130" s="11"/>
      <c r="Z130" s="11"/>
      <c r="AA130" s="11"/>
      <c r="AB130" s="11"/>
      <c r="AC130" s="11"/>
      <c r="AD130" s="11"/>
      <c r="AE130" s="11"/>
      <c r="AF130" s="11"/>
      <c r="AG130" s="98"/>
      <c r="AH130" s="11"/>
    </row>
    <row r="131" spans="1:34" hidden="1" x14ac:dyDescent="0.3">
      <c r="A131" s="7" t="str">
        <f t="shared" si="10"/>
        <v>TR-1130</v>
      </c>
      <c r="B131" s="11" t="s">
        <v>509</v>
      </c>
      <c r="C131" s="141" t="s">
        <v>510</v>
      </c>
      <c r="D131" s="98">
        <v>37439</v>
      </c>
      <c r="E131" s="111">
        <f t="shared" ca="1" si="11"/>
        <v>23</v>
      </c>
      <c r="F131" s="132" t="s">
        <v>743</v>
      </c>
      <c r="G131" s="11" t="s">
        <v>254</v>
      </c>
      <c r="H131" s="139" t="s">
        <v>746</v>
      </c>
      <c r="I131" s="140" t="s">
        <v>747</v>
      </c>
      <c r="J131" s="132"/>
      <c r="K131" s="11" t="s">
        <v>773</v>
      </c>
      <c r="L131" s="96">
        <v>45323</v>
      </c>
      <c r="M131" s="96" t="str" cm="1">
        <f t="array" ref="M131">_xlfn.XLOOKUP(B131&amp;"", 'Registro EMO'!$C$13:$C$4248&amp;"", 'Registro EMO'!$F$13:$F$4248, "Sin registro", 0, -1)</f>
        <v>Sin registro</v>
      </c>
      <c r="N131" s="11" t="str" cm="1">
        <f t="array" ref="N131">_xlfn.XLOOKUP(B131&amp;"", 'Registro EMO'!$C$13:$C$4248&amp;"", 'Registro EMO'!$E$13:$E$4248, "Sin registro", 0, -1)</f>
        <v>Sin registro</v>
      </c>
      <c r="O131" s="11" t="str">
        <f t="shared" si="12"/>
        <v>NO</v>
      </c>
      <c r="P131" s="130" t="str" cm="1">
        <f t="array" ref="P131">_xlfn.LET(
    _xlpm.resultado, _xlfn.XLOOKUP(B131&amp;"", 'Registro EMO'!$C$13:$C$4248&amp;"", 'Registro EMO'!$I$13:$I$4248, "NO", 0, -1),
    IF(_xlpm.resultado=0, "NO", _xlpm.resultado)
)</f>
        <v>NO</v>
      </c>
      <c r="Q131" s="11" t="str">
        <f t="shared" ca="1" si="13"/>
        <v>Pendiente</v>
      </c>
      <c r="R131" s="96"/>
      <c r="S131" s="11"/>
      <c r="T131" s="11" t="str">
        <f t="shared" si="14"/>
        <v/>
      </c>
      <c r="U131" s="11"/>
      <c r="V131" s="11"/>
      <c r="W131" s="29"/>
      <c r="X131" s="129"/>
      <c r="Y131" s="11"/>
      <c r="Z131" s="11"/>
      <c r="AA131" s="11"/>
      <c r="AB131" s="11"/>
      <c r="AC131" s="11"/>
      <c r="AD131" s="11"/>
      <c r="AE131" s="11"/>
      <c r="AF131" s="11"/>
      <c r="AG131" s="98"/>
      <c r="AH131" s="11"/>
    </row>
    <row r="132" spans="1:34" hidden="1" x14ac:dyDescent="0.3">
      <c r="A132" s="7" t="str">
        <f t="shared" si="10"/>
        <v>TR-1131</v>
      </c>
      <c r="B132" s="11" t="s">
        <v>511</v>
      </c>
      <c r="C132" s="141" t="s">
        <v>512</v>
      </c>
      <c r="D132" s="98">
        <v>37145</v>
      </c>
      <c r="E132" s="111">
        <f t="shared" ca="1" si="11"/>
        <v>24</v>
      </c>
      <c r="F132" s="132" t="s">
        <v>743</v>
      </c>
      <c r="G132" s="11" t="s">
        <v>254</v>
      </c>
      <c r="H132" s="139" t="s">
        <v>746</v>
      </c>
      <c r="I132" s="140" t="s">
        <v>751</v>
      </c>
      <c r="J132" s="132"/>
      <c r="K132" s="11" t="s">
        <v>773</v>
      </c>
      <c r="L132" s="96">
        <v>45992</v>
      </c>
      <c r="M132" s="96" t="str" cm="1">
        <f t="array" ref="M132">_xlfn.XLOOKUP(B132&amp;"", 'Registro EMO'!$C$13:$C$4248&amp;"", 'Registro EMO'!$F$13:$F$4248, "Sin registro", 0, -1)</f>
        <v>Sin registro</v>
      </c>
      <c r="N132" s="11" t="str" cm="1">
        <f t="array" ref="N132">_xlfn.XLOOKUP(B132&amp;"", 'Registro EMO'!$C$13:$C$4248&amp;"", 'Registro EMO'!$E$13:$E$4248, "Sin registro", 0, -1)</f>
        <v>Sin registro</v>
      </c>
      <c r="O132" s="11" t="str">
        <f t="shared" si="12"/>
        <v>NO</v>
      </c>
      <c r="P132" s="130" t="str" cm="1">
        <f t="array" ref="P132">_xlfn.LET(
    _xlpm.resultado, _xlfn.XLOOKUP(B132&amp;"", 'Registro EMO'!$C$13:$C$4248&amp;"", 'Registro EMO'!$I$13:$I$4248, "NO", 0, -1),
    IF(_xlpm.resultado=0, "NO", _xlpm.resultado)
)</f>
        <v>NO</v>
      </c>
      <c r="Q132" s="11" t="str">
        <f t="shared" ca="1" si="13"/>
        <v>Pendiente</v>
      </c>
      <c r="R132" s="96"/>
      <c r="S132" s="11"/>
      <c r="T132" s="11" t="str">
        <f t="shared" si="14"/>
        <v/>
      </c>
      <c r="U132" s="11"/>
      <c r="V132" s="11"/>
      <c r="W132" s="29"/>
      <c r="X132" s="129"/>
      <c r="Y132" s="11"/>
      <c r="Z132" s="11"/>
      <c r="AA132" s="11"/>
      <c r="AB132" s="11"/>
      <c r="AC132" s="11"/>
      <c r="AD132" s="11"/>
      <c r="AE132" s="11"/>
      <c r="AF132" s="11"/>
      <c r="AG132" s="98"/>
      <c r="AH132" s="11"/>
    </row>
    <row r="133" spans="1:34" hidden="1" x14ac:dyDescent="0.3">
      <c r="A133" s="7" t="str">
        <f t="shared" si="10"/>
        <v>TR-1132</v>
      </c>
      <c r="B133" s="11" t="s">
        <v>513</v>
      </c>
      <c r="C133" s="141" t="s">
        <v>514</v>
      </c>
      <c r="D133" s="98">
        <v>34734</v>
      </c>
      <c r="E133" s="111">
        <f t="shared" ca="1" si="11"/>
        <v>31</v>
      </c>
      <c r="F133" s="132" t="s">
        <v>743</v>
      </c>
      <c r="G133" s="11" t="s">
        <v>254</v>
      </c>
      <c r="H133" s="139" t="s">
        <v>746</v>
      </c>
      <c r="I133" s="140" t="s">
        <v>751</v>
      </c>
      <c r="J133" s="132"/>
      <c r="K133" s="11" t="s">
        <v>773</v>
      </c>
      <c r="L133" s="96">
        <v>45916</v>
      </c>
      <c r="M133" s="96" t="str" cm="1">
        <f t="array" ref="M133">_xlfn.XLOOKUP(B133&amp;"", 'Registro EMO'!$C$13:$C$4248&amp;"", 'Registro EMO'!$F$13:$F$4248, "Sin registro", 0, -1)</f>
        <v>25/04/2026</v>
      </c>
      <c r="N133" s="11" t="str" cm="1">
        <f t="array" ref="N133">_xlfn.XLOOKUP(B133&amp;"", 'Registro EMO'!$C$13:$C$4248&amp;"", 'Registro EMO'!$E$13:$E$4248, "Sin registro", 0, -1)</f>
        <v>Pre-Ocupacional</v>
      </c>
      <c r="O133" s="11" t="str">
        <f t="shared" si="12"/>
        <v>NO</v>
      </c>
      <c r="P133" s="130" t="str" cm="1">
        <f t="array" ref="P133">_xlfn.LET(
    _xlpm.resultado, _xlfn.XLOOKUP(B133&amp;"", 'Registro EMO'!$C$13:$C$4248&amp;"", 'Registro EMO'!$I$13:$I$4248, "NO", 0, -1),
    IF(_xlpm.resultado=0, "NO", _xlpm.resultado)
)</f>
        <v>NO</v>
      </c>
      <c r="Q133" s="11" t="str">
        <f t="shared" ca="1" si="13"/>
        <v>Vigente</v>
      </c>
      <c r="R133" s="96"/>
      <c r="S133" s="11"/>
      <c r="T133" s="11" t="str">
        <f t="shared" si="14"/>
        <v/>
      </c>
      <c r="U133" s="11"/>
      <c r="V133" s="11" t="s">
        <v>796</v>
      </c>
      <c r="W133" s="29"/>
      <c r="X133" s="129"/>
      <c r="Y133" s="11"/>
      <c r="Z133" s="11"/>
      <c r="AA133" s="11"/>
      <c r="AB133" s="11"/>
      <c r="AC133" s="11"/>
      <c r="AD133" s="11"/>
      <c r="AE133" s="11"/>
      <c r="AF133" s="11"/>
      <c r="AG133" s="98"/>
      <c r="AH133" s="11" t="s">
        <v>32</v>
      </c>
    </row>
    <row r="134" spans="1:34" hidden="1" x14ac:dyDescent="0.3">
      <c r="A134" s="7" t="str">
        <f t="shared" si="10"/>
        <v>TR-1133</v>
      </c>
      <c r="B134" s="11" t="s">
        <v>515</v>
      </c>
      <c r="C134" s="141" t="s">
        <v>516</v>
      </c>
      <c r="D134" s="98">
        <v>37505</v>
      </c>
      <c r="E134" s="111">
        <f t="shared" ca="1" si="11"/>
        <v>23</v>
      </c>
      <c r="F134" s="132" t="s">
        <v>743</v>
      </c>
      <c r="G134" s="11" t="s">
        <v>254</v>
      </c>
      <c r="H134" s="139" t="s">
        <v>746</v>
      </c>
      <c r="I134" s="140" t="s">
        <v>751</v>
      </c>
      <c r="J134" s="132"/>
      <c r="K134" s="11" t="s">
        <v>773</v>
      </c>
      <c r="L134" s="96">
        <v>45870</v>
      </c>
      <c r="M134" s="96" t="str" cm="1">
        <f t="array" ref="M134">_xlfn.XLOOKUP(B134&amp;"", 'Registro EMO'!$C$13:$C$4248&amp;"", 'Registro EMO'!$F$13:$F$4248, "Sin registro", 0, -1)</f>
        <v>22/07/2026</v>
      </c>
      <c r="N134" s="11" t="str" cm="1">
        <f t="array" ref="N134">_xlfn.XLOOKUP(B134&amp;"", 'Registro EMO'!$C$13:$C$4248&amp;"", 'Registro EMO'!$E$13:$E$4248, "Sin registro", 0, -1)</f>
        <v>Pre-Ocupacional</v>
      </c>
      <c r="O134" s="11" t="str">
        <f t="shared" si="12"/>
        <v>SI</v>
      </c>
      <c r="P134" s="150" cm="1">
        <f t="array" ref="P134">_xlfn.LET(
    _xlpm.resultado, _xlfn.XLOOKUP(B134&amp;"", 'Registro EMO'!$C$13:$C$4248&amp;"", 'Registro EMO'!$I$13:$I$4248, "NO", 0, -1),
    IF(_xlpm.resultado=0, "NO", _xlpm.resultado)
)</f>
        <v>45869</v>
      </c>
      <c r="Q134" s="11" t="str">
        <f t="shared" ca="1" si="13"/>
        <v>Vigente</v>
      </c>
      <c r="R134" s="96"/>
      <c r="S134" s="11"/>
      <c r="T134" s="11" t="str">
        <f t="shared" si="14"/>
        <v/>
      </c>
      <c r="U134" s="11"/>
      <c r="V134" s="11" t="s">
        <v>1347</v>
      </c>
      <c r="W134" s="29"/>
      <c r="X134" s="129"/>
      <c r="Y134" s="11"/>
      <c r="Z134" s="11"/>
      <c r="AA134" s="11"/>
      <c r="AB134" s="11"/>
      <c r="AC134" s="11"/>
      <c r="AD134" s="11"/>
      <c r="AE134" s="11"/>
      <c r="AF134" s="11"/>
      <c r="AG134" s="98"/>
      <c r="AH134" s="11" t="s">
        <v>32</v>
      </c>
    </row>
    <row r="135" spans="1:34" hidden="1" x14ac:dyDescent="0.3">
      <c r="A135" s="7" t="str">
        <f t="shared" si="10"/>
        <v>TR-1134</v>
      </c>
      <c r="B135" s="11" t="s">
        <v>517</v>
      </c>
      <c r="C135" s="141" t="s">
        <v>518</v>
      </c>
      <c r="D135" s="98">
        <v>36734</v>
      </c>
      <c r="E135" s="111">
        <f t="shared" ca="1" si="11"/>
        <v>25</v>
      </c>
      <c r="F135" s="132" t="s">
        <v>743</v>
      </c>
      <c r="G135" s="11" t="s">
        <v>254</v>
      </c>
      <c r="H135" s="139" t="s">
        <v>746</v>
      </c>
      <c r="I135" s="140" t="s">
        <v>747</v>
      </c>
      <c r="J135" s="132"/>
      <c r="K135" s="11" t="s">
        <v>773</v>
      </c>
      <c r="L135" s="96">
        <v>45870</v>
      </c>
      <c r="M135" s="96" t="str" cm="1">
        <f t="array" ref="M135">_xlfn.XLOOKUP(B135&amp;"", 'Registro EMO'!$C$13:$C$4248&amp;"", 'Registro EMO'!$F$13:$F$4248, "Sin registro", 0, -1)</f>
        <v>24/01/2026</v>
      </c>
      <c r="N135" s="11" t="str" cm="1">
        <f t="array" ref="N135">_xlfn.XLOOKUP(B135&amp;"", 'Registro EMO'!$C$13:$C$4248&amp;"", 'Registro EMO'!$E$13:$E$4248, "Sin registro", 0, -1)</f>
        <v>Pre-Ocupacional</v>
      </c>
      <c r="O135" s="11" t="str">
        <f t="shared" si="12"/>
        <v>SI</v>
      </c>
      <c r="P135" s="150" cm="1">
        <f t="array" ref="P135">_xlfn.LET(
    _xlpm.resultado, _xlfn.XLOOKUP(B135&amp;"", 'Registro EMO'!$C$13:$C$4248&amp;"", 'Registro EMO'!$I$13:$I$4248, "NO", 0, -1),
    IF(_xlpm.resultado=0, "NO", _xlpm.resultado)
)</f>
        <v>46197</v>
      </c>
      <c r="Q135" s="11" t="str">
        <f t="shared" ca="1" si="13"/>
        <v>Vigente</v>
      </c>
      <c r="R135" s="96"/>
      <c r="S135" s="11"/>
      <c r="T135" s="11" t="str">
        <f t="shared" si="14"/>
        <v/>
      </c>
      <c r="U135" s="11"/>
      <c r="V135" s="11" t="s">
        <v>796</v>
      </c>
      <c r="W135" s="29"/>
      <c r="X135" s="129"/>
      <c r="Y135" s="11"/>
      <c r="Z135" s="11"/>
      <c r="AA135" s="11"/>
      <c r="AB135" s="11"/>
      <c r="AC135" s="11"/>
      <c r="AD135" s="11"/>
      <c r="AE135" s="11"/>
      <c r="AF135" s="11"/>
      <c r="AG135" s="98"/>
      <c r="AH135" s="11" t="s">
        <v>32</v>
      </c>
    </row>
    <row r="136" spans="1:34" hidden="1" x14ac:dyDescent="0.3">
      <c r="A136" s="7" t="str">
        <f t="shared" si="10"/>
        <v>TR-1135</v>
      </c>
      <c r="B136" s="11" t="s">
        <v>519</v>
      </c>
      <c r="C136" s="141" t="s">
        <v>520</v>
      </c>
      <c r="D136" s="98">
        <v>37472</v>
      </c>
      <c r="E136" s="111">
        <f t="shared" ca="1" si="11"/>
        <v>23</v>
      </c>
      <c r="F136" s="132" t="s">
        <v>743</v>
      </c>
      <c r="G136" s="11" t="s">
        <v>254</v>
      </c>
      <c r="H136" s="139" t="s">
        <v>752</v>
      </c>
      <c r="I136" s="140" t="s">
        <v>767</v>
      </c>
      <c r="J136" s="132"/>
      <c r="K136" s="11" t="s">
        <v>773</v>
      </c>
      <c r="L136" s="96">
        <v>44594</v>
      </c>
      <c r="M136" s="96" t="str" cm="1">
        <f t="array" ref="M136">_xlfn.XLOOKUP(B136&amp;"", 'Registro EMO'!$C$13:$C$4248&amp;"", 'Registro EMO'!$F$13:$F$4248, "Sin registro", 0, -1)</f>
        <v>Sin registro</v>
      </c>
      <c r="N136" s="11" t="str" cm="1">
        <f t="array" ref="N136">_xlfn.XLOOKUP(B136&amp;"", 'Registro EMO'!$C$13:$C$4248&amp;"", 'Registro EMO'!$E$13:$E$4248, "Sin registro", 0, -1)</f>
        <v>Sin registro</v>
      </c>
      <c r="O136" s="11" t="str">
        <f t="shared" si="12"/>
        <v>NO</v>
      </c>
      <c r="P136" s="130" t="str" cm="1">
        <f t="array" ref="P136">_xlfn.LET(
    _xlpm.resultado, _xlfn.XLOOKUP(B136&amp;"", 'Registro EMO'!$C$13:$C$4248&amp;"", 'Registro EMO'!$I$13:$I$4248, "NO", 0, -1),
    IF(_xlpm.resultado=0, "NO", _xlpm.resultado)
)</f>
        <v>NO</v>
      </c>
      <c r="Q136" s="11" t="str">
        <f t="shared" ca="1" si="13"/>
        <v>Pendiente</v>
      </c>
      <c r="R136" s="96"/>
      <c r="S136" s="11"/>
      <c r="T136" s="11" t="str">
        <f t="shared" si="14"/>
        <v/>
      </c>
      <c r="U136" s="11"/>
      <c r="V136" s="11"/>
      <c r="W136" s="29"/>
      <c r="X136" s="129"/>
      <c r="Y136" s="11"/>
      <c r="Z136" s="11"/>
      <c r="AA136" s="11"/>
      <c r="AB136" s="11"/>
      <c r="AC136" s="11"/>
      <c r="AD136" s="11"/>
      <c r="AE136" s="11"/>
      <c r="AF136" s="11"/>
      <c r="AG136" s="98"/>
      <c r="AH136" s="11"/>
    </row>
    <row r="137" spans="1:34" hidden="1" x14ac:dyDescent="0.3">
      <c r="A137" s="7" t="str">
        <f t="shared" si="10"/>
        <v>TR-1136</v>
      </c>
      <c r="B137" s="11" t="s">
        <v>521</v>
      </c>
      <c r="C137" s="141" t="s">
        <v>522</v>
      </c>
      <c r="D137" s="98">
        <v>37858</v>
      </c>
      <c r="E137" s="111">
        <f t="shared" ca="1" si="11"/>
        <v>22</v>
      </c>
      <c r="F137" s="132" t="s">
        <v>743</v>
      </c>
      <c r="G137" s="11" t="s">
        <v>254</v>
      </c>
      <c r="H137" s="139" t="s">
        <v>746</v>
      </c>
      <c r="I137" s="140" t="s">
        <v>751</v>
      </c>
      <c r="J137" s="132"/>
      <c r="K137" s="11" t="s">
        <v>773</v>
      </c>
      <c r="L137" s="96">
        <v>45093</v>
      </c>
      <c r="M137" s="96" t="str" cm="1">
        <f t="array" ref="M137">_xlfn.XLOOKUP(B137&amp;"", 'Registro EMO'!$C$13:$C$4248&amp;"", 'Registro EMO'!$F$13:$F$4248, "Sin registro", 0, -1)</f>
        <v>Sin registro</v>
      </c>
      <c r="N137" s="11" t="str" cm="1">
        <f t="array" ref="N137">_xlfn.XLOOKUP(B137&amp;"", 'Registro EMO'!$C$13:$C$4248&amp;"", 'Registro EMO'!$E$13:$E$4248, "Sin registro", 0, -1)</f>
        <v>Sin registro</v>
      </c>
      <c r="O137" s="11" t="str">
        <f t="shared" si="12"/>
        <v>NO</v>
      </c>
      <c r="P137" s="130" t="str" cm="1">
        <f t="array" ref="P137">_xlfn.LET(
    _xlpm.resultado, _xlfn.XLOOKUP(B137&amp;"", 'Registro EMO'!$C$13:$C$4248&amp;"", 'Registro EMO'!$I$13:$I$4248, "NO", 0, -1),
    IF(_xlpm.resultado=0, "NO", _xlpm.resultado)
)</f>
        <v>NO</v>
      </c>
      <c r="Q137" s="11" t="str">
        <f t="shared" ca="1" si="13"/>
        <v>Pendiente</v>
      </c>
      <c r="R137" s="96"/>
      <c r="S137" s="11"/>
      <c r="T137" s="11" t="str">
        <f t="shared" si="14"/>
        <v/>
      </c>
      <c r="U137" s="11"/>
      <c r="V137" s="11"/>
      <c r="W137" s="29"/>
      <c r="X137" s="129"/>
      <c r="Y137" s="11"/>
      <c r="Z137" s="11"/>
      <c r="AA137" s="11"/>
      <c r="AB137" s="11"/>
      <c r="AC137" s="11"/>
      <c r="AD137" s="11"/>
      <c r="AE137" s="11"/>
      <c r="AF137" s="11"/>
      <c r="AG137" s="98"/>
      <c r="AH137" s="11"/>
    </row>
    <row r="138" spans="1:34" hidden="1" x14ac:dyDescent="0.3">
      <c r="A138" s="7" t="str">
        <f t="shared" si="10"/>
        <v>TR-1137</v>
      </c>
      <c r="B138" s="11" t="s">
        <v>523</v>
      </c>
      <c r="C138" s="141" t="s">
        <v>524</v>
      </c>
      <c r="D138" s="98">
        <v>31140</v>
      </c>
      <c r="E138" s="111">
        <f t="shared" ca="1" si="11"/>
        <v>40</v>
      </c>
      <c r="F138" s="132" t="s">
        <v>743</v>
      </c>
      <c r="G138" s="11" t="s">
        <v>254</v>
      </c>
      <c r="H138" s="139" t="s">
        <v>746</v>
      </c>
      <c r="I138" s="140" t="s">
        <v>751</v>
      </c>
      <c r="J138" s="132"/>
      <c r="K138" s="11" t="s">
        <v>773</v>
      </c>
      <c r="L138" s="96">
        <v>45520</v>
      </c>
      <c r="M138" s="96" t="str" cm="1">
        <f t="array" ref="M138">_xlfn.XLOOKUP(B138&amp;"", 'Registro EMO'!$C$13:$C$4248&amp;"", 'Registro EMO'!$F$13:$F$4248, "Sin registro", 0, -1)</f>
        <v>Sin registro</v>
      </c>
      <c r="N138" s="11" t="str" cm="1">
        <f t="array" ref="N138">_xlfn.XLOOKUP(B138&amp;"", 'Registro EMO'!$C$13:$C$4248&amp;"", 'Registro EMO'!$E$13:$E$4248, "Sin registro", 0, -1)</f>
        <v>Sin registro</v>
      </c>
      <c r="O138" s="11" t="str">
        <f t="shared" si="12"/>
        <v>NO</v>
      </c>
      <c r="P138" s="130" t="str" cm="1">
        <f t="array" ref="P138">_xlfn.LET(
    _xlpm.resultado, _xlfn.XLOOKUP(B138&amp;"", 'Registro EMO'!$C$13:$C$4248&amp;"", 'Registro EMO'!$I$13:$I$4248, "NO", 0, -1),
    IF(_xlpm.resultado=0, "NO", _xlpm.resultado)
)</f>
        <v>NO</v>
      </c>
      <c r="Q138" s="11" t="str">
        <f t="shared" ca="1" si="13"/>
        <v>Pendiente</v>
      </c>
      <c r="R138" s="96"/>
      <c r="S138" s="11"/>
      <c r="T138" s="11" t="str">
        <f t="shared" si="14"/>
        <v/>
      </c>
      <c r="U138" s="11"/>
      <c r="V138" s="11"/>
      <c r="W138" s="29"/>
      <c r="X138" s="129"/>
      <c r="Y138" s="11"/>
      <c r="Z138" s="11"/>
      <c r="AA138" s="11"/>
      <c r="AB138" s="11"/>
      <c r="AC138" s="11"/>
      <c r="AD138" s="11"/>
      <c r="AE138" s="11"/>
      <c r="AF138" s="11"/>
      <c r="AG138" s="98"/>
      <c r="AH138" s="11"/>
    </row>
    <row r="139" spans="1:34" hidden="1" x14ac:dyDescent="0.3">
      <c r="A139" s="7" t="str">
        <f t="shared" si="10"/>
        <v>TR-1138</v>
      </c>
      <c r="B139" s="11" t="s">
        <v>525</v>
      </c>
      <c r="C139" s="141" t="s">
        <v>526</v>
      </c>
      <c r="D139" s="98">
        <v>38390</v>
      </c>
      <c r="E139" s="111">
        <f t="shared" ca="1" si="11"/>
        <v>21</v>
      </c>
      <c r="F139" s="132" t="s">
        <v>743</v>
      </c>
      <c r="G139" s="11" t="s">
        <v>254</v>
      </c>
      <c r="H139" s="139" t="s">
        <v>746</v>
      </c>
      <c r="I139" s="140" t="s">
        <v>751</v>
      </c>
      <c r="J139" s="132"/>
      <c r="K139" s="11" t="s">
        <v>773</v>
      </c>
      <c r="L139" s="96">
        <v>45931</v>
      </c>
      <c r="M139" s="96" t="str" cm="1">
        <f t="array" ref="M139">_xlfn.XLOOKUP(B139&amp;"", 'Registro EMO'!$C$13:$C$4248&amp;"", 'Registro EMO'!$F$13:$F$4248, "Sin registro", 0, -1)</f>
        <v>Sin registro</v>
      </c>
      <c r="N139" s="11" t="str" cm="1">
        <f t="array" ref="N139">_xlfn.XLOOKUP(B139&amp;"", 'Registro EMO'!$C$13:$C$4248&amp;"", 'Registro EMO'!$E$13:$E$4248, "Sin registro", 0, -1)</f>
        <v>Sin registro</v>
      </c>
      <c r="O139" s="11" t="str">
        <f t="shared" si="12"/>
        <v>NO</v>
      </c>
      <c r="P139" s="130" t="str" cm="1">
        <f t="array" ref="P139">_xlfn.LET(
    _xlpm.resultado, _xlfn.XLOOKUP(B139&amp;"", 'Registro EMO'!$C$13:$C$4248&amp;"", 'Registro EMO'!$I$13:$I$4248, "NO", 0, -1),
    IF(_xlpm.resultado=0, "NO", _xlpm.resultado)
)</f>
        <v>NO</v>
      </c>
      <c r="Q139" s="11" t="str">
        <f t="shared" ca="1" si="13"/>
        <v>Pendiente</v>
      </c>
      <c r="R139" s="96"/>
      <c r="S139" s="11"/>
      <c r="T139" s="11" t="str">
        <f t="shared" si="14"/>
        <v/>
      </c>
      <c r="U139" s="11"/>
      <c r="V139" s="11"/>
      <c r="W139" s="29"/>
      <c r="X139" s="129"/>
      <c r="Y139" s="11"/>
      <c r="Z139" s="11"/>
      <c r="AA139" s="11"/>
      <c r="AB139" s="11"/>
      <c r="AC139" s="11"/>
      <c r="AD139" s="11"/>
      <c r="AE139" s="11"/>
      <c r="AF139" s="11"/>
      <c r="AG139" s="98"/>
      <c r="AH139" s="11"/>
    </row>
    <row r="140" spans="1:34" hidden="1" x14ac:dyDescent="0.3">
      <c r="A140" s="7" t="str">
        <f t="shared" si="10"/>
        <v>TR-1139</v>
      </c>
      <c r="B140" s="11" t="s">
        <v>527</v>
      </c>
      <c r="C140" s="141" t="s">
        <v>528</v>
      </c>
      <c r="D140" s="98">
        <v>36401</v>
      </c>
      <c r="E140" s="111">
        <f t="shared" ca="1" si="11"/>
        <v>26</v>
      </c>
      <c r="F140" s="132" t="s">
        <v>743</v>
      </c>
      <c r="G140" s="11" t="s">
        <v>254</v>
      </c>
      <c r="H140" s="139" t="s">
        <v>744</v>
      </c>
      <c r="I140" s="140" t="s">
        <v>748</v>
      </c>
      <c r="J140" s="132"/>
      <c r="K140" s="11" t="s">
        <v>773</v>
      </c>
      <c r="L140" s="96">
        <v>45980</v>
      </c>
      <c r="M140" s="96" t="str" cm="1">
        <f t="array" ref="M140">_xlfn.XLOOKUP(B140&amp;"", 'Registro EMO'!$C$13:$C$4248&amp;"", 'Registro EMO'!$F$13:$F$4248, "Sin registro", 0, -1)</f>
        <v>Sin registro</v>
      </c>
      <c r="N140" s="11" t="str" cm="1">
        <f t="array" ref="N140">_xlfn.XLOOKUP(B140&amp;"", 'Registro EMO'!$C$13:$C$4248&amp;"", 'Registro EMO'!$E$13:$E$4248, "Sin registro", 0, -1)</f>
        <v>Sin registro</v>
      </c>
      <c r="O140" s="11" t="str">
        <f t="shared" si="12"/>
        <v>NO</v>
      </c>
      <c r="P140" s="130" t="str" cm="1">
        <f t="array" ref="P140">_xlfn.LET(
    _xlpm.resultado, _xlfn.XLOOKUP(B140&amp;"", 'Registro EMO'!$C$13:$C$4248&amp;"", 'Registro EMO'!$I$13:$I$4248, "NO", 0, -1),
    IF(_xlpm.resultado=0, "NO", _xlpm.resultado)
)</f>
        <v>NO</v>
      </c>
      <c r="Q140" s="11" t="str">
        <f t="shared" ca="1" si="13"/>
        <v>Pendiente</v>
      </c>
      <c r="R140" s="96"/>
      <c r="S140" s="11"/>
      <c r="T140" s="11" t="str">
        <f t="shared" si="14"/>
        <v/>
      </c>
      <c r="U140" s="11"/>
      <c r="V140" s="11"/>
      <c r="W140" s="29"/>
      <c r="X140" s="129"/>
      <c r="Y140" s="11"/>
      <c r="Z140" s="11"/>
      <c r="AA140" s="11"/>
      <c r="AB140" s="11"/>
      <c r="AC140" s="11"/>
      <c r="AD140" s="11"/>
      <c r="AE140" s="11"/>
      <c r="AF140" s="11"/>
      <c r="AG140" s="98"/>
      <c r="AH140" s="11"/>
    </row>
    <row r="141" spans="1:34" hidden="1" x14ac:dyDescent="0.3">
      <c r="A141" s="7" t="str">
        <f t="shared" si="10"/>
        <v>TR-1140</v>
      </c>
      <c r="B141" s="11" t="s">
        <v>529</v>
      </c>
      <c r="C141" s="141" t="s">
        <v>530</v>
      </c>
      <c r="D141" s="98">
        <v>29797</v>
      </c>
      <c r="E141" s="111">
        <f t="shared" ca="1" si="11"/>
        <v>44</v>
      </c>
      <c r="F141" s="132" t="s">
        <v>743</v>
      </c>
      <c r="G141" s="11" t="s">
        <v>254</v>
      </c>
      <c r="H141" s="139" t="s">
        <v>746</v>
      </c>
      <c r="I141" s="140" t="s">
        <v>751</v>
      </c>
      <c r="J141" s="132"/>
      <c r="K141" s="11" t="s">
        <v>773</v>
      </c>
      <c r="L141" s="96">
        <v>45952</v>
      </c>
      <c r="M141" s="96" t="str" cm="1">
        <f t="array" ref="M141">_xlfn.XLOOKUP(B141&amp;"", 'Registro EMO'!$C$13:$C$4248&amp;"", 'Registro EMO'!$F$13:$F$4248, "Sin registro", 0, -1)</f>
        <v>Sin registro</v>
      </c>
      <c r="N141" s="11" t="str" cm="1">
        <f t="array" ref="N141">_xlfn.XLOOKUP(B141&amp;"", 'Registro EMO'!$C$13:$C$4248&amp;"", 'Registro EMO'!$E$13:$E$4248, "Sin registro", 0, -1)</f>
        <v>Sin registro</v>
      </c>
      <c r="O141" s="11" t="str">
        <f t="shared" si="12"/>
        <v>NO</v>
      </c>
      <c r="P141" s="130" t="str" cm="1">
        <f t="array" ref="P141">_xlfn.LET(
    _xlpm.resultado, _xlfn.XLOOKUP(B141&amp;"", 'Registro EMO'!$C$13:$C$4248&amp;"", 'Registro EMO'!$I$13:$I$4248, "NO", 0, -1),
    IF(_xlpm.resultado=0, "NO", _xlpm.resultado)
)</f>
        <v>NO</v>
      </c>
      <c r="Q141" s="11" t="str">
        <f t="shared" ca="1" si="13"/>
        <v>Pendiente</v>
      </c>
      <c r="R141" s="96"/>
      <c r="S141" s="11"/>
      <c r="T141" s="11" t="str">
        <f t="shared" si="14"/>
        <v/>
      </c>
      <c r="U141" s="11"/>
      <c r="V141" s="11"/>
      <c r="W141" s="29"/>
      <c r="X141" s="129"/>
      <c r="Y141" s="11"/>
      <c r="Z141" s="11"/>
      <c r="AA141" s="11"/>
      <c r="AB141" s="11"/>
      <c r="AC141" s="11"/>
      <c r="AD141" s="11"/>
      <c r="AE141" s="11"/>
      <c r="AF141" s="11"/>
      <c r="AG141" s="98"/>
      <c r="AH141" s="11"/>
    </row>
    <row r="142" spans="1:34" hidden="1" x14ac:dyDescent="0.3">
      <c r="A142" s="7" t="str">
        <f t="shared" si="10"/>
        <v>TR-1141</v>
      </c>
      <c r="B142" s="11" t="s">
        <v>531</v>
      </c>
      <c r="C142" s="141" t="s">
        <v>532</v>
      </c>
      <c r="D142" s="98">
        <v>38723</v>
      </c>
      <c r="E142" s="111">
        <f t="shared" ca="1" si="11"/>
        <v>20</v>
      </c>
      <c r="F142" s="132" t="s">
        <v>743</v>
      </c>
      <c r="G142" s="11" t="s">
        <v>254</v>
      </c>
      <c r="H142" s="139" t="s">
        <v>744</v>
      </c>
      <c r="I142" s="140" t="s">
        <v>756</v>
      </c>
      <c r="J142" s="132"/>
      <c r="K142" s="11" t="s">
        <v>773</v>
      </c>
      <c r="L142" s="96">
        <v>45740</v>
      </c>
      <c r="M142" s="96" t="str" cm="1">
        <f t="array" ref="M142">_xlfn.XLOOKUP(B142&amp;"", 'Registro EMO'!$C$13:$C$4248&amp;"", 'Registro EMO'!$F$13:$F$4248, "Sin registro", 0, -1)</f>
        <v>Sin registro</v>
      </c>
      <c r="N142" s="11" t="str" cm="1">
        <f t="array" ref="N142">_xlfn.XLOOKUP(B142&amp;"", 'Registro EMO'!$C$13:$C$4248&amp;"", 'Registro EMO'!$E$13:$E$4248, "Sin registro", 0, -1)</f>
        <v>Sin registro</v>
      </c>
      <c r="O142" s="11" t="str">
        <f t="shared" si="12"/>
        <v>NO</v>
      </c>
      <c r="P142" s="130" t="str" cm="1">
        <f t="array" ref="P142">_xlfn.LET(
    _xlpm.resultado, _xlfn.XLOOKUP(B142&amp;"", 'Registro EMO'!$C$13:$C$4248&amp;"", 'Registro EMO'!$I$13:$I$4248, "NO", 0, -1),
    IF(_xlpm.resultado=0, "NO", _xlpm.resultado)
)</f>
        <v>NO</v>
      </c>
      <c r="Q142" s="11" t="str">
        <f t="shared" ca="1" si="13"/>
        <v>Pendiente</v>
      </c>
      <c r="R142" s="96"/>
      <c r="S142" s="11"/>
      <c r="T142" s="11" t="str">
        <f t="shared" si="14"/>
        <v/>
      </c>
      <c r="U142" s="11"/>
      <c r="V142" s="11"/>
      <c r="W142" s="29"/>
      <c r="X142" s="129"/>
      <c r="Y142" s="11"/>
      <c r="Z142" s="11"/>
      <c r="AA142" s="11"/>
      <c r="AB142" s="11"/>
      <c r="AC142" s="11"/>
      <c r="AD142" s="11"/>
      <c r="AE142" s="11"/>
      <c r="AF142" s="11"/>
      <c r="AG142" s="98"/>
      <c r="AH142" s="11"/>
    </row>
    <row r="143" spans="1:34" hidden="1" x14ac:dyDescent="0.3">
      <c r="A143" s="7" t="str">
        <f t="shared" si="10"/>
        <v>TR-1142</v>
      </c>
      <c r="B143" s="11" t="s">
        <v>533</v>
      </c>
      <c r="C143" s="141" t="s">
        <v>534</v>
      </c>
      <c r="D143" s="98">
        <v>37561</v>
      </c>
      <c r="E143" s="111">
        <f t="shared" ca="1" si="11"/>
        <v>23</v>
      </c>
      <c r="F143" s="132" t="s">
        <v>743</v>
      </c>
      <c r="G143" s="11" t="s">
        <v>254</v>
      </c>
      <c r="H143" s="139" t="s">
        <v>744</v>
      </c>
      <c r="I143" s="140" t="s">
        <v>748</v>
      </c>
      <c r="J143" s="132"/>
      <c r="K143" s="11" t="s">
        <v>773</v>
      </c>
      <c r="L143" s="96">
        <v>45689</v>
      </c>
      <c r="M143" s="96" t="str" cm="1">
        <f t="array" ref="M143">_xlfn.XLOOKUP(B143&amp;"", 'Registro EMO'!$C$13:$C$4248&amp;"", 'Registro EMO'!$F$13:$F$4248, "Sin registro", 0, -1)</f>
        <v>Sin registro</v>
      </c>
      <c r="N143" s="11" t="str" cm="1">
        <f t="array" ref="N143">_xlfn.XLOOKUP(B143&amp;"", 'Registro EMO'!$C$13:$C$4248&amp;"", 'Registro EMO'!$E$13:$E$4248, "Sin registro", 0, -1)</f>
        <v>Sin registro</v>
      </c>
      <c r="O143" s="11" t="str">
        <f t="shared" si="12"/>
        <v>NO</v>
      </c>
      <c r="P143" s="130" t="str" cm="1">
        <f t="array" ref="P143">_xlfn.LET(
    _xlpm.resultado, _xlfn.XLOOKUP(B143&amp;"", 'Registro EMO'!$C$13:$C$4248&amp;"", 'Registro EMO'!$I$13:$I$4248, "NO", 0, -1),
    IF(_xlpm.resultado=0, "NO", _xlpm.resultado)
)</f>
        <v>NO</v>
      </c>
      <c r="Q143" s="11" t="str">
        <f t="shared" ca="1" si="13"/>
        <v>Pendiente</v>
      </c>
      <c r="R143" s="96"/>
      <c r="S143" s="11"/>
      <c r="T143" s="11" t="str">
        <f t="shared" si="14"/>
        <v/>
      </c>
      <c r="U143" s="11"/>
      <c r="V143" s="11"/>
      <c r="W143" s="29"/>
      <c r="X143" s="129"/>
      <c r="Y143" s="11"/>
      <c r="Z143" s="11"/>
      <c r="AA143" s="11"/>
      <c r="AB143" s="11"/>
      <c r="AC143" s="11"/>
      <c r="AD143" s="11"/>
      <c r="AE143" s="11"/>
      <c r="AF143" s="11"/>
      <c r="AG143" s="98"/>
      <c r="AH143" s="11"/>
    </row>
    <row r="144" spans="1:34" hidden="1" x14ac:dyDescent="0.3">
      <c r="A144" s="7" t="str">
        <f t="shared" si="10"/>
        <v>TR-1143</v>
      </c>
      <c r="B144" s="11" t="s">
        <v>535</v>
      </c>
      <c r="C144" s="141" t="s">
        <v>536</v>
      </c>
      <c r="D144" s="98">
        <v>35089</v>
      </c>
      <c r="E144" s="111">
        <f t="shared" ca="1" si="11"/>
        <v>30</v>
      </c>
      <c r="F144" s="132" t="s">
        <v>743</v>
      </c>
      <c r="G144" s="11" t="s">
        <v>254</v>
      </c>
      <c r="H144" s="139" t="s">
        <v>746</v>
      </c>
      <c r="I144" s="140" t="s">
        <v>751</v>
      </c>
      <c r="J144" s="132"/>
      <c r="K144" s="11" t="s">
        <v>773</v>
      </c>
      <c r="L144" s="96">
        <v>45658</v>
      </c>
      <c r="M144" s="96" t="str" cm="1">
        <f t="array" ref="M144">_xlfn.XLOOKUP(B144&amp;"", 'Registro EMO'!$C$13:$C$4248&amp;"", 'Registro EMO'!$F$13:$F$4248, "Sin registro", 0, -1)</f>
        <v>19/02/2026</v>
      </c>
      <c r="N144" s="11" t="str" cm="1">
        <f t="array" ref="N144">_xlfn.XLOOKUP(B144&amp;"", 'Registro EMO'!$C$13:$C$4248&amp;"", 'Registro EMO'!$E$13:$E$4248, "Sin registro", 0, -1)</f>
        <v>Pre-Ocupacional</v>
      </c>
      <c r="O144" s="11" t="str">
        <f t="shared" si="12"/>
        <v>SI</v>
      </c>
      <c r="P144" s="150" cm="1">
        <f t="array" ref="P144">_xlfn.LET(
    _xlpm.resultado, _xlfn.XLOOKUP(B144&amp;"", 'Registro EMO'!$C$13:$C$4248&amp;"", 'Registro EMO'!$I$13:$I$4248, "NO", 0, -1),
    IF(_xlpm.resultado=0, "NO", _xlpm.resultado)
)</f>
        <v>45716</v>
      </c>
      <c r="Q144" s="11" t="str">
        <f t="shared" ca="1" si="13"/>
        <v>Vigente</v>
      </c>
      <c r="R144" s="96"/>
      <c r="S144" s="11"/>
      <c r="T144" s="11" t="str">
        <f t="shared" si="14"/>
        <v/>
      </c>
      <c r="U144" s="11"/>
      <c r="V144" s="11" t="s">
        <v>796</v>
      </c>
      <c r="W144" s="29"/>
      <c r="X144" s="129"/>
      <c r="Y144" s="11"/>
      <c r="Z144" s="11"/>
      <c r="AA144" s="11"/>
      <c r="AB144" s="11"/>
      <c r="AC144" s="11"/>
      <c r="AD144" s="11"/>
      <c r="AE144" s="11"/>
      <c r="AF144" s="11"/>
      <c r="AG144" s="98"/>
      <c r="AH144" s="11" t="s">
        <v>32</v>
      </c>
    </row>
    <row r="145" spans="1:34" hidden="1" x14ac:dyDescent="0.3">
      <c r="A145" s="7" t="str">
        <f t="shared" si="10"/>
        <v>TR-1144</v>
      </c>
      <c r="B145" s="11" t="s">
        <v>537</v>
      </c>
      <c r="C145" s="141" t="s">
        <v>538</v>
      </c>
      <c r="D145" s="98">
        <v>39310</v>
      </c>
      <c r="E145" s="111">
        <f t="shared" ca="1" si="11"/>
        <v>18</v>
      </c>
      <c r="F145" s="132" t="s">
        <v>743</v>
      </c>
      <c r="G145" s="11" t="s">
        <v>254</v>
      </c>
      <c r="H145" s="139" t="s">
        <v>744</v>
      </c>
      <c r="I145" s="140" t="s">
        <v>748</v>
      </c>
      <c r="J145" s="132"/>
      <c r="K145" s="11" t="s">
        <v>773</v>
      </c>
      <c r="L145" s="96">
        <v>46013</v>
      </c>
      <c r="M145" s="96" t="str" cm="1">
        <f t="array" ref="M145">_xlfn.XLOOKUP(B145&amp;"", 'Registro EMO'!$C$13:$C$4248&amp;"", 'Registro EMO'!$F$13:$F$4248, "Sin registro", 0, -1)</f>
        <v>Sin registro</v>
      </c>
      <c r="N145" s="11" t="str" cm="1">
        <f t="array" ref="N145">_xlfn.XLOOKUP(B145&amp;"", 'Registro EMO'!$C$13:$C$4248&amp;"", 'Registro EMO'!$E$13:$E$4248, "Sin registro", 0, -1)</f>
        <v>Sin registro</v>
      </c>
      <c r="O145" s="11" t="str">
        <f t="shared" si="12"/>
        <v>NO</v>
      </c>
      <c r="P145" s="130" t="str" cm="1">
        <f t="array" ref="P145">_xlfn.LET(
    _xlpm.resultado, _xlfn.XLOOKUP(B145&amp;"", 'Registro EMO'!$C$13:$C$4248&amp;"", 'Registro EMO'!$I$13:$I$4248, "NO", 0, -1),
    IF(_xlpm.resultado=0, "NO", _xlpm.resultado)
)</f>
        <v>NO</v>
      </c>
      <c r="Q145" s="11" t="str">
        <f t="shared" ca="1" si="13"/>
        <v>Pendiente</v>
      </c>
      <c r="R145" s="96"/>
      <c r="S145" s="11"/>
      <c r="T145" s="11" t="str">
        <f t="shared" si="14"/>
        <v/>
      </c>
      <c r="U145" s="11"/>
      <c r="V145" s="11"/>
      <c r="W145" s="29"/>
      <c r="X145" s="129"/>
      <c r="Y145" s="11"/>
      <c r="Z145" s="11"/>
      <c r="AA145" s="11"/>
      <c r="AB145" s="11"/>
      <c r="AC145" s="11"/>
      <c r="AD145" s="11"/>
      <c r="AE145" s="11"/>
      <c r="AF145" s="11"/>
      <c r="AG145" s="98"/>
      <c r="AH145" s="11"/>
    </row>
    <row r="146" spans="1:34" hidden="1" x14ac:dyDescent="0.3">
      <c r="A146" s="7" t="str">
        <f t="shared" si="10"/>
        <v>TR-1145</v>
      </c>
      <c r="B146" s="11" t="s">
        <v>539</v>
      </c>
      <c r="C146" s="141" t="s">
        <v>540</v>
      </c>
      <c r="D146" s="98">
        <v>38851</v>
      </c>
      <c r="E146" s="111">
        <f t="shared" ca="1" si="11"/>
        <v>19</v>
      </c>
      <c r="F146" s="132" t="s">
        <v>743</v>
      </c>
      <c r="G146" s="11" t="s">
        <v>254</v>
      </c>
      <c r="H146" s="139" t="s">
        <v>746</v>
      </c>
      <c r="I146" s="140" t="s">
        <v>747</v>
      </c>
      <c r="J146" s="132"/>
      <c r="K146" s="11" t="s">
        <v>773</v>
      </c>
      <c r="L146" s="96">
        <v>44409</v>
      </c>
      <c r="M146" s="96" t="str" cm="1">
        <f t="array" ref="M146">_xlfn.XLOOKUP(B146&amp;"", 'Registro EMO'!$C$13:$C$4248&amp;"", 'Registro EMO'!$F$13:$F$4248, "Sin registro", 0, -1)</f>
        <v>Sin registro</v>
      </c>
      <c r="N146" s="11" t="str" cm="1">
        <f t="array" ref="N146">_xlfn.XLOOKUP(B146&amp;"", 'Registro EMO'!$C$13:$C$4248&amp;"", 'Registro EMO'!$E$13:$E$4248, "Sin registro", 0, -1)</f>
        <v>Sin registro</v>
      </c>
      <c r="O146" s="11" t="str">
        <f t="shared" si="12"/>
        <v>NO</v>
      </c>
      <c r="P146" s="130" t="str" cm="1">
        <f t="array" ref="P146">_xlfn.LET(
    _xlpm.resultado, _xlfn.XLOOKUP(B146&amp;"", 'Registro EMO'!$C$13:$C$4248&amp;"", 'Registro EMO'!$I$13:$I$4248, "NO", 0, -1),
    IF(_xlpm.resultado=0, "NO", _xlpm.resultado)
)</f>
        <v>NO</v>
      </c>
      <c r="Q146" s="11" t="str">
        <f t="shared" ca="1" si="13"/>
        <v>Pendiente</v>
      </c>
      <c r="R146" s="96"/>
      <c r="S146" s="11"/>
      <c r="T146" s="11" t="str">
        <f t="shared" si="14"/>
        <v/>
      </c>
      <c r="U146" s="11"/>
      <c r="V146" s="11"/>
      <c r="W146" s="29"/>
      <c r="X146" s="129"/>
      <c r="Y146" s="11"/>
      <c r="Z146" s="11"/>
      <c r="AA146" s="11"/>
      <c r="AB146" s="11"/>
      <c r="AC146" s="11"/>
      <c r="AD146" s="11"/>
      <c r="AE146" s="11"/>
      <c r="AF146" s="11"/>
      <c r="AG146" s="98"/>
      <c r="AH146" s="11"/>
    </row>
    <row r="147" spans="1:34" hidden="1" x14ac:dyDescent="0.3">
      <c r="A147" s="7" t="str">
        <f t="shared" si="10"/>
        <v>TR-1146</v>
      </c>
      <c r="B147" s="11" t="s">
        <v>541</v>
      </c>
      <c r="C147" s="141" t="s">
        <v>542</v>
      </c>
      <c r="D147" s="98">
        <v>38723</v>
      </c>
      <c r="E147" s="111">
        <f t="shared" ca="1" si="11"/>
        <v>20</v>
      </c>
      <c r="F147" s="132" t="s">
        <v>743</v>
      </c>
      <c r="G147" s="11" t="s">
        <v>254</v>
      </c>
      <c r="H147" s="139" t="s">
        <v>746</v>
      </c>
      <c r="I147" s="140" t="s">
        <v>751</v>
      </c>
      <c r="J147" s="132"/>
      <c r="K147" s="11" t="s">
        <v>773</v>
      </c>
      <c r="L147" s="96">
        <v>45931</v>
      </c>
      <c r="M147" s="96" t="str" cm="1">
        <f t="array" ref="M147">_xlfn.XLOOKUP(B147&amp;"", 'Registro EMO'!$C$13:$C$4248&amp;"", 'Registro EMO'!$F$13:$F$4248, "Sin registro", 0, -1)</f>
        <v>Sin registro</v>
      </c>
      <c r="N147" s="11" t="str" cm="1">
        <f t="array" ref="N147">_xlfn.XLOOKUP(B147&amp;"", 'Registro EMO'!$C$13:$C$4248&amp;"", 'Registro EMO'!$E$13:$E$4248, "Sin registro", 0, -1)</f>
        <v>Sin registro</v>
      </c>
      <c r="O147" s="11" t="str">
        <f t="shared" si="12"/>
        <v>NO</v>
      </c>
      <c r="P147" s="130" t="str" cm="1">
        <f t="array" ref="P147">_xlfn.LET(
    _xlpm.resultado, _xlfn.XLOOKUP(B147&amp;"", 'Registro EMO'!$C$13:$C$4248&amp;"", 'Registro EMO'!$I$13:$I$4248, "NO", 0, -1),
    IF(_xlpm.resultado=0, "NO", _xlpm.resultado)
)</f>
        <v>NO</v>
      </c>
      <c r="Q147" s="11" t="str">
        <f t="shared" ca="1" si="13"/>
        <v>Pendiente</v>
      </c>
      <c r="R147" s="96"/>
      <c r="S147" s="11"/>
      <c r="T147" s="11" t="str">
        <f t="shared" si="14"/>
        <v/>
      </c>
      <c r="U147" s="11"/>
      <c r="V147" s="11"/>
      <c r="W147" s="29"/>
      <c r="X147" s="129"/>
      <c r="Y147" s="11"/>
      <c r="Z147" s="11"/>
      <c r="AA147" s="11"/>
      <c r="AB147" s="11"/>
      <c r="AC147" s="11"/>
      <c r="AD147" s="11"/>
      <c r="AE147" s="11"/>
      <c r="AF147" s="11"/>
      <c r="AG147" s="98"/>
      <c r="AH147" s="11"/>
    </row>
    <row r="148" spans="1:34" ht="28.8" hidden="1" x14ac:dyDescent="0.3">
      <c r="A148" s="7" t="str">
        <f t="shared" si="10"/>
        <v>TR-1147</v>
      </c>
      <c r="B148" s="11" t="s">
        <v>543</v>
      </c>
      <c r="C148" s="141" t="s">
        <v>544</v>
      </c>
      <c r="D148" s="98">
        <v>26789</v>
      </c>
      <c r="E148" s="111">
        <f t="shared" ca="1" si="11"/>
        <v>52</v>
      </c>
      <c r="F148" s="132" t="s">
        <v>743</v>
      </c>
      <c r="G148" s="11" t="s">
        <v>254</v>
      </c>
      <c r="H148" s="139" t="s">
        <v>746</v>
      </c>
      <c r="I148" s="140" t="s">
        <v>747</v>
      </c>
      <c r="J148" s="132"/>
      <c r="K148" s="11" t="s">
        <v>774</v>
      </c>
      <c r="L148" s="96">
        <v>45931</v>
      </c>
      <c r="M148" s="96" t="str" cm="1">
        <f t="array" ref="M148">_xlfn.XLOOKUP(B148&amp;"", 'Registro EMO'!$C$13:$C$4248&amp;"", 'Registro EMO'!$F$13:$F$4248, "Sin registro", 0, -1)</f>
        <v>20/12/2026</v>
      </c>
      <c r="N148" s="11" t="str" cm="1">
        <f t="array" ref="N148">_xlfn.XLOOKUP(B148&amp;"", 'Registro EMO'!$C$13:$C$4248&amp;"", 'Registro EMO'!$E$13:$E$4248, "Sin registro", 0, -1)</f>
        <v>Pre-Ocupacional</v>
      </c>
      <c r="O148" s="11" t="str">
        <f t="shared" si="12"/>
        <v>SI</v>
      </c>
      <c r="P148" s="150" cm="1">
        <f t="array" ref="P148">_xlfn.LET(
    _xlpm.resultado, _xlfn.XLOOKUP(B148&amp;"", 'Registro EMO'!$C$13:$C$4248&amp;"", 'Registro EMO'!$I$13:$I$4248, "NO", 0, -1),
    IF(_xlpm.resultado=0, "NO", _xlpm.resultado)
)</f>
        <v>44960</v>
      </c>
      <c r="Q148" s="11" t="str">
        <f t="shared" ca="1" si="13"/>
        <v>Vigente</v>
      </c>
      <c r="R148" s="96"/>
      <c r="S148" s="11"/>
      <c r="T148" s="11" t="str">
        <f t="shared" si="14"/>
        <v/>
      </c>
      <c r="U148" s="11"/>
      <c r="V148" s="11" t="s">
        <v>796</v>
      </c>
      <c r="W148" s="29" t="s">
        <v>797</v>
      </c>
      <c r="X148" s="129"/>
      <c r="Y148" s="11"/>
      <c r="Z148" s="11"/>
      <c r="AA148" s="11"/>
      <c r="AB148" s="11"/>
      <c r="AC148" s="11"/>
      <c r="AD148" s="11"/>
      <c r="AE148" s="11"/>
      <c r="AF148" s="11"/>
      <c r="AG148" s="98"/>
      <c r="AH148" s="11" t="s">
        <v>32</v>
      </c>
    </row>
    <row r="149" spans="1:34" hidden="1" x14ac:dyDescent="0.3">
      <c r="A149" s="7" t="str">
        <f t="shared" si="10"/>
        <v>TR-1148</v>
      </c>
      <c r="B149" s="11" t="s">
        <v>545</v>
      </c>
      <c r="C149" s="141" t="s">
        <v>546</v>
      </c>
      <c r="D149" s="98">
        <v>35040</v>
      </c>
      <c r="E149" s="111">
        <f t="shared" ca="1" si="11"/>
        <v>30</v>
      </c>
      <c r="F149" s="132" t="s">
        <v>743</v>
      </c>
      <c r="G149" s="11" t="s">
        <v>254</v>
      </c>
      <c r="H149" s="139" t="s">
        <v>744</v>
      </c>
      <c r="I149" s="140" t="s">
        <v>748</v>
      </c>
      <c r="J149" s="132"/>
      <c r="K149" s="11" t="s">
        <v>773</v>
      </c>
      <c r="L149" s="96">
        <v>45854</v>
      </c>
      <c r="M149" s="96" t="str" cm="1">
        <f t="array" ref="M149">_xlfn.XLOOKUP(B149&amp;"", 'Registro EMO'!$C$13:$C$4248&amp;"", 'Registro EMO'!$F$13:$F$4248, "Sin registro", 0, -1)</f>
        <v>Sin registro</v>
      </c>
      <c r="N149" s="11" t="str" cm="1">
        <f t="array" ref="N149">_xlfn.XLOOKUP(B149&amp;"", 'Registro EMO'!$C$13:$C$4248&amp;"", 'Registro EMO'!$E$13:$E$4248, "Sin registro", 0, -1)</f>
        <v>Sin registro</v>
      </c>
      <c r="O149" s="11" t="str">
        <f t="shared" si="12"/>
        <v>NO</v>
      </c>
      <c r="P149" s="130" t="str" cm="1">
        <f t="array" ref="P149">_xlfn.LET(
    _xlpm.resultado, _xlfn.XLOOKUP(B149&amp;"", 'Registro EMO'!$C$13:$C$4248&amp;"", 'Registro EMO'!$I$13:$I$4248, "NO", 0, -1),
    IF(_xlpm.resultado=0, "NO", _xlpm.resultado)
)</f>
        <v>NO</v>
      </c>
      <c r="Q149" s="11" t="str">
        <f t="shared" ca="1" si="13"/>
        <v>Pendiente</v>
      </c>
      <c r="R149" s="96"/>
      <c r="S149" s="11"/>
      <c r="T149" s="11" t="str">
        <f t="shared" si="14"/>
        <v/>
      </c>
      <c r="U149" s="11"/>
      <c r="V149" s="11"/>
      <c r="W149" s="29"/>
      <c r="X149" s="129"/>
      <c r="Y149" s="11"/>
      <c r="Z149" s="11"/>
      <c r="AA149" s="11"/>
      <c r="AB149" s="11"/>
      <c r="AC149" s="11"/>
      <c r="AD149" s="11"/>
      <c r="AE149" s="11"/>
      <c r="AF149" s="11"/>
      <c r="AG149" s="98"/>
      <c r="AH149" s="11"/>
    </row>
    <row r="150" spans="1:34" hidden="1" x14ac:dyDescent="0.3">
      <c r="A150" s="7" t="str">
        <f t="shared" si="10"/>
        <v>TR-1149</v>
      </c>
      <c r="B150" s="11" t="s">
        <v>547</v>
      </c>
      <c r="C150" s="141" t="s">
        <v>548</v>
      </c>
      <c r="D150" s="98">
        <v>33386</v>
      </c>
      <c r="E150" s="111">
        <f t="shared" ca="1" si="11"/>
        <v>34</v>
      </c>
      <c r="F150" s="132" t="s">
        <v>743</v>
      </c>
      <c r="G150" s="11" t="s">
        <v>254</v>
      </c>
      <c r="H150" s="139" t="s">
        <v>744</v>
      </c>
      <c r="I150" s="140" t="s">
        <v>748</v>
      </c>
      <c r="J150" s="132"/>
      <c r="K150" s="11" t="s">
        <v>773</v>
      </c>
      <c r="L150" s="96">
        <v>45809</v>
      </c>
      <c r="M150" s="96" t="str" cm="1">
        <f t="array" ref="M150">_xlfn.XLOOKUP(B150&amp;"", 'Registro EMO'!$C$13:$C$4248&amp;"", 'Registro EMO'!$F$13:$F$4248, "Sin registro", 0, -1)</f>
        <v>28/02/2026</v>
      </c>
      <c r="N150" s="11" t="str" cm="1">
        <f t="array" ref="N150">_xlfn.XLOOKUP(B150&amp;"", 'Registro EMO'!$C$13:$C$4248&amp;"", 'Registro EMO'!$E$13:$E$4248, "Sin registro", 0, -1)</f>
        <v>Pre-Ocupacional</v>
      </c>
      <c r="O150" s="11" t="str">
        <f t="shared" si="12"/>
        <v>NO</v>
      </c>
      <c r="P150" s="130" t="str" cm="1">
        <f t="array" ref="P150">_xlfn.LET(
    _xlpm.resultado, _xlfn.XLOOKUP(B150&amp;"", 'Registro EMO'!$C$13:$C$4248&amp;"", 'Registro EMO'!$I$13:$I$4248, "NO", 0, -1),
    IF(_xlpm.resultado=0, "NO", _xlpm.resultado)
)</f>
        <v>NO</v>
      </c>
      <c r="Q150" s="11" t="str">
        <f t="shared" ca="1" si="13"/>
        <v>Vigente</v>
      </c>
      <c r="R150" s="96"/>
      <c r="S150" s="11"/>
      <c r="T150" s="11" t="str">
        <f t="shared" si="14"/>
        <v/>
      </c>
      <c r="U150" s="11"/>
      <c r="V150" s="11" t="s">
        <v>796</v>
      </c>
      <c r="W150" s="29" t="s">
        <v>798</v>
      </c>
      <c r="X150" s="129"/>
      <c r="Y150" s="11"/>
      <c r="Z150" s="11"/>
      <c r="AA150" s="11"/>
      <c r="AB150" s="11"/>
      <c r="AC150" s="11"/>
      <c r="AD150" s="11"/>
      <c r="AE150" s="11"/>
      <c r="AF150" s="11"/>
      <c r="AG150" s="98"/>
      <c r="AH150" s="11" t="s">
        <v>32</v>
      </c>
    </row>
    <row r="151" spans="1:34" hidden="1" x14ac:dyDescent="0.3">
      <c r="A151" s="7" t="str">
        <f t="shared" si="10"/>
        <v>TR-1150</v>
      </c>
      <c r="B151" s="11" t="s">
        <v>549</v>
      </c>
      <c r="C151" s="141" t="s">
        <v>550</v>
      </c>
      <c r="D151" s="98">
        <v>38723</v>
      </c>
      <c r="E151" s="111">
        <f t="shared" ca="1" si="11"/>
        <v>20</v>
      </c>
      <c r="F151" s="132" t="s">
        <v>743</v>
      </c>
      <c r="G151" s="11" t="s">
        <v>254</v>
      </c>
      <c r="H151" s="139" t="s">
        <v>754</v>
      </c>
      <c r="I151" s="140" t="s">
        <v>760</v>
      </c>
      <c r="J151" s="132"/>
      <c r="K151" s="11" t="s">
        <v>774</v>
      </c>
      <c r="L151" s="96">
        <v>43115</v>
      </c>
      <c r="M151" s="96" t="str" cm="1">
        <f t="array" ref="M151">_xlfn.XLOOKUP(B151&amp;"", 'Registro EMO'!$C$13:$C$4248&amp;"", 'Registro EMO'!$F$13:$F$4248, "Sin registro", 0, -1)</f>
        <v>Sin registro</v>
      </c>
      <c r="N151" s="11" t="str" cm="1">
        <f t="array" ref="N151">_xlfn.XLOOKUP(B151&amp;"", 'Registro EMO'!$C$13:$C$4248&amp;"", 'Registro EMO'!$E$13:$E$4248, "Sin registro", 0, -1)</f>
        <v>Sin registro</v>
      </c>
      <c r="O151" s="11" t="str">
        <f t="shared" si="12"/>
        <v>NO</v>
      </c>
      <c r="P151" s="130" t="str" cm="1">
        <f t="array" ref="P151">_xlfn.LET(
    _xlpm.resultado, _xlfn.XLOOKUP(B151&amp;"", 'Registro EMO'!$C$13:$C$4248&amp;"", 'Registro EMO'!$I$13:$I$4248, "NO", 0, -1),
    IF(_xlpm.resultado=0, "NO", _xlpm.resultado)
)</f>
        <v>NO</v>
      </c>
      <c r="Q151" s="11" t="str">
        <f t="shared" ca="1" si="13"/>
        <v>Pendiente</v>
      </c>
      <c r="R151" s="96"/>
      <c r="S151" s="11"/>
      <c r="T151" s="11" t="str">
        <f t="shared" si="14"/>
        <v/>
      </c>
      <c r="U151" s="11"/>
      <c r="V151" s="11"/>
      <c r="W151" s="29"/>
      <c r="X151" s="129"/>
      <c r="Y151" s="11"/>
      <c r="Z151" s="11"/>
      <c r="AA151" s="11"/>
      <c r="AB151" s="11"/>
      <c r="AC151" s="11"/>
      <c r="AD151" s="11"/>
      <c r="AE151" s="11"/>
      <c r="AF151" s="11"/>
      <c r="AG151" s="98"/>
      <c r="AH151" s="11"/>
    </row>
    <row r="152" spans="1:34" ht="43.2" hidden="1" x14ac:dyDescent="0.3">
      <c r="A152" s="7" t="str">
        <f t="shared" si="10"/>
        <v>TR-1151</v>
      </c>
      <c r="B152" s="11" t="s">
        <v>551</v>
      </c>
      <c r="C152" s="141" t="s">
        <v>552</v>
      </c>
      <c r="D152" s="98">
        <v>32728</v>
      </c>
      <c r="E152" s="111">
        <f t="shared" ca="1" si="11"/>
        <v>36</v>
      </c>
      <c r="F152" s="132" t="s">
        <v>743</v>
      </c>
      <c r="G152" s="11" t="s">
        <v>254</v>
      </c>
      <c r="H152" s="139" t="s">
        <v>746</v>
      </c>
      <c r="I152" s="140" t="s">
        <v>747</v>
      </c>
      <c r="J152" s="132"/>
      <c r="K152" s="11" t="s">
        <v>773</v>
      </c>
      <c r="L152" s="96">
        <v>46011</v>
      </c>
      <c r="M152" s="96" t="str" cm="1">
        <f t="array" ref="M152">_xlfn.XLOOKUP(B152&amp;"", 'Registro EMO'!$C$13:$C$4248&amp;"", 'Registro EMO'!$F$13:$F$4248, "Sin registro", 0, -1)</f>
        <v>20/01/2026</v>
      </c>
      <c r="N152" s="11" t="str" cm="1">
        <f t="array" ref="N152">_xlfn.XLOOKUP(B152&amp;"", 'Registro EMO'!$C$13:$C$4248&amp;"", 'Registro EMO'!$E$13:$E$4248, "Sin registro", 0, -1)</f>
        <v>Ocupacional</v>
      </c>
      <c r="O152" s="11" t="str">
        <f t="shared" si="12"/>
        <v>NO</v>
      </c>
      <c r="P152" s="130" t="str" cm="1">
        <f t="array" ref="P152">_xlfn.LET(
    _xlpm.resultado, _xlfn.XLOOKUP(B152&amp;"", 'Registro EMO'!$C$13:$C$4248&amp;"", 'Registro EMO'!$I$13:$I$4248, "NO", 0, -1),
    IF(_xlpm.resultado=0, "NO", _xlpm.resultado)
)</f>
        <v>NO</v>
      </c>
      <c r="Q152" s="11" t="str">
        <f t="shared" ca="1" si="13"/>
        <v>Vigente</v>
      </c>
      <c r="R152" s="96"/>
      <c r="S152" s="11"/>
      <c r="T152" s="11" t="str">
        <f t="shared" si="14"/>
        <v/>
      </c>
      <c r="U152" s="11"/>
      <c r="V152" s="11" t="s">
        <v>796</v>
      </c>
      <c r="W152" s="29" t="s">
        <v>799</v>
      </c>
      <c r="X152" s="129"/>
      <c r="Y152" s="11"/>
      <c r="Z152" s="11"/>
      <c r="AA152" s="11"/>
      <c r="AB152" s="11"/>
      <c r="AC152" s="11"/>
      <c r="AD152" s="11"/>
      <c r="AE152" s="11"/>
      <c r="AF152" s="11"/>
      <c r="AG152" s="98"/>
      <c r="AH152" s="11" t="s">
        <v>32</v>
      </c>
    </row>
    <row r="153" spans="1:34" hidden="1" x14ac:dyDescent="0.3">
      <c r="A153" s="7" t="str">
        <f t="shared" si="10"/>
        <v>TR-1152</v>
      </c>
      <c r="B153" s="11" t="s">
        <v>553</v>
      </c>
      <c r="C153" s="141" t="s">
        <v>554</v>
      </c>
      <c r="D153" s="98">
        <v>37326</v>
      </c>
      <c r="E153" s="111">
        <f t="shared" ca="1" si="11"/>
        <v>24</v>
      </c>
      <c r="F153" s="132" t="s">
        <v>743</v>
      </c>
      <c r="G153" s="11" t="s">
        <v>254</v>
      </c>
      <c r="H153" s="139" t="s">
        <v>749</v>
      </c>
      <c r="I153" s="140" t="s">
        <v>750</v>
      </c>
      <c r="J153" s="132"/>
      <c r="K153" s="11" t="s">
        <v>773</v>
      </c>
      <c r="L153" s="96">
        <v>45913</v>
      </c>
      <c r="M153" s="96" t="str" cm="1">
        <f t="array" ref="M153">_xlfn.XLOOKUP(B153&amp;"", 'Registro EMO'!$C$13:$C$4248&amp;"", 'Registro EMO'!$F$13:$F$4248, "Sin registro", 0, -1)</f>
        <v>21/02/2026</v>
      </c>
      <c r="N153" s="11" t="str" cm="1">
        <f t="array" ref="N153">_xlfn.XLOOKUP(B153&amp;"", 'Registro EMO'!$C$13:$C$4248&amp;"", 'Registro EMO'!$E$13:$E$4248, "Sin registro", 0, -1)</f>
        <v>Pre-Ocupacional</v>
      </c>
      <c r="O153" s="11" t="str">
        <f t="shared" si="12"/>
        <v>NO</v>
      </c>
      <c r="P153" s="130" t="str" cm="1">
        <f t="array" ref="P153">_xlfn.LET(
    _xlpm.resultado, _xlfn.XLOOKUP(B153&amp;"", 'Registro EMO'!$C$13:$C$4248&amp;"", 'Registro EMO'!$I$13:$I$4248, "NO", 0, -1),
    IF(_xlpm.resultado=0, "NO", _xlpm.resultado)
)</f>
        <v>NO</v>
      </c>
      <c r="Q153" s="11" t="str">
        <f t="shared" ca="1" si="13"/>
        <v>Vigente</v>
      </c>
      <c r="R153" s="96"/>
      <c r="S153" s="11"/>
      <c r="T153" s="11" t="str">
        <f t="shared" si="14"/>
        <v/>
      </c>
      <c r="U153" s="11"/>
      <c r="V153" s="11" t="s">
        <v>796</v>
      </c>
      <c r="W153" s="29"/>
      <c r="X153" s="129"/>
      <c r="Y153" s="11"/>
      <c r="Z153" s="11"/>
      <c r="AA153" s="11"/>
      <c r="AB153" s="11"/>
      <c r="AC153" s="11"/>
      <c r="AD153" s="11"/>
      <c r="AE153" s="11"/>
      <c r="AF153" s="11"/>
      <c r="AG153" s="98"/>
      <c r="AH153" s="11" t="s">
        <v>32</v>
      </c>
    </row>
    <row r="154" spans="1:34" hidden="1" x14ac:dyDescent="0.3">
      <c r="A154" s="7" t="str">
        <f t="shared" si="10"/>
        <v>TR-1153</v>
      </c>
      <c r="B154" s="11" t="s">
        <v>555</v>
      </c>
      <c r="C154" s="141" t="s">
        <v>556</v>
      </c>
      <c r="D154" s="98">
        <v>38173</v>
      </c>
      <c r="E154" s="111">
        <f t="shared" ca="1" si="11"/>
        <v>21</v>
      </c>
      <c r="F154" s="132" t="s">
        <v>743</v>
      </c>
      <c r="G154" s="11" t="s">
        <v>254</v>
      </c>
      <c r="H154" s="139" t="s">
        <v>746</v>
      </c>
      <c r="I154" s="140" t="s">
        <v>751</v>
      </c>
      <c r="J154" s="132"/>
      <c r="K154" s="11" t="s">
        <v>773</v>
      </c>
      <c r="L154" s="96">
        <v>43617</v>
      </c>
      <c r="M154" s="96" t="str" cm="1">
        <f t="array" ref="M154">_xlfn.XLOOKUP(B154&amp;"", 'Registro EMO'!$C$13:$C$4248&amp;"", 'Registro EMO'!$F$13:$F$4248, "Sin registro", 0, -1)</f>
        <v>Sin registro</v>
      </c>
      <c r="N154" s="11" t="str" cm="1">
        <f t="array" ref="N154">_xlfn.XLOOKUP(B154&amp;"", 'Registro EMO'!$C$13:$C$4248&amp;"", 'Registro EMO'!$E$13:$E$4248, "Sin registro", 0, -1)</f>
        <v>Sin registro</v>
      </c>
      <c r="O154" s="11" t="str">
        <f t="shared" si="12"/>
        <v>NO</v>
      </c>
      <c r="P154" s="130" t="str" cm="1">
        <f t="array" ref="P154">_xlfn.LET(
    _xlpm.resultado, _xlfn.XLOOKUP(B154&amp;"", 'Registro EMO'!$C$13:$C$4248&amp;"", 'Registro EMO'!$I$13:$I$4248, "NO", 0, -1),
    IF(_xlpm.resultado=0, "NO", _xlpm.resultado)
)</f>
        <v>NO</v>
      </c>
      <c r="Q154" s="11" t="str">
        <f t="shared" ca="1" si="13"/>
        <v>Pendiente</v>
      </c>
      <c r="R154" s="96"/>
      <c r="S154" s="11"/>
      <c r="T154" s="11" t="str">
        <f t="shared" si="14"/>
        <v/>
      </c>
      <c r="U154" s="11"/>
      <c r="V154" s="11"/>
      <c r="W154" s="29"/>
      <c r="X154" s="129"/>
      <c r="Y154" s="11"/>
      <c r="Z154" s="11"/>
      <c r="AA154" s="11"/>
      <c r="AB154" s="11"/>
      <c r="AC154" s="11"/>
      <c r="AD154" s="11"/>
      <c r="AE154" s="11"/>
      <c r="AF154" s="11"/>
      <c r="AG154" s="98"/>
      <c r="AH154" s="11"/>
    </row>
    <row r="155" spans="1:34" hidden="1" x14ac:dyDescent="0.3">
      <c r="A155" s="7" t="str">
        <f t="shared" si="10"/>
        <v>TR-1154</v>
      </c>
      <c r="B155" s="11" t="s">
        <v>557</v>
      </c>
      <c r="C155" s="141" t="s">
        <v>558</v>
      </c>
      <c r="D155" s="98">
        <v>35586</v>
      </c>
      <c r="E155" s="111">
        <f t="shared" ca="1" si="11"/>
        <v>28</v>
      </c>
      <c r="F155" s="132" t="s">
        <v>743</v>
      </c>
      <c r="G155" s="11" t="s">
        <v>254</v>
      </c>
      <c r="H155" s="139" t="s">
        <v>744</v>
      </c>
      <c r="I155" s="140" t="s">
        <v>748</v>
      </c>
      <c r="J155" s="132"/>
      <c r="K155" s="11" t="s">
        <v>773</v>
      </c>
      <c r="L155" s="96">
        <v>45689</v>
      </c>
      <c r="M155" s="96" t="str" cm="1">
        <f t="array" ref="M155">_xlfn.XLOOKUP(B155&amp;"", 'Registro EMO'!$C$13:$C$4248&amp;"", 'Registro EMO'!$F$13:$F$4248, "Sin registro", 0, -1)</f>
        <v>Sin registro</v>
      </c>
      <c r="N155" s="11" t="str" cm="1">
        <f t="array" ref="N155">_xlfn.XLOOKUP(B155&amp;"", 'Registro EMO'!$C$13:$C$4248&amp;"", 'Registro EMO'!$E$13:$E$4248, "Sin registro", 0, -1)</f>
        <v>Sin registro</v>
      </c>
      <c r="O155" s="11" t="str">
        <f t="shared" si="12"/>
        <v>NO</v>
      </c>
      <c r="P155" s="130" t="str" cm="1">
        <f t="array" ref="P155">_xlfn.LET(
    _xlpm.resultado, _xlfn.XLOOKUP(B155&amp;"", 'Registro EMO'!$C$13:$C$4248&amp;"", 'Registro EMO'!$I$13:$I$4248, "NO", 0, -1),
    IF(_xlpm.resultado=0, "NO", _xlpm.resultado)
)</f>
        <v>NO</v>
      </c>
      <c r="Q155" s="11" t="str">
        <f t="shared" ca="1" si="13"/>
        <v>Pendiente</v>
      </c>
      <c r="R155" s="96"/>
      <c r="S155" s="11"/>
      <c r="T155" s="11" t="str">
        <f t="shared" si="14"/>
        <v/>
      </c>
      <c r="U155" s="11"/>
      <c r="V155" s="11"/>
      <c r="W155" s="29"/>
      <c r="X155" s="129"/>
      <c r="Y155" s="11"/>
      <c r="Z155" s="11"/>
      <c r="AA155" s="11"/>
      <c r="AB155" s="11"/>
      <c r="AC155" s="11"/>
      <c r="AD155" s="11"/>
      <c r="AE155" s="11"/>
      <c r="AF155" s="11"/>
      <c r="AG155" s="98"/>
      <c r="AH155" s="11"/>
    </row>
    <row r="156" spans="1:34" ht="28.8" hidden="1" x14ac:dyDescent="0.3">
      <c r="A156" s="7" t="str">
        <f t="shared" si="10"/>
        <v>TR-1155</v>
      </c>
      <c r="B156" s="11" t="s">
        <v>559</v>
      </c>
      <c r="C156" s="141" t="s">
        <v>560</v>
      </c>
      <c r="D156" s="98">
        <v>35048</v>
      </c>
      <c r="E156" s="111">
        <f t="shared" ca="1" si="11"/>
        <v>30</v>
      </c>
      <c r="F156" s="132" t="s">
        <v>743</v>
      </c>
      <c r="G156" s="11" t="s">
        <v>254</v>
      </c>
      <c r="H156" s="139" t="s">
        <v>744</v>
      </c>
      <c r="I156" s="140" t="s">
        <v>748</v>
      </c>
      <c r="J156" s="132"/>
      <c r="K156" s="11" t="s">
        <v>773</v>
      </c>
      <c r="L156" s="96">
        <v>43709</v>
      </c>
      <c r="M156" s="96" t="str" cm="1">
        <f t="array" ref="M156">_xlfn.XLOOKUP(B156&amp;"", 'Registro EMO'!$C$13:$C$4248&amp;"", 'Registro EMO'!$F$13:$F$4248, "Sin registro", 0, -1)</f>
        <v>Sin registro</v>
      </c>
      <c r="N156" s="11" t="str" cm="1">
        <f t="array" ref="N156">_xlfn.XLOOKUP(B156&amp;"", 'Registro EMO'!$C$13:$C$4248&amp;"", 'Registro EMO'!$E$13:$E$4248, "Sin registro", 0, -1)</f>
        <v>Sin registro</v>
      </c>
      <c r="O156" s="11" t="str">
        <f t="shared" si="12"/>
        <v>NO</v>
      </c>
      <c r="P156" s="130" t="str" cm="1">
        <f t="array" ref="P156">_xlfn.LET(
    _xlpm.resultado, _xlfn.XLOOKUP(B156&amp;"", 'Registro EMO'!$C$13:$C$4248&amp;"", 'Registro EMO'!$I$13:$I$4248, "NO", 0, -1),
    IF(_xlpm.resultado=0, "NO", _xlpm.resultado)
)</f>
        <v>NO</v>
      </c>
      <c r="Q156" s="11" t="str">
        <f t="shared" ca="1" si="13"/>
        <v>Pendiente</v>
      </c>
      <c r="R156" s="96"/>
      <c r="S156" s="11"/>
      <c r="T156" s="11" t="str">
        <f t="shared" si="14"/>
        <v/>
      </c>
      <c r="U156" s="11"/>
      <c r="V156" s="11" t="s">
        <v>796</v>
      </c>
      <c r="W156" s="29" t="s">
        <v>780</v>
      </c>
      <c r="X156" s="129"/>
      <c r="Y156" s="11"/>
      <c r="Z156" s="11"/>
      <c r="AA156" s="11"/>
      <c r="AB156" s="11"/>
      <c r="AC156" s="11"/>
      <c r="AD156" s="11"/>
      <c r="AE156" s="11"/>
      <c r="AF156" s="11"/>
      <c r="AG156" s="98"/>
      <c r="AH156" s="11"/>
    </row>
    <row r="157" spans="1:34" ht="43.2" hidden="1" x14ac:dyDescent="0.3">
      <c r="A157" s="7" t="str">
        <f t="shared" si="10"/>
        <v>TR-1156</v>
      </c>
      <c r="B157" s="11" t="s">
        <v>561</v>
      </c>
      <c r="C157" s="141" t="s">
        <v>562</v>
      </c>
      <c r="D157" s="98">
        <v>30673</v>
      </c>
      <c r="E157" s="111">
        <f t="shared" ca="1" si="11"/>
        <v>42</v>
      </c>
      <c r="F157" s="132" t="s">
        <v>743</v>
      </c>
      <c r="G157" s="11" t="s">
        <v>254</v>
      </c>
      <c r="H157" s="139" t="s">
        <v>744</v>
      </c>
      <c r="I157" s="140" t="s">
        <v>748</v>
      </c>
      <c r="J157" s="132"/>
      <c r="K157" s="11" t="s">
        <v>773</v>
      </c>
      <c r="L157" s="96">
        <v>44663</v>
      </c>
      <c r="M157" s="96" t="str" cm="1">
        <f t="array" ref="M157">_xlfn.XLOOKUP(B157&amp;"", 'Registro EMO'!$C$13:$C$4248&amp;"", 'Registro EMO'!$F$13:$F$4248, "Sin registro", 0, -1)</f>
        <v>20/09/2026</v>
      </c>
      <c r="N157" s="11" t="str" cm="1">
        <f t="array" ref="N157">_xlfn.XLOOKUP(B157&amp;"", 'Registro EMO'!$C$13:$C$4248&amp;"", 'Registro EMO'!$E$13:$E$4248, "Sin registro", 0, -1)</f>
        <v>Pre-Ocupacional</v>
      </c>
      <c r="O157" s="11" t="str">
        <f t="shared" si="12"/>
        <v>SI</v>
      </c>
      <c r="P157" s="150" cm="1">
        <f t="array" ref="P157">_xlfn.LET(
    _xlpm.resultado, _xlfn.XLOOKUP(B157&amp;"", 'Registro EMO'!$C$13:$C$4248&amp;"", 'Registro EMO'!$I$13:$I$4248, "NO", 0, -1),
    IF(_xlpm.resultado=0, "NO", _xlpm.resultado)
)</f>
        <v>45565</v>
      </c>
      <c r="Q157" s="11" t="str">
        <f t="shared" ca="1" si="13"/>
        <v>Vigente</v>
      </c>
      <c r="R157" s="96"/>
      <c r="S157" s="11"/>
      <c r="T157" s="11" t="str">
        <f t="shared" si="14"/>
        <v/>
      </c>
      <c r="U157" s="11"/>
      <c r="V157" s="11" t="s">
        <v>796</v>
      </c>
      <c r="W157" s="29" t="s">
        <v>800</v>
      </c>
      <c r="X157" s="129"/>
      <c r="Y157" s="11"/>
      <c r="Z157" s="11"/>
      <c r="AA157" s="11"/>
      <c r="AB157" s="11"/>
      <c r="AC157" s="11"/>
      <c r="AD157" s="11"/>
      <c r="AE157" s="11"/>
      <c r="AF157" s="11"/>
      <c r="AG157" s="98"/>
      <c r="AH157" s="11" t="s">
        <v>32</v>
      </c>
    </row>
    <row r="158" spans="1:34" hidden="1" x14ac:dyDescent="0.3">
      <c r="A158" s="7" t="str">
        <f t="shared" si="10"/>
        <v>TR-1157</v>
      </c>
      <c r="B158" s="11" t="s">
        <v>563</v>
      </c>
      <c r="C158" s="141" t="s">
        <v>564</v>
      </c>
      <c r="D158" s="98">
        <v>37717</v>
      </c>
      <c r="E158" s="111">
        <f t="shared" ca="1" si="11"/>
        <v>22</v>
      </c>
      <c r="F158" s="132" t="s">
        <v>743</v>
      </c>
      <c r="G158" s="11" t="s">
        <v>254</v>
      </c>
      <c r="H158" s="139" t="s">
        <v>746</v>
      </c>
      <c r="I158" s="140" t="s">
        <v>747</v>
      </c>
      <c r="J158" s="132"/>
      <c r="K158" s="11" t="s">
        <v>773</v>
      </c>
      <c r="L158" s="96">
        <v>45985</v>
      </c>
      <c r="M158" s="96" t="str" cm="1">
        <f t="array" ref="M158">_xlfn.XLOOKUP(B158&amp;"", 'Registro EMO'!$C$13:$C$4248&amp;"", 'Registro EMO'!$F$13:$F$4248, "Sin registro", 0, -1)</f>
        <v>Sin registro</v>
      </c>
      <c r="N158" s="11" t="str" cm="1">
        <f t="array" ref="N158">_xlfn.XLOOKUP(B158&amp;"", 'Registro EMO'!$C$13:$C$4248&amp;"", 'Registro EMO'!$E$13:$E$4248, "Sin registro", 0, -1)</f>
        <v>Sin registro</v>
      </c>
      <c r="O158" s="11" t="str">
        <f t="shared" si="12"/>
        <v>NO</v>
      </c>
      <c r="P158" s="130" t="str" cm="1">
        <f t="array" ref="P158">_xlfn.LET(
    _xlpm.resultado, _xlfn.XLOOKUP(B158&amp;"", 'Registro EMO'!$C$13:$C$4248&amp;"", 'Registro EMO'!$I$13:$I$4248, "NO", 0, -1),
    IF(_xlpm.resultado=0, "NO", _xlpm.resultado)
)</f>
        <v>NO</v>
      </c>
      <c r="Q158" s="11" t="str">
        <f t="shared" ca="1" si="13"/>
        <v>Pendiente</v>
      </c>
      <c r="R158" s="96"/>
      <c r="S158" s="11"/>
      <c r="T158" s="11" t="str">
        <f t="shared" si="14"/>
        <v/>
      </c>
      <c r="U158" s="11"/>
      <c r="V158" s="11"/>
      <c r="W158" s="29"/>
      <c r="X158" s="129"/>
      <c r="Y158" s="11"/>
      <c r="Z158" s="11"/>
      <c r="AA158" s="11"/>
      <c r="AB158" s="11"/>
      <c r="AC158" s="11"/>
      <c r="AD158" s="11"/>
      <c r="AE158" s="11"/>
      <c r="AF158" s="11"/>
      <c r="AG158" s="98"/>
      <c r="AH158" s="11"/>
    </row>
    <row r="159" spans="1:34" hidden="1" x14ac:dyDescent="0.3">
      <c r="A159" s="7" t="str">
        <f t="shared" si="10"/>
        <v>TR-1158</v>
      </c>
      <c r="B159" s="11" t="s">
        <v>565</v>
      </c>
      <c r="C159" s="141" t="s">
        <v>566</v>
      </c>
      <c r="D159" s="98">
        <v>31611</v>
      </c>
      <c r="E159" s="111">
        <f t="shared" ca="1" si="11"/>
        <v>39</v>
      </c>
      <c r="F159" s="132" t="s">
        <v>743</v>
      </c>
      <c r="G159" s="11" t="s">
        <v>254</v>
      </c>
      <c r="H159" s="139" t="s">
        <v>746</v>
      </c>
      <c r="I159" s="140" t="s">
        <v>751</v>
      </c>
      <c r="J159" s="132"/>
      <c r="K159" s="11" t="s">
        <v>773</v>
      </c>
      <c r="L159" s="96">
        <v>45874</v>
      </c>
      <c r="M159" s="96" t="str" cm="1">
        <f t="array" ref="M159">_xlfn.XLOOKUP(B159&amp;"", 'Registro EMO'!$C$13:$C$4248&amp;"", 'Registro EMO'!$F$13:$F$4248, "Sin registro", 0, -1)</f>
        <v>26/06/2026</v>
      </c>
      <c r="N159" s="11" t="str" cm="1">
        <f t="array" ref="N159">_xlfn.XLOOKUP(B159&amp;"", 'Registro EMO'!$C$13:$C$4248&amp;"", 'Registro EMO'!$E$13:$E$4248, "Sin registro", 0, -1)</f>
        <v>Pre-Ocupacional</v>
      </c>
      <c r="O159" s="11" t="str">
        <f t="shared" si="12"/>
        <v>SI</v>
      </c>
      <c r="P159" s="150" cm="1">
        <f t="array" ref="P159">_xlfn.LET(
    _xlpm.resultado, _xlfn.XLOOKUP(B159&amp;"", 'Registro EMO'!$C$13:$C$4248&amp;"", 'Registro EMO'!$I$13:$I$4248, "NO", 0, -1),
    IF(_xlpm.resultado=0, "NO", _xlpm.resultado)
)</f>
        <v>45473</v>
      </c>
      <c r="Q159" s="11" t="str">
        <f t="shared" ca="1" si="13"/>
        <v>Vigente</v>
      </c>
      <c r="R159" s="96"/>
      <c r="S159" s="11"/>
      <c r="T159" s="11" t="str">
        <f t="shared" si="14"/>
        <v/>
      </c>
      <c r="U159" s="11"/>
      <c r="V159" s="11" t="s">
        <v>796</v>
      </c>
      <c r="W159" s="29"/>
      <c r="X159" s="129"/>
      <c r="Y159" s="11"/>
      <c r="Z159" s="11"/>
      <c r="AA159" s="11"/>
      <c r="AB159" s="11"/>
      <c r="AC159" s="11"/>
      <c r="AD159" s="11"/>
      <c r="AE159" s="11"/>
      <c r="AF159" s="11"/>
      <c r="AG159" s="98"/>
      <c r="AH159" s="11" t="s">
        <v>32</v>
      </c>
    </row>
    <row r="160" spans="1:34" hidden="1" x14ac:dyDescent="0.3">
      <c r="A160" s="7" t="str">
        <f t="shared" si="10"/>
        <v>TR-1159</v>
      </c>
      <c r="B160" s="11" t="s">
        <v>567</v>
      </c>
      <c r="C160" s="141" t="s">
        <v>568</v>
      </c>
      <c r="D160" s="98">
        <v>35843</v>
      </c>
      <c r="E160" s="111">
        <f t="shared" ca="1" si="11"/>
        <v>28</v>
      </c>
      <c r="F160" s="132" t="s">
        <v>743</v>
      </c>
      <c r="G160" s="11" t="s">
        <v>254</v>
      </c>
      <c r="H160" s="139" t="s">
        <v>746</v>
      </c>
      <c r="I160" s="140" t="s">
        <v>751</v>
      </c>
      <c r="J160" s="132"/>
      <c r="K160" s="11" t="s">
        <v>773</v>
      </c>
      <c r="L160" s="96">
        <v>44774</v>
      </c>
      <c r="M160" s="96" t="str" cm="1">
        <f t="array" ref="M160">_xlfn.XLOOKUP(B160&amp;"", 'Registro EMO'!$C$13:$C$4248&amp;"", 'Registro EMO'!$F$13:$F$4248, "Sin registro", 0, -1)</f>
        <v>Sin registro</v>
      </c>
      <c r="N160" s="11" t="str" cm="1">
        <f t="array" ref="N160">_xlfn.XLOOKUP(B160&amp;"", 'Registro EMO'!$C$13:$C$4248&amp;"", 'Registro EMO'!$E$13:$E$4248, "Sin registro", 0, -1)</f>
        <v>Sin registro</v>
      </c>
      <c r="O160" s="11" t="str">
        <f t="shared" si="12"/>
        <v>NO</v>
      </c>
      <c r="P160" s="130" t="str" cm="1">
        <f t="array" ref="P160">_xlfn.LET(
    _xlpm.resultado, _xlfn.XLOOKUP(B160&amp;"", 'Registro EMO'!$C$13:$C$4248&amp;"", 'Registro EMO'!$I$13:$I$4248, "NO", 0, -1),
    IF(_xlpm.resultado=0, "NO", _xlpm.resultado)
)</f>
        <v>NO</v>
      </c>
      <c r="Q160" s="11" t="str">
        <f t="shared" ca="1" si="13"/>
        <v>Pendiente</v>
      </c>
      <c r="R160" s="96"/>
      <c r="S160" s="11"/>
      <c r="T160" s="11" t="str">
        <f t="shared" si="14"/>
        <v/>
      </c>
      <c r="U160" s="11"/>
      <c r="V160" s="11" t="s">
        <v>796</v>
      </c>
      <c r="W160" s="29" t="s">
        <v>786</v>
      </c>
      <c r="X160" s="129"/>
      <c r="Y160" s="11"/>
      <c r="Z160" s="11"/>
      <c r="AA160" s="11"/>
      <c r="AB160" s="11"/>
      <c r="AC160" s="11"/>
      <c r="AD160" s="11"/>
      <c r="AE160" s="11"/>
      <c r="AF160" s="11"/>
      <c r="AG160" s="98"/>
      <c r="AH160" s="11"/>
    </row>
    <row r="161" spans="1:34" hidden="1" x14ac:dyDescent="0.3">
      <c r="A161" s="7" t="str">
        <f t="shared" si="10"/>
        <v>TR-1160</v>
      </c>
      <c r="B161" s="11" t="s">
        <v>569</v>
      </c>
      <c r="C161" s="141" t="s">
        <v>570</v>
      </c>
      <c r="D161" s="98">
        <v>39177</v>
      </c>
      <c r="E161" s="111">
        <f t="shared" ca="1" si="11"/>
        <v>18</v>
      </c>
      <c r="F161" s="132" t="s">
        <v>743</v>
      </c>
      <c r="G161" s="11" t="s">
        <v>254</v>
      </c>
      <c r="H161" s="139" t="s">
        <v>746</v>
      </c>
      <c r="I161" s="140" t="s">
        <v>747</v>
      </c>
      <c r="J161" s="132"/>
      <c r="K161" s="11" t="s">
        <v>773</v>
      </c>
      <c r="L161" s="96">
        <v>44482</v>
      </c>
      <c r="M161" s="96" t="str" cm="1">
        <f t="array" ref="M161">_xlfn.XLOOKUP(B161&amp;"", 'Registro EMO'!$C$13:$C$4248&amp;"", 'Registro EMO'!$F$13:$F$4248, "Sin registro", 0, -1)</f>
        <v>Sin registro</v>
      </c>
      <c r="N161" s="11" t="str" cm="1">
        <f t="array" ref="N161">_xlfn.XLOOKUP(B161&amp;"", 'Registro EMO'!$C$13:$C$4248&amp;"", 'Registro EMO'!$E$13:$E$4248, "Sin registro", 0, -1)</f>
        <v>Sin registro</v>
      </c>
      <c r="O161" s="11" t="str">
        <f t="shared" si="12"/>
        <v>NO</v>
      </c>
      <c r="P161" s="130" t="str" cm="1">
        <f t="array" ref="P161">_xlfn.LET(
    _xlpm.resultado, _xlfn.XLOOKUP(B161&amp;"", 'Registro EMO'!$C$13:$C$4248&amp;"", 'Registro EMO'!$I$13:$I$4248, "NO", 0, -1),
    IF(_xlpm.resultado=0, "NO", _xlpm.resultado)
)</f>
        <v>NO</v>
      </c>
      <c r="Q161" s="11" t="str">
        <f t="shared" ca="1" si="13"/>
        <v>Pendiente</v>
      </c>
      <c r="R161" s="96"/>
      <c r="S161" s="11"/>
      <c r="T161" s="11" t="str">
        <f t="shared" si="14"/>
        <v/>
      </c>
      <c r="U161" s="11"/>
      <c r="V161" s="11"/>
      <c r="W161" s="29"/>
      <c r="X161" s="129"/>
      <c r="Y161" s="11"/>
      <c r="Z161" s="11"/>
      <c r="AA161" s="11"/>
      <c r="AB161" s="11"/>
      <c r="AC161" s="11"/>
      <c r="AD161" s="11"/>
      <c r="AE161" s="11"/>
      <c r="AF161" s="11"/>
      <c r="AG161" s="98"/>
      <c r="AH161" s="11"/>
    </row>
    <row r="162" spans="1:34" hidden="1" x14ac:dyDescent="0.3">
      <c r="A162" s="7" t="str">
        <f t="shared" si="10"/>
        <v>TR-1161</v>
      </c>
      <c r="B162" s="11" t="s">
        <v>571</v>
      </c>
      <c r="C162" s="141" t="s">
        <v>572</v>
      </c>
      <c r="D162" s="98">
        <v>30976</v>
      </c>
      <c r="E162" s="111">
        <f t="shared" ca="1" si="11"/>
        <v>41</v>
      </c>
      <c r="F162" s="132" t="s">
        <v>743</v>
      </c>
      <c r="G162" s="11" t="s">
        <v>254</v>
      </c>
      <c r="H162" s="139" t="s">
        <v>746</v>
      </c>
      <c r="I162" s="140" t="s">
        <v>751</v>
      </c>
      <c r="J162" s="132"/>
      <c r="K162" s="11" t="s">
        <v>773</v>
      </c>
      <c r="L162" s="96">
        <v>45047</v>
      </c>
      <c r="M162" s="96" t="str" cm="1">
        <f t="array" ref="M162">_xlfn.XLOOKUP(B162&amp;"", 'Registro EMO'!$C$13:$C$4248&amp;"", 'Registro EMO'!$F$13:$F$4248, "Sin registro", 0, -1)</f>
        <v>Sin registro</v>
      </c>
      <c r="N162" s="11" t="str" cm="1">
        <f t="array" ref="N162">_xlfn.XLOOKUP(B162&amp;"", 'Registro EMO'!$C$13:$C$4248&amp;"", 'Registro EMO'!$E$13:$E$4248, "Sin registro", 0, -1)</f>
        <v>Sin registro</v>
      </c>
      <c r="O162" s="11" t="str">
        <f t="shared" si="12"/>
        <v>NO</v>
      </c>
      <c r="P162" s="130" t="str" cm="1">
        <f t="array" ref="P162">_xlfn.LET(
    _xlpm.resultado, _xlfn.XLOOKUP(B162&amp;"", 'Registro EMO'!$C$13:$C$4248&amp;"", 'Registro EMO'!$I$13:$I$4248, "NO", 0, -1),
    IF(_xlpm.resultado=0, "NO", _xlpm.resultado)
)</f>
        <v>NO</v>
      </c>
      <c r="Q162" s="11" t="str">
        <f t="shared" ca="1" si="13"/>
        <v>Pendiente</v>
      </c>
      <c r="R162" s="96"/>
      <c r="S162" s="11"/>
      <c r="T162" s="11" t="str">
        <f t="shared" si="14"/>
        <v/>
      </c>
      <c r="U162" s="11"/>
      <c r="V162" s="11"/>
      <c r="W162" s="29"/>
      <c r="X162" s="129"/>
      <c r="Y162" s="11"/>
      <c r="Z162" s="11"/>
      <c r="AA162" s="11"/>
      <c r="AB162" s="11"/>
      <c r="AC162" s="11"/>
      <c r="AD162" s="11"/>
      <c r="AE162" s="11"/>
      <c r="AF162" s="11"/>
      <c r="AG162" s="98"/>
      <c r="AH162" s="11"/>
    </row>
    <row r="163" spans="1:34" hidden="1" x14ac:dyDescent="0.3">
      <c r="A163" s="7" t="str">
        <f t="shared" si="10"/>
        <v>TR-1162</v>
      </c>
      <c r="B163" s="11" t="s">
        <v>573</v>
      </c>
      <c r="C163" s="141" t="s">
        <v>574</v>
      </c>
      <c r="D163" s="98">
        <v>36541</v>
      </c>
      <c r="E163" s="111">
        <f t="shared" ca="1" si="11"/>
        <v>26</v>
      </c>
      <c r="F163" s="132" t="s">
        <v>743</v>
      </c>
      <c r="G163" s="11" t="s">
        <v>254</v>
      </c>
      <c r="H163" s="139" t="s">
        <v>746</v>
      </c>
      <c r="I163" s="140" t="s">
        <v>751</v>
      </c>
      <c r="J163" s="132"/>
      <c r="K163" s="11" t="s">
        <v>773</v>
      </c>
      <c r="L163" s="96">
        <v>43877</v>
      </c>
      <c r="M163" s="96" t="str" cm="1">
        <f t="array" ref="M163">_xlfn.XLOOKUP(B163&amp;"", 'Registro EMO'!$C$13:$C$4248&amp;"", 'Registro EMO'!$F$13:$F$4248, "Sin registro", 0, -1)</f>
        <v>Sin registro</v>
      </c>
      <c r="N163" s="11" t="str" cm="1">
        <f t="array" ref="N163">_xlfn.XLOOKUP(B163&amp;"", 'Registro EMO'!$C$13:$C$4248&amp;"", 'Registro EMO'!$E$13:$E$4248, "Sin registro", 0, -1)</f>
        <v>Sin registro</v>
      </c>
      <c r="O163" s="11" t="str">
        <f t="shared" si="12"/>
        <v>NO</v>
      </c>
      <c r="P163" s="130" t="str" cm="1">
        <f t="array" ref="P163">_xlfn.LET(
    _xlpm.resultado, _xlfn.XLOOKUP(B163&amp;"", 'Registro EMO'!$C$13:$C$4248&amp;"", 'Registro EMO'!$I$13:$I$4248, "NO", 0, -1),
    IF(_xlpm.resultado=0, "NO", _xlpm.resultado)
)</f>
        <v>NO</v>
      </c>
      <c r="Q163" s="11" t="str">
        <f t="shared" ca="1" si="13"/>
        <v>Pendiente</v>
      </c>
      <c r="R163" s="96"/>
      <c r="S163" s="11"/>
      <c r="T163" s="11" t="str">
        <f t="shared" si="14"/>
        <v/>
      </c>
      <c r="U163" s="11"/>
      <c r="V163" s="11"/>
      <c r="W163" s="29"/>
      <c r="X163" s="129"/>
      <c r="Y163" s="11"/>
      <c r="Z163" s="11"/>
      <c r="AA163" s="11"/>
      <c r="AB163" s="11"/>
      <c r="AC163" s="11"/>
      <c r="AD163" s="11"/>
      <c r="AE163" s="11"/>
      <c r="AF163" s="11"/>
      <c r="AG163" s="98"/>
      <c r="AH163" s="11"/>
    </row>
    <row r="164" spans="1:34" hidden="1" x14ac:dyDescent="0.3">
      <c r="A164" s="7" t="str">
        <f t="shared" si="10"/>
        <v>TR-1163</v>
      </c>
      <c r="B164" s="11" t="s">
        <v>575</v>
      </c>
      <c r="C164" s="141" t="s">
        <v>576</v>
      </c>
      <c r="D164" s="98">
        <v>29728</v>
      </c>
      <c r="E164" s="111">
        <f t="shared" ca="1" si="11"/>
        <v>44</v>
      </c>
      <c r="F164" s="132" t="s">
        <v>743</v>
      </c>
      <c r="G164" s="11" t="s">
        <v>254</v>
      </c>
      <c r="H164" s="139" t="s">
        <v>749</v>
      </c>
      <c r="I164" s="140" t="s">
        <v>750</v>
      </c>
      <c r="J164" s="132"/>
      <c r="K164" s="11" t="s">
        <v>773</v>
      </c>
      <c r="L164" s="96">
        <v>45215</v>
      </c>
      <c r="M164" s="96" t="str" cm="1">
        <f t="array" ref="M164">_xlfn.XLOOKUP(B164&amp;"", 'Registro EMO'!$C$13:$C$4248&amp;"", 'Registro EMO'!$F$13:$F$4248, "Sin registro", 0, -1)</f>
        <v>17/01/2026</v>
      </c>
      <c r="N164" s="11" t="str" cm="1">
        <f t="array" ref="N164">_xlfn.XLOOKUP(B164&amp;"", 'Registro EMO'!$C$13:$C$4248&amp;"", 'Registro EMO'!$E$13:$E$4248, "Sin registro", 0, -1)</f>
        <v>Ocupacional</v>
      </c>
      <c r="O164" s="11" t="str">
        <f t="shared" si="12"/>
        <v>NO</v>
      </c>
      <c r="P164" s="130" t="str" cm="1">
        <f t="array" ref="P164">_xlfn.LET(
    _xlpm.resultado, _xlfn.XLOOKUP(B164&amp;"", 'Registro EMO'!$C$13:$C$4248&amp;"", 'Registro EMO'!$I$13:$I$4248, "NO", 0, -1),
    IF(_xlpm.resultado=0, "NO", _xlpm.resultado)
)</f>
        <v>NO</v>
      </c>
      <c r="Q164" s="11" t="str">
        <f t="shared" ca="1" si="13"/>
        <v>Vigente</v>
      </c>
      <c r="R164" s="96"/>
      <c r="S164" s="11"/>
      <c r="T164" s="11" t="str">
        <f t="shared" si="14"/>
        <v/>
      </c>
      <c r="U164" s="11"/>
      <c r="V164" s="11" t="s">
        <v>796</v>
      </c>
      <c r="W164" s="29"/>
      <c r="X164" s="129"/>
      <c r="Y164" s="11"/>
      <c r="Z164" s="11"/>
      <c r="AA164" s="11"/>
      <c r="AB164" s="11"/>
      <c r="AC164" s="11"/>
      <c r="AD164" s="11"/>
      <c r="AE164" s="11"/>
      <c r="AF164" s="11"/>
      <c r="AG164" s="98"/>
      <c r="AH164" s="11" t="s">
        <v>32</v>
      </c>
    </row>
    <row r="165" spans="1:34" hidden="1" x14ac:dyDescent="0.3">
      <c r="A165" s="7" t="str">
        <f t="shared" si="10"/>
        <v>TR-1164</v>
      </c>
      <c r="B165" s="11" t="s">
        <v>577</v>
      </c>
      <c r="C165" s="141" t="s">
        <v>578</v>
      </c>
      <c r="D165" s="98">
        <v>34103</v>
      </c>
      <c r="E165" s="111">
        <f t="shared" ca="1" si="11"/>
        <v>32</v>
      </c>
      <c r="F165" s="132" t="s">
        <v>743</v>
      </c>
      <c r="G165" s="11" t="s">
        <v>254</v>
      </c>
      <c r="H165" s="139" t="s">
        <v>746</v>
      </c>
      <c r="I165" s="140" t="s">
        <v>751</v>
      </c>
      <c r="J165" s="132"/>
      <c r="K165" s="11" t="s">
        <v>774</v>
      </c>
      <c r="L165" s="96">
        <v>45927</v>
      </c>
      <c r="M165" s="96" cm="1">
        <f t="array" ref="M165">_xlfn.XLOOKUP(B165&amp;"", 'Registro EMO'!$C$13:$C$4248&amp;"", 'Registro EMO'!$F$13:$F$4248, "Sin registro", 0, -1)</f>
        <v>46084</v>
      </c>
      <c r="N165" s="11" t="str" cm="1">
        <f t="array" ref="N165">_xlfn.XLOOKUP(B165&amp;"", 'Registro EMO'!$C$13:$C$4248&amp;"", 'Registro EMO'!$E$13:$E$4248, "Sin registro", 0, -1)</f>
        <v>Pre-Ocupacional</v>
      </c>
      <c r="O165" s="11" t="str">
        <f t="shared" si="12"/>
        <v>SI</v>
      </c>
      <c r="P165" s="150" cm="1">
        <f t="array" ref="P165">_xlfn.LET(
    _xlpm.resultado, _xlfn.XLOOKUP(B165&amp;"", 'Registro EMO'!$C$13:$C$4248&amp;"", 'Registro EMO'!$I$13:$I$4248, "NO", 0, -1),
    IF(_xlpm.resultado=0, "NO", _xlpm.resultado)
)</f>
        <v>45009</v>
      </c>
      <c r="Q165" s="11" t="str">
        <f t="shared" ca="1" si="13"/>
        <v>Vigente</v>
      </c>
      <c r="R165" s="96"/>
      <c r="S165" s="11"/>
      <c r="T165" s="11" t="str">
        <f t="shared" si="14"/>
        <v/>
      </c>
      <c r="U165" s="11"/>
      <c r="V165" s="11" t="s">
        <v>796</v>
      </c>
      <c r="W165" s="29" t="s">
        <v>778</v>
      </c>
      <c r="X165" s="129"/>
      <c r="Y165" s="11"/>
      <c r="Z165" s="11"/>
      <c r="AA165" s="11"/>
      <c r="AB165" s="11"/>
      <c r="AC165" s="11"/>
      <c r="AD165" s="11"/>
      <c r="AE165" s="11"/>
      <c r="AF165" s="11"/>
      <c r="AG165" s="98"/>
      <c r="AH165" s="11" t="s">
        <v>32</v>
      </c>
    </row>
    <row r="166" spans="1:34" hidden="1" x14ac:dyDescent="0.3">
      <c r="A166" s="7" t="str">
        <f t="shared" si="10"/>
        <v>TR-1165</v>
      </c>
      <c r="B166" s="11" t="s">
        <v>579</v>
      </c>
      <c r="C166" s="141" t="s">
        <v>580</v>
      </c>
      <c r="D166" s="98">
        <v>33317</v>
      </c>
      <c r="E166" s="111">
        <f t="shared" ca="1" si="11"/>
        <v>34</v>
      </c>
      <c r="F166" s="132" t="s">
        <v>743</v>
      </c>
      <c r="G166" s="11" t="s">
        <v>254</v>
      </c>
      <c r="H166" s="139" t="s">
        <v>746</v>
      </c>
      <c r="I166" s="140" t="s">
        <v>751</v>
      </c>
      <c r="J166" s="132"/>
      <c r="K166" s="11" t="s">
        <v>773</v>
      </c>
      <c r="L166" s="96">
        <v>45836</v>
      </c>
      <c r="M166" s="96" t="str" cm="1">
        <f t="array" ref="M166">_xlfn.XLOOKUP(B166&amp;"", 'Registro EMO'!$C$13:$C$4248&amp;"", 'Registro EMO'!$F$13:$F$4248, "Sin registro", 0, -1)</f>
        <v>16/03/2026</v>
      </c>
      <c r="N166" s="11" t="str" cm="1">
        <f t="array" ref="N166">_xlfn.XLOOKUP(B166&amp;"", 'Registro EMO'!$C$13:$C$4248&amp;"", 'Registro EMO'!$E$13:$E$4248, "Sin registro", 0, -1)</f>
        <v>Pre-Ocupacional</v>
      </c>
      <c r="O166" s="11" t="str">
        <f t="shared" si="12"/>
        <v>SI</v>
      </c>
      <c r="P166" s="150" cm="1">
        <f t="array" ref="P166">_xlfn.LET(
    _xlpm.resultado, _xlfn.XLOOKUP(B166&amp;"", 'Registro EMO'!$C$13:$C$4248&amp;"", 'Registro EMO'!$I$13:$I$4248, "NO", 0, -1),
    IF(_xlpm.resultado=0, "NO", _xlpm.resultado)
)</f>
        <v>45015</v>
      </c>
      <c r="Q166" s="11" t="str">
        <f t="shared" ca="1" si="13"/>
        <v>Vigente</v>
      </c>
      <c r="R166" s="96"/>
      <c r="S166" s="11"/>
      <c r="T166" s="11" t="str">
        <f t="shared" si="14"/>
        <v/>
      </c>
      <c r="U166" s="11"/>
      <c r="V166" s="11" t="s">
        <v>807</v>
      </c>
      <c r="W166" s="29" t="s">
        <v>801</v>
      </c>
      <c r="X166" s="129"/>
      <c r="Y166" s="11"/>
      <c r="Z166" s="11"/>
      <c r="AA166" s="11"/>
      <c r="AB166" s="11"/>
      <c r="AC166" s="11"/>
      <c r="AD166" s="11"/>
      <c r="AE166" s="11"/>
      <c r="AF166" s="11"/>
      <c r="AG166" s="98"/>
      <c r="AH166" s="11" t="s">
        <v>32</v>
      </c>
    </row>
    <row r="167" spans="1:34" hidden="1" x14ac:dyDescent="0.3">
      <c r="A167" s="7" t="str">
        <f t="shared" si="10"/>
        <v>TR-1166</v>
      </c>
      <c r="B167" s="11" t="s">
        <v>581</v>
      </c>
      <c r="C167" s="141" t="s">
        <v>582</v>
      </c>
      <c r="D167" s="98">
        <v>37385</v>
      </c>
      <c r="E167" s="111">
        <f t="shared" ca="1" si="11"/>
        <v>23</v>
      </c>
      <c r="F167" s="132" t="s">
        <v>743</v>
      </c>
      <c r="G167" s="11" t="s">
        <v>254</v>
      </c>
      <c r="H167" s="139" t="s">
        <v>746</v>
      </c>
      <c r="I167" s="140" t="s">
        <v>747</v>
      </c>
      <c r="J167" s="132"/>
      <c r="K167" s="11" t="s">
        <v>773</v>
      </c>
      <c r="L167" s="96">
        <v>45901</v>
      </c>
      <c r="M167" s="96" t="str" cm="1">
        <f t="array" ref="M167">_xlfn.XLOOKUP(B167&amp;"", 'Registro EMO'!$C$13:$C$4248&amp;"", 'Registro EMO'!$F$13:$F$4248, "Sin registro", 0, -1)</f>
        <v>Sin registro</v>
      </c>
      <c r="N167" s="11" t="str" cm="1">
        <f t="array" ref="N167">_xlfn.XLOOKUP(B167&amp;"", 'Registro EMO'!$C$13:$C$4248&amp;"", 'Registro EMO'!$E$13:$E$4248, "Sin registro", 0, -1)</f>
        <v>Sin registro</v>
      </c>
      <c r="O167" s="11" t="str">
        <f t="shared" si="12"/>
        <v>NO</v>
      </c>
      <c r="P167" s="130" t="str" cm="1">
        <f t="array" ref="P167">_xlfn.LET(
    _xlpm.resultado, _xlfn.XLOOKUP(B167&amp;"", 'Registro EMO'!$C$13:$C$4248&amp;"", 'Registro EMO'!$I$13:$I$4248, "NO", 0, -1),
    IF(_xlpm.resultado=0, "NO", _xlpm.resultado)
)</f>
        <v>NO</v>
      </c>
      <c r="Q167" s="11" t="str">
        <f t="shared" ca="1" si="13"/>
        <v>Pendiente</v>
      </c>
      <c r="R167" s="96"/>
      <c r="S167" s="11"/>
      <c r="T167" s="11" t="str">
        <f t="shared" si="14"/>
        <v/>
      </c>
      <c r="U167" s="11"/>
      <c r="V167" s="11"/>
      <c r="W167" s="29"/>
      <c r="X167" s="129"/>
      <c r="Y167" s="11"/>
      <c r="Z167" s="11"/>
      <c r="AA167" s="11"/>
      <c r="AB167" s="11"/>
      <c r="AC167" s="11"/>
      <c r="AD167" s="11"/>
      <c r="AE167" s="11"/>
      <c r="AF167" s="11"/>
      <c r="AG167" s="98"/>
      <c r="AH167" s="11"/>
    </row>
    <row r="168" spans="1:34" hidden="1" x14ac:dyDescent="0.3">
      <c r="A168" s="7" t="str">
        <f t="shared" si="10"/>
        <v>TR-1167</v>
      </c>
      <c r="B168" s="11" t="s">
        <v>583</v>
      </c>
      <c r="C168" s="141" t="s">
        <v>584</v>
      </c>
      <c r="D168" s="98">
        <v>37485</v>
      </c>
      <c r="E168" s="111">
        <f t="shared" ca="1" si="11"/>
        <v>23</v>
      </c>
      <c r="F168" s="132" t="s">
        <v>743</v>
      </c>
      <c r="G168" s="11" t="s">
        <v>254</v>
      </c>
      <c r="H168" s="139" t="s">
        <v>746</v>
      </c>
      <c r="I168" s="140" t="s">
        <v>751</v>
      </c>
      <c r="J168" s="132"/>
      <c r="K168" s="11" t="s">
        <v>773</v>
      </c>
      <c r="L168" s="96">
        <v>45926</v>
      </c>
      <c r="M168" s="96" t="str" cm="1">
        <f t="array" ref="M168">_xlfn.XLOOKUP(B168&amp;"", 'Registro EMO'!$C$13:$C$4248&amp;"", 'Registro EMO'!$F$13:$F$4248, "Sin registro", 0, -1)</f>
        <v>Sin registro</v>
      </c>
      <c r="N168" s="11" t="str" cm="1">
        <f t="array" ref="N168">_xlfn.XLOOKUP(B168&amp;"", 'Registro EMO'!$C$13:$C$4248&amp;"", 'Registro EMO'!$E$13:$E$4248, "Sin registro", 0, -1)</f>
        <v>Sin registro</v>
      </c>
      <c r="O168" s="11" t="str">
        <f t="shared" si="12"/>
        <v>NO</v>
      </c>
      <c r="P168" s="130" t="str" cm="1">
        <f t="array" ref="P168">_xlfn.LET(
    _xlpm.resultado, _xlfn.XLOOKUP(B168&amp;"", 'Registro EMO'!$C$13:$C$4248&amp;"", 'Registro EMO'!$I$13:$I$4248, "NO", 0, -1),
    IF(_xlpm.resultado=0, "NO", _xlpm.resultado)
)</f>
        <v>NO</v>
      </c>
      <c r="Q168" s="11" t="str">
        <f t="shared" ca="1" si="13"/>
        <v>Pendiente</v>
      </c>
      <c r="R168" s="96"/>
      <c r="S168" s="11"/>
      <c r="T168" s="11" t="str">
        <f t="shared" si="14"/>
        <v/>
      </c>
      <c r="U168" s="11"/>
      <c r="V168" s="11"/>
      <c r="W168" s="29"/>
      <c r="X168" s="129"/>
      <c r="Y168" s="11"/>
      <c r="Z168" s="11"/>
      <c r="AA168" s="11"/>
      <c r="AB168" s="11"/>
      <c r="AC168" s="11"/>
      <c r="AD168" s="11"/>
      <c r="AE168" s="11"/>
      <c r="AF168" s="11"/>
      <c r="AG168" s="98"/>
      <c r="AH168" s="11"/>
    </row>
    <row r="169" spans="1:34" hidden="1" x14ac:dyDescent="0.3">
      <c r="A169" s="7" t="str">
        <f t="shared" si="10"/>
        <v>TR-1168</v>
      </c>
      <c r="B169" s="11" t="s">
        <v>585</v>
      </c>
      <c r="C169" s="141" t="s">
        <v>586</v>
      </c>
      <c r="D169" s="98">
        <v>27622</v>
      </c>
      <c r="E169" s="111">
        <f t="shared" ca="1" si="11"/>
        <v>50</v>
      </c>
      <c r="F169" s="132" t="s">
        <v>743</v>
      </c>
      <c r="G169" s="11" t="s">
        <v>254</v>
      </c>
      <c r="H169" s="139" t="s">
        <v>746</v>
      </c>
      <c r="I169" s="140" t="s">
        <v>747</v>
      </c>
      <c r="J169" s="132"/>
      <c r="K169" s="11" t="s">
        <v>773</v>
      </c>
      <c r="L169" s="96">
        <v>43709</v>
      </c>
      <c r="M169" s="96" t="str" cm="1">
        <f t="array" ref="M169">_xlfn.XLOOKUP(B169&amp;"", 'Registro EMO'!$C$13:$C$4248&amp;"", 'Registro EMO'!$F$13:$F$4248, "Sin registro", 0, -1)</f>
        <v>29/03/2026</v>
      </c>
      <c r="N169" s="11" t="str" cm="1">
        <f t="array" ref="N169">_xlfn.XLOOKUP(B169&amp;"", 'Registro EMO'!$C$13:$C$4248&amp;"", 'Registro EMO'!$E$13:$E$4248, "Sin registro", 0, -1)</f>
        <v>Pre-Ocupacional</v>
      </c>
      <c r="O169" s="11" t="str">
        <f t="shared" si="12"/>
        <v>SI</v>
      </c>
      <c r="P169" s="150" cm="1">
        <f t="array" ref="P169">_xlfn.LET(
    _xlpm.resultado, _xlfn.XLOOKUP(B169&amp;"", 'Registro EMO'!$C$13:$C$4248&amp;"", 'Registro EMO'!$I$13:$I$4248, "NO", 0, -1),
    IF(_xlpm.resultado=0, "NO", _xlpm.resultado)
)</f>
        <v>45960</v>
      </c>
      <c r="Q169" s="11" t="str">
        <f t="shared" ca="1" si="13"/>
        <v>Vigente</v>
      </c>
      <c r="R169" s="96"/>
      <c r="S169" s="11"/>
      <c r="T169" s="11" t="str">
        <f t="shared" si="14"/>
        <v/>
      </c>
      <c r="U169" s="11"/>
      <c r="V169" s="11" t="s">
        <v>796</v>
      </c>
      <c r="W169" s="29"/>
      <c r="X169" s="129"/>
      <c r="Y169" s="11"/>
      <c r="Z169" s="11"/>
      <c r="AA169" s="11"/>
      <c r="AB169" s="11"/>
      <c r="AC169" s="11"/>
      <c r="AD169" s="11"/>
      <c r="AE169" s="11"/>
      <c r="AF169" s="11"/>
      <c r="AG169" s="98"/>
      <c r="AH169" s="11" t="s">
        <v>32</v>
      </c>
    </row>
    <row r="170" spans="1:34" hidden="1" x14ac:dyDescent="0.3">
      <c r="A170" s="7" t="str">
        <f t="shared" si="10"/>
        <v>TR-1169</v>
      </c>
      <c r="B170" s="11" t="s">
        <v>587</v>
      </c>
      <c r="C170" s="141" t="s">
        <v>588</v>
      </c>
      <c r="D170" s="98">
        <v>37104</v>
      </c>
      <c r="E170" s="111">
        <f t="shared" ca="1" si="11"/>
        <v>24</v>
      </c>
      <c r="F170" s="132" t="s">
        <v>762</v>
      </c>
      <c r="G170" s="11" t="s">
        <v>254</v>
      </c>
      <c r="H170" s="139" t="s">
        <v>752</v>
      </c>
      <c r="I170" s="140" t="s">
        <v>768</v>
      </c>
      <c r="J170" s="132"/>
      <c r="K170" s="11" t="s">
        <v>773</v>
      </c>
      <c r="L170" s="96">
        <v>43282</v>
      </c>
      <c r="M170" s="96" t="str" cm="1">
        <f t="array" ref="M170">_xlfn.XLOOKUP(B170&amp;"", 'Registro EMO'!$C$13:$C$4248&amp;"", 'Registro EMO'!$F$13:$F$4248, "Sin registro", 0, -1)</f>
        <v>Sin registro</v>
      </c>
      <c r="N170" s="11" t="str" cm="1">
        <f t="array" ref="N170">_xlfn.XLOOKUP(B170&amp;"", 'Registro EMO'!$C$13:$C$4248&amp;"", 'Registro EMO'!$E$13:$E$4248, "Sin registro", 0, -1)</f>
        <v>Sin registro</v>
      </c>
      <c r="O170" s="11" t="str">
        <f t="shared" si="12"/>
        <v>NO</v>
      </c>
      <c r="P170" s="130" t="str" cm="1">
        <f t="array" ref="P170">_xlfn.LET(
    _xlpm.resultado, _xlfn.XLOOKUP(B170&amp;"", 'Registro EMO'!$C$13:$C$4248&amp;"", 'Registro EMO'!$I$13:$I$4248, "NO", 0, -1),
    IF(_xlpm.resultado=0, "NO", _xlpm.resultado)
)</f>
        <v>NO</v>
      </c>
      <c r="Q170" s="11" t="str">
        <f t="shared" ca="1" si="13"/>
        <v>Pendiente</v>
      </c>
      <c r="R170" s="96"/>
      <c r="S170" s="11"/>
      <c r="T170" s="11" t="str">
        <f t="shared" si="14"/>
        <v/>
      </c>
      <c r="U170" s="11"/>
      <c r="V170" s="11"/>
      <c r="W170" s="29"/>
      <c r="X170" s="129"/>
      <c r="Y170" s="11"/>
      <c r="Z170" s="11"/>
      <c r="AA170" s="11"/>
      <c r="AB170" s="11"/>
      <c r="AC170" s="11"/>
      <c r="AD170" s="11"/>
      <c r="AE170" s="11"/>
      <c r="AF170" s="11"/>
      <c r="AG170" s="98"/>
      <c r="AH170" s="11"/>
    </row>
    <row r="171" spans="1:34" hidden="1" x14ac:dyDescent="0.3">
      <c r="A171" s="7" t="str">
        <f t="shared" si="10"/>
        <v>TR-1170</v>
      </c>
      <c r="B171" s="11" t="s">
        <v>589</v>
      </c>
      <c r="C171" s="141" t="s">
        <v>590</v>
      </c>
      <c r="D171" s="98">
        <v>36091</v>
      </c>
      <c r="E171" s="111">
        <f t="shared" ca="1" si="11"/>
        <v>27</v>
      </c>
      <c r="F171" s="132" t="s">
        <v>743</v>
      </c>
      <c r="G171" s="11" t="s">
        <v>254</v>
      </c>
      <c r="H171" s="139" t="s">
        <v>749</v>
      </c>
      <c r="I171" s="140" t="s">
        <v>750</v>
      </c>
      <c r="J171" s="132"/>
      <c r="K171" s="11" t="s">
        <v>774</v>
      </c>
      <c r="L171" s="96">
        <v>43862</v>
      </c>
      <c r="M171" s="96" t="str" cm="1">
        <f t="array" ref="M171">_xlfn.XLOOKUP(B171&amp;"", 'Registro EMO'!$C$13:$C$4248&amp;"", 'Registro EMO'!$F$13:$F$4248, "Sin registro", 0, -1)</f>
        <v>Sin registro</v>
      </c>
      <c r="N171" s="11" t="str" cm="1">
        <f t="array" ref="N171">_xlfn.XLOOKUP(B171&amp;"", 'Registro EMO'!$C$13:$C$4248&amp;"", 'Registro EMO'!$E$13:$E$4248, "Sin registro", 0, -1)</f>
        <v>Sin registro</v>
      </c>
      <c r="O171" s="11" t="str">
        <f t="shared" si="12"/>
        <v>NO</v>
      </c>
      <c r="P171" s="130" t="str" cm="1">
        <f t="array" ref="P171">_xlfn.LET(
    _xlpm.resultado, _xlfn.XLOOKUP(B171&amp;"", 'Registro EMO'!$C$13:$C$4248&amp;"", 'Registro EMO'!$I$13:$I$4248, "NO", 0, -1),
    IF(_xlpm.resultado=0, "NO", _xlpm.resultado)
)</f>
        <v>NO</v>
      </c>
      <c r="Q171" s="11" t="str">
        <f t="shared" ca="1" si="13"/>
        <v>Pendiente</v>
      </c>
      <c r="R171" s="96"/>
      <c r="S171" s="11"/>
      <c r="T171" s="11" t="str">
        <f t="shared" si="14"/>
        <v/>
      </c>
      <c r="U171" s="11"/>
      <c r="V171" s="11" t="s">
        <v>807</v>
      </c>
      <c r="W171" s="29"/>
      <c r="X171" s="129"/>
      <c r="Y171" s="11"/>
      <c r="Z171" s="11"/>
      <c r="AA171" s="11"/>
      <c r="AB171" s="11"/>
      <c r="AC171" s="11"/>
      <c r="AD171" s="11"/>
      <c r="AE171" s="11"/>
      <c r="AF171" s="11"/>
      <c r="AG171" s="98"/>
      <c r="AH171" s="11"/>
    </row>
    <row r="172" spans="1:34" hidden="1" x14ac:dyDescent="0.3">
      <c r="A172" s="7" t="str">
        <f t="shared" si="10"/>
        <v>TR-1171</v>
      </c>
      <c r="B172" s="11" t="s">
        <v>591</v>
      </c>
      <c r="C172" s="141" t="s">
        <v>592</v>
      </c>
      <c r="D172" s="98">
        <v>34686</v>
      </c>
      <c r="E172" s="111">
        <f t="shared" ca="1" si="11"/>
        <v>31</v>
      </c>
      <c r="F172" s="132" t="s">
        <v>743</v>
      </c>
      <c r="G172" s="11" t="s">
        <v>254</v>
      </c>
      <c r="H172" s="139" t="s">
        <v>746</v>
      </c>
      <c r="I172" s="140" t="s">
        <v>751</v>
      </c>
      <c r="J172" s="132"/>
      <c r="K172" s="11" t="s">
        <v>773</v>
      </c>
      <c r="L172" s="96">
        <v>45727</v>
      </c>
      <c r="M172" s="96" t="str" cm="1">
        <f t="array" ref="M172">_xlfn.XLOOKUP(B172&amp;"", 'Registro EMO'!$C$13:$C$4248&amp;"", 'Registro EMO'!$F$13:$F$4248, "Sin registro", 0, -1)</f>
        <v>15/10/2026</v>
      </c>
      <c r="N172" s="11" t="str" cm="1">
        <f t="array" ref="N172">_xlfn.XLOOKUP(B172&amp;"", 'Registro EMO'!$C$13:$C$4248&amp;"", 'Registro EMO'!$E$13:$E$4248, "Sin registro", 0, -1)</f>
        <v>Pre-Ocupacional</v>
      </c>
      <c r="O172" s="11" t="str">
        <f t="shared" si="12"/>
        <v>SI</v>
      </c>
      <c r="P172" s="150" cm="1">
        <f t="array" ref="P172">_xlfn.LET(
    _xlpm.resultado, _xlfn.XLOOKUP(B172&amp;"", 'Registro EMO'!$C$13:$C$4248&amp;"", 'Registro EMO'!$I$13:$I$4248, "NO", 0, -1),
    IF(_xlpm.resultado=0, "NO", _xlpm.resultado)
)</f>
        <v>45960</v>
      </c>
      <c r="Q172" s="11" t="str">
        <f t="shared" ca="1" si="13"/>
        <v>Vigente</v>
      </c>
      <c r="R172" s="96"/>
      <c r="S172" s="11"/>
      <c r="T172" s="11" t="str">
        <f t="shared" si="14"/>
        <v/>
      </c>
      <c r="U172" s="11"/>
      <c r="V172" s="11" t="s">
        <v>796</v>
      </c>
      <c r="W172" s="29"/>
      <c r="X172" s="129"/>
      <c r="Y172" s="11"/>
      <c r="Z172" s="11"/>
      <c r="AA172" s="11"/>
      <c r="AB172" s="11"/>
      <c r="AC172" s="11"/>
      <c r="AD172" s="11"/>
      <c r="AE172" s="11"/>
      <c r="AF172" s="11"/>
      <c r="AG172" s="98"/>
      <c r="AH172" s="11" t="s">
        <v>32</v>
      </c>
    </row>
    <row r="173" spans="1:34" hidden="1" x14ac:dyDescent="0.3">
      <c r="A173" s="7" t="str">
        <f t="shared" si="10"/>
        <v>TR-1172</v>
      </c>
      <c r="B173" s="11" t="s">
        <v>593</v>
      </c>
      <c r="C173" s="141" t="s">
        <v>594</v>
      </c>
      <c r="D173" s="98">
        <v>30179</v>
      </c>
      <c r="E173" s="111">
        <f t="shared" ca="1" si="11"/>
        <v>43</v>
      </c>
      <c r="F173" s="132" t="s">
        <v>743</v>
      </c>
      <c r="G173" s="11" t="s">
        <v>254</v>
      </c>
      <c r="H173" s="139" t="s">
        <v>746</v>
      </c>
      <c r="I173" s="140" t="s">
        <v>751</v>
      </c>
      <c r="J173" s="132"/>
      <c r="K173" s="11" t="s">
        <v>773</v>
      </c>
      <c r="L173" s="96">
        <v>45689</v>
      </c>
      <c r="M173" s="96" t="str" cm="1">
        <f t="array" ref="M173">_xlfn.XLOOKUP(B173&amp;"", 'Registro EMO'!$C$13:$C$4248&amp;"", 'Registro EMO'!$F$13:$F$4248, "Sin registro", 0, -1)</f>
        <v>13/09/2026</v>
      </c>
      <c r="N173" s="11" t="str" cm="1">
        <f t="array" ref="N173">_xlfn.XLOOKUP(B173&amp;"", 'Registro EMO'!$C$13:$C$4248&amp;"", 'Registro EMO'!$E$13:$E$4248, "Sin registro", 0, -1)</f>
        <v>Pre-Ocupacional</v>
      </c>
      <c r="O173" s="11" t="str">
        <f t="shared" si="12"/>
        <v>SI</v>
      </c>
      <c r="P173" s="150" cm="1">
        <f t="array" ref="P173">_xlfn.LET(
    _xlpm.resultado, _xlfn.XLOOKUP(B173&amp;"", 'Registro EMO'!$C$13:$C$4248&amp;"", 'Registro EMO'!$I$13:$I$4248, "NO", 0, -1),
    IF(_xlpm.resultado=0, "NO", _xlpm.resultado)
)</f>
        <v>45930</v>
      </c>
      <c r="Q173" s="11" t="str">
        <f t="shared" ca="1" si="13"/>
        <v>Vigente</v>
      </c>
      <c r="R173" s="96"/>
      <c r="S173" s="11"/>
      <c r="T173" s="11" t="str">
        <f t="shared" si="14"/>
        <v/>
      </c>
      <c r="U173" s="11"/>
      <c r="V173" s="11" t="s">
        <v>807</v>
      </c>
      <c r="W173" s="29"/>
      <c r="X173" s="129"/>
      <c r="Y173" s="11"/>
      <c r="Z173" s="11"/>
      <c r="AA173" s="11"/>
      <c r="AB173" s="11"/>
      <c r="AC173" s="11"/>
      <c r="AD173" s="11"/>
      <c r="AE173" s="11"/>
      <c r="AF173" s="11"/>
      <c r="AG173" s="98"/>
      <c r="AH173" s="11" t="s">
        <v>32</v>
      </c>
    </row>
    <row r="174" spans="1:34" hidden="1" x14ac:dyDescent="0.3">
      <c r="A174" s="7" t="str">
        <f t="shared" si="10"/>
        <v>TR-1173</v>
      </c>
      <c r="B174" s="11" t="s">
        <v>595</v>
      </c>
      <c r="C174" s="141" t="s">
        <v>596</v>
      </c>
      <c r="D174" s="98">
        <v>35800</v>
      </c>
      <c r="E174" s="111">
        <f t="shared" ca="1" si="11"/>
        <v>28</v>
      </c>
      <c r="F174" s="132" t="s">
        <v>743</v>
      </c>
      <c r="G174" s="11" t="s">
        <v>254</v>
      </c>
      <c r="H174" s="139" t="s">
        <v>744</v>
      </c>
      <c r="I174" s="140" t="s">
        <v>748</v>
      </c>
      <c r="J174" s="132"/>
      <c r="K174" s="11" t="s">
        <v>773</v>
      </c>
      <c r="L174" s="96">
        <v>45413</v>
      </c>
      <c r="M174" s="96" t="str" cm="1">
        <f t="array" ref="M174">_xlfn.XLOOKUP(B174&amp;"", 'Registro EMO'!$C$13:$C$4248&amp;"", 'Registro EMO'!$F$13:$F$4248, "Sin registro", 0, -1)</f>
        <v>Sin registro</v>
      </c>
      <c r="N174" s="11" t="str" cm="1">
        <f t="array" ref="N174">_xlfn.XLOOKUP(B174&amp;"", 'Registro EMO'!$C$13:$C$4248&amp;"", 'Registro EMO'!$E$13:$E$4248, "Sin registro", 0, -1)</f>
        <v>Sin registro</v>
      </c>
      <c r="O174" s="11" t="str">
        <f t="shared" si="12"/>
        <v>NO</v>
      </c>
      <c r="P174" s="130" t="str" cm="1">
        <f t="array" ref="P174">_xlfn.LET(
    _xlpm.resultado, _xlfn.XLOOKUP(B174&amp;"", 'Registro EMO'!$C$13:$C$4248&amp;"", 'Registro EMO'!$I$13:$I$4248, "NO", 0, -1),
    IF(_xlpm.resultado=0, "NO", _xlpm.resultado)
)</f>
        <v>NO</v>
      </c>
      <c r="Q174" s="11" t="str">
        <f t="shared" ca="1" si="13"/>
        <v>Pendiente</v>
      </c>
      <c r="R174" s="96"/>
      <c r="S174" s="11"/>
      <c r="T174" s="11" t="str">
        <f t="shared" si="14"/>
        <v/>
      </c>
      <c r="U174" s="11"/>
      <c r="V174" s="11"/>
      <c r="W174" s="29"/>
      <c r="X174" s="129"/>
      <c r="Y174" s="11"/>
      <c r="Z174" s="11"/>
      <c r="AA174" s="11"/>
      <c r="AB174" s="11"/>
      <c r="AC174" s="11"/>
      <c r="AD174" s="11"/>
      <c r="AE174" s="11"/>
      <c r="AF174" s="11"/>
      <c r="AG174" s="98"/>
      <c r="AH174" s="11"/>
    </row>
    <row r="175" spans="1:34" hidden="1" x14ac:dyDescent="0.3">
      <c r="A175" s="7" t="str">
        <f t="shared" si="10"/>
        <v>TR-1174</v>
      </c>
      <c r="B175" s="11" t="s">
        <v>597</v>
      </c>
      <c r="C175" s="141" t="s">
        <v>598</v>
      </c>
      <c r="D175" s="98">
        <v>38689</v>
      </c>
      <c r="E175" s="111">
        <f t="shared" ca="1" si="11"/>
        <v>20</v>
      </c>
      <c r="F175" s="132" t="s">
        <v>743</v>
      </c>
      <c r="G175" s="11" t="s">
        <v>254</v>
      </c>
      <c r="H175" s="139" t="s">
        <v>744</v>
      </c>
      <c r="I175" s="140" t="s">
        <v>748</v>
      </c>
      <c r="J175" s="132"/>
      <c r="K175" s="11" t="s">
        <v>773</v>
      </c>
      <c r="L175" s="96">
        <v>44652</v>
      </c>
      <c r="M175" s="96" t="str" cm="1">
        <f t="array" ref="M175">_xlfn.XLOOKUP(B175&amp;"", 'Registro EMO'!$C$13:$C$4248&amp;"", 'Registro EMO'!$F$13:$F$4248, "Sin registro", 0, -1)</f>
        <v>Sin registro</v>
      </c>
      <c r="N175" s="11" t="str" cm="1">
        <f t="array" ref="N175">_xlfn.XLOOKUP(B175&amp;"", 'Registro EMO'!$C$13:$C$4248&amp;"", 'Registro EMO'!$E$13:$E$4248, "Sin registro", 0, -1)</f>
        <v>Sin registro</v>
      </c>
      <c r="O175" s="11" t="str">
        <f t="shared" si="12"/>
        <v>NO</v>
      </c>
      <c r="P175" s="130" t="str" cm="1">
        <f t="array" ref="P175">_xlfn.LET(
    _xlpm.resultado, _xlfn.XLOOKUP(B175&amp;"", 'Registro EMO'!$C$13:$C$4248&amp;"", 'Registro EMO'!$I$13:$I$4248, "NO", 0, -1),
    IF(_xlpm.resultado=0, "NO", _xlpm.resultado)
)</f>
        <v>NO</v>
      </c>
      <c r="Q175" s="11" t="str">
        <f t="shared" ca="1" si="13"/>
        <v>Pendiente</v>
      </c>
      <c r="R175" s="96"/>
      <c r="S175" s="11"/>
      <c r="T175" s="11" t="str">
        <f t="shared" si="14"/>
        <v/>
      </c>
      <c r="U175" s="11"/>
      <c r="V175" s="11"/>
      <c r="W175" s="29"/>
      <c r="X175" s="129"/>
      <c r="Y175" s="11"/>
      <c r="Z175" s="11"/>
      <c r="AA175" s="11"/>
      <c r="AB175" s="11"/>
      <c r="AC175" s="11"/>
      <c r="AD175" s="11"/>
      <c r="AE175" s="11"/>
      <c r="AF175" s="11"/>
      <c r="AG175" s="98"/>
      <c r="AH175" s="11"/>
    </row>
    <row r="176" spans="1:34" hidden="1" x14ac:dyDescent="0.3">
      <c r="A176" s="7" t="str">
        <f t="shared" si="10"/>
        <v>TR-1175</v>
      </c>
      <c r="B176" s="11" t="s">
        <v>599</v>
      </c>
      <c r="C176" s="141" t="s">
        <v>600</v>
      </c>
      <c r="D176" s="98">
        <v>38188</v>
      </c>
      <c r="E176" s="111">
        <f t="shared" ca="1" si="11"/>
        <v>21</v>
      </c>
      <c r="F176" s="132" t="s">
        <v>743</v>
      </c>
      <c r="G176" s="11" t="s">
        <v>254</v>
      </c>
      <c r="H176" s="139" t="s">
        <v>746</v>
      </c>
      <c r="I176" s="140" t="s">
        <v>747</v>
      </c>
      <c r="J176" s="132"/>
      <c r="K176" s="11" t="s">
        <v>773</v>
      </c>
      <c r="L176" s="96">
        <v>45967</v>
      </c>
      <c r="M176" s="96" t="str" cm="1">
        <f t="array" ref="M176">_xlfn.XLOOKUP(B176&amp;"", 'Registro EMO'!$C$13:$C$4248&amp;"", 'Registro EMO'!$F$13:$F$4248, "Sin registro", 0, -1)</f>
        <v>Sin registro</v>
      </c>
      <c r="N176" s="11" t="str" cm="1">
        <f t="array" ref="N176">_xlfn.XLOOKUP(B176&amp;"", 'Registro EMO'!$C$13:$C$4248&amp;"", 'Registro EMO'!$E$13:$E$4248, "Sin registro", 0, -1)</f>
        <v>Sin registro</v>
      </c>
      <c r="O176" s="11" t="str">
        <f t="shared" si="12"/>
        <v>NO</v>
      </c>
      <c r="P176" s="130" t="str" cm="1">
        <f t="array" ref="P176">_xlfn.LET(
    _xlpm.resultado, _xlfn.XLOOKUP(B176&amp;"", 'Registro EMO'!$C$13:$C$4248&amp;"", 'Registro EMO'!$I$13:$I$4248, "NO", 0, -1),
    IF(_xlpm.resultado=0, "NO", _xlpm.resultado)
)</f>
        <v>NO</v>
      </c>
      <c r="Q176" s="11" t="str">
        <f t="shared" ca="1" si="13"/>
        <v>Pendiente</v>
      </c>
      <c r="R176" s="96"/>
      <c r="S176" s="11"/>
      <c r="T176" s="11" t="str">
        <f t="shared" si="14"/>
        <v/>
      </c>
      <c r="U176" s="11"/>
      <c r="V176" s="11"/>
      <c r="W176" s="29"/>
      <c r="X176" s="129"/>
      <c r="Y176" s="11"/>
      <c r="Z176" s="11"/>
      <c r="AA176" s="11"/>
      <c r="AB176" s="11"/>
      <c r="AC176" s="11"/>
      <c r="AD176" s="11"/>
      <c r="AE176" s="11"/>
      <c r="AF176" s="11"/>
      <c r="AG176" s="98"/>
      <c r="AH176" s="11"/>
    </row>
    <row r="177" spans="1:34" ht="28.8" hidden="1" x14ac:dyDescent="0.3">
      <c r="A177" s="7" t="str">
        <f t="shared" si="10"/>
        <v>TR-1176</v>
      </c>
      <c r="B177" s="11" t="s">
        <v>601</v>
      </c>
      <c r="C177" s="141" t="s">
        <v>602</v>
      </c>
      <c r="D177" s="98">
        <v>28440</v>
      </c>
      <c r="E177" s="111">
        <f t="shared" ca="1" si="11"/>
        <v>48</v>
      </c>
      <c r="F177" s="132" t="s">
        <v>743</v>
      </c>
      <c r="G177" s="11" t="s">
        <v>254</v>
      </c>
      <c r="H177" s="139" t="s">
        <v>744</v>
      </c>
      <c r="I177" s="140" t="s">
        <v>748</v>
      </c>
      <c r="J177" s="132"/>
      <c r="K177" s="11" t="s">
        <v>773</v>
      </c>
      <c r="L177" s="96">
        <v>45983</v>
      </c>
      <c r="M177" s="96" t="str" cm="1">
        <f t="array" ref="M177">_xlfn.XLOOKUP(B177&amp;"", 'Registro EMO'!$C$13:$C$4248&amp;"", 'Registro EMO'!$F$13:$F$4248, "Sin registro", 0, -1)</f>
        <v>19/09/2026</v>
      </c>
      <c r="N177" s="11" t="str" cm="1">
        <f t="array" ref="N177">_xlfn.XLOOKUP(B177&amp;"", 'Registro EMO'!$C$13:$C$4248&amp;"", 'Registro EMO'!$E$13:$E$4248, "Sin registro", 0, -1)</f>
        <v>Pre-Ocupacional</v>
      </c>
      <c r="O177" s="11" t="str">
        <f t="shared" si="12"/>
        <v>SI</v>
      </c>
      <c r="P177" s="150" cm="1">
        <f t="array" ref="P177">_xlfn.LET(
    _xlpm.resultado, _xlfn.XLOOKUP(B177&amp;"", 'Registro EMO'!$C$13:$C$4248&amp;"", 'Registro EMO'!$I$13:$I$4248, "NO", 0, -1),
    IF(_xlpm.resultado=0, "NO", _xlpm.resultado)
)</f>
        <v>45229</v>
      </c>
      <c r="Q177" s="11" t="str">
        <f t="shared" ca="1" si="13"/>
        <v>Vigente</v>
      </c>
      <c r="R177" s="96"/>
      <c r="S177" s="11"/>
      <c r="T177" s="11" t="str">
        <f t="shared" si="14"/>
        <v/>
      </c>
      <c r="U177" s="11"/>
      <c r="V177" s="11" t="s">
        <v>796</v>
      </c>
      <c r="W177" s="29" t="s">
        <v>802</v>
      </c>
      <c r="X177" s="129"/>
      <c r="Y177" s="11"/>
      <c r="Z177" s="11"/>
      <c r="AA177" s="11"/>
      <c r="AB177" s="11"/>
      <c r="AC177" s="11"/>
      <c r="AD177" s="11"/>
      <c r="AE177" s="11"/>
      <c r="AF177" s="11"/>
      <c r="AG177" s="98"/>
      <c r="AH177" s="11" t="s">
        <v>32</v>
      </c>
    </row>
    <row r="178" spans="1:34" hidden="1" x14ac:dyDescent="0.3">
      <c r="A178" s="7" t="str">
        <f t="shared" si="10"/>
        <v>TR-1177</v>
      </c>
      <c r="B178" s="11" t="s">
        <v>603</v>
      </c>
      <c r="C178" s="141" t="s">
        <v>604</v>
      </c>
      <c r="D178" s="98">
        <v>36787</v>
      </c>
      <c r="E178" s="111">
        <f t="shared" ca="1" si="11"/>
        <v>25</v>
      </c>
      <c r="F178" s="132" t="s">
        <v>743</v>
      </c>
      <c r="G178" s="11" t="s">
        <v>254</v>
      </c>
      <c r="H178" s="139" t="s">
        <v>746</v>
      </c>
      <c r="I178" s="140" t="s">
        <v>747</v>
      </c>
      <c r="J178" s="132"/>
      <c r="K178" s="11" t="s">
        <v>773</v>
      </c>
      <c r="L178" s="96">
        <v>45323</v>
      </c>
      <c r="M178" s="96" t="str" cm="1">
        <f t="array" ref="M178">_xlfn.XLOOKUP(B178&amp;"", 'Registro EMO'!$C$13:$C$4248&amp;"", 'Registro EMO'!$F$13:$F$4248, "Sin registro", 0, -1)</f>
        <v>Sin registro</v>
      </c>
      <c r="N178" s="11" t="str" cm="1">
        <f t="array" ref="N178">_xlfn.XLOOKUP(B178&amp;"", 'Registro EMO'!$C$13:$C$4248&amp;"", 'Registro EMO'!$E$13:$E$4248, "Sin registro", 0, -1)</f>
        <v>Sin registro</v>
      </c>
      <c r="O178" s="11" t="str">
        <f t="shared" si="12"/>
        <v>NO</v>
      </c>
      <c r="P178" s="130" t="str" cm="1">
        <f t="array" ref="P178">_xlfn.LET(
    _xlpm.resultado, _xlfn.XLOOKUP(B178&amp;"", 'Registro EMO'!$C$13:$C$4248&amp;"", 'Registro EMO'!$I$13:$I$4248, "NO", 0, -1),
    IF(_xlpm.resultado=0, "NO", _xlpm.resultado)
)</f>
        <v>NO</v>
      </c>
      <c r="Q178" s="11" t="str">
        <f t="shared" ca="1" si="13"/>
        <v>Pendiente</v>
      </c>
      <c r="R178" s="96"/>
      <c r="S178" s="11"/>
      <c r="T178" s="11" t="str">
        <f t="shared" si="14"/>
        <v/>
      </c>
      <c r="U178" s="11"/>
      <c r="V178" s="11"/>
      <c r="W178" s="29"/>
      <c r="X178" s="129"/>
      <c r="Y178" s="11"/>
      <c r="Z178" s="11"/>
      <c r="AA178" s="11"/>
      <c r="AB178" s="11"/>
      <c r="AC178" s="11"/>
      <c r="AD178" s="11"/>
      <c r="AE178" s="11"/>
      <c r="AF178" s="11"/>
      <c r="AG178" s="98"/>
      <c r="AH178" s="11"/>
    </row>
    <row r="179" spans="1:34" hidden="1" x14ac:dyDescent="0.3">
      <c r="A179" s="7" t="str">
        <f t="shared" si="10"/>
        <v>TR-1178</v>
      </c>
      <c r="B179" s="11" t="s">
        <v>605</v>
      </c>
      <c r="C179" s="141" t="s">
        <v>606</v>
      </c>
      <c r="D179" s="98">
        <v>36965</v>
      </c>
      <c r="E179" s="111">
        <f t="shared" ca="1" si="11"/>
        <v>24</v>
      </c>
      <c r="F179" s="132" t="s">
        <v>762</v>
      </c>
      <c r="G179" s="11" t="s">
        <v>254</v>
      </c>
      <c r="H179" s="139" t="s">
        <v>763</v>
      </c>
      <c r="I179" s="140" t="s">
        <v>764</v>
      </c>
      <c r="J179" s="132"/>
      <c r="K179" s="11" t="s">
        <v>773</v>
      </c>
      <c r="L179" s="96">
        <v>45261</v>
      </c>
      <c r="M179" s="96" t="str" cm="1">
        <f t="array" ref="M179">_xlfn.XLOOKUP(B179&amp;"", 'Registro EMO'!$C$13:$C$4248&amp;"", 'Registro EMO'!$F$13:$F$4248, "Sin registro", 0, -1)</f>
        <v>16/10/2026</v>
      </c>
      <c r="N179" s="11" t="str" cm="1">
        <f t="array" ref="N179">_xlfn.XLOOKUP(B179&amp;"", 'Registro EMO'!$C$13:$C$4248&amp;"", 'Registro EMO'!$E$13:$E$4248, "Sin registro", 0, -1)</f>
        <v>Pre-Ocupacional</v>
      </c>
      <c r="O179" s="11" t="str">
        <f t="shared" si="12"/>
        <v>SI</v>
      </c>
      <c r="P179" s="150" cm="1">
        <f t="array" ref="P179">_xlfn.LET(
    _xlpm.resultado, _xlfn.XLOOKUP(B179&amp;"", 'Registro EMO'!$C$13:$C$4248&amp;"", 'Registro EMO'!$I$13:$I$4248, "NO", 0, -1),
    IF(_xlpm.resultado=0, "NO", _xlpm.resultado)
)</f>
        <v>45961</v>
      </c>
      <c r="Q179" s="11" t="str">
        <f t="shared" ca="1" si="13"/>
        <v>Vigente</v>
      </c>
      <c r="R179" s="96"/>
      <c r="S179" s="11"/>
      <c r="T179" s="11" t="str">
        <f t="shared" si="14"/>
        <v/>
      </c>
      <c r="U179" s="11"/>
      <c r="V179" s="11" t="s">
        <v>796</v>
      </c>
      <c r="W179" s="29" t="s">
        <v>786</v>
      </c>
      <c r="X179" s="129"/>
      <c r="Y179" s="11"/>
      <c r="Z179" s="11"/>
      <c r="AA179" s="11"/>
      <c r="AB179" s="11"/>
      <c r="AC179" s="11"/>
      <c r="AD179" s="11"/>
      <c r="AE179" s="11"/>
      <c r="AF179" s="11"/>
      <c r="AG179" s="98"/>
      <c r="AH179" s="11" t="s">
        <v>32</v>
      </c>
    </row>
    <row r="180" spans="1:34" ht="43.2" hidden="1" x14ac:dyDescent="0.3">
      <c r="A180" s="7" t="str">
        <f t="shared" si="10"/>
        <v>TR-1179</v>
      </c>
      <c r="B180" s="11" t="s">
        <v>607</v>
      </c>
      <c r="C180" s="141" t="s">
        <v>608</v>
      </c>
      <c r="D180" s="98">
        <v>24952</v>
      </c>
      <c r="E180" s="111">
        <f t="shared" ca="1" si="11"/>
        <v>57</v>
      </c>
      <c r="F180" s="132" t="s">
        <v>743</v>
      </c>
      <c r="G180" s="11" t="s">
        <v>254</v>
      </c>
      <c r="H180" s="139" t="s">
        <v>746</v>
      </c>
      <c r="I180" s="140" t="s">
        <v>751</v>
      </c>
      <c r="J180" s="132"/>
      <c r="K180" s="11" t="s">
        <v>773</v>
      </c>
      <c r="L180" s="96">
        <v>45689</v>
      </c>
      <c r="M180" s="96" t="str" cm="1">
        <f t="array" ref="M180">_xlfn.XLOOKUP(B180&amp;"", 'Registro EMO'!$C$13:$C$4248&amp;"", 'Registro EMO'!$F$13:$F$4248, "Sin registro", 0, -1)</f>
        <v>30/12/2026</v>
      </c>
      <c r="N180" s="11" t="str" cm="1">
        <f t="array" ref="N180">_xlfn.XLOOKUP(B180&amp;"", 'Registro EMO'!$C$13:$C$4248&amp;"", 'Registro EMO'!$E$13:$E$4248, "Sin registro", 0, -1)</f>
        <v>Pre-Ocupacional</v>
      </c>
      <c r="O180" s="11" t="str">
        <f t="shared" si="12"/>
        <v>NO</v>
      </c>
      <c r="P180" s="130" t="str" cm="1">
        <f t="array" ref="P180">_xlfn.LET(
    _xlpm.resultado, _xlfn.XLOOKUP(B180&amp;"", 'Registro EMO'!$C$13:$C$4248&amp;"", 'Registro EMO'!$I$13:$I$4248, "NO", 0, -1),
    IF(_xlpm.resultado=0, "NO", _xlpm.resultado)
)</f>
        <v>NO</v>
      </c>
      <c r="Q180" s="11" t="str">
        <f t="shared" ca="1" si="13"/>
        <v>Vigente</v>
      </c>
      <c r="R180" s="96"/>
      <c r="S180" s="11"/>
      <c r="T180" s="11" t="str">
        <f t="shared" si="14"/>
        <v/>
      </c>
      <c r="U180" s="11"/>
      <c r="V180" s="11" t="s">
        <v>796</v>
      </c>
      <c r="W180" s="29" t="s">
        <v>803</v>
      </c>
      <c r="X180" s="129"/>
      <c r="Y180" s="11"/>
      <c r="Z180" s="11"/>
      <c r="AA180" s="11"/>
      <c r="AB180" s="11"/>
      <c r="AC180" s="11"/>
      <c r="AD180" s="11"/>
      <c r="AE180" s="11"/>
      <c r="AF180" s="11"/>
      <c r="AG180" s="98"/>
      <c r="AH180" s="11" t="s">
        <v>32</v>
      </c>
    </row>
    <row r="181" spans="1:34" hidden="1" x14ac:dyDescent="0.3">
      <c r="A181" s="7" t="str">
        <f t="shared" si="10"/>
        <v>TR-1180</v>
      </c>
      <c r="B181" s="11" t="s">
        <v>609</v>
      </c>
      <c r="C181" s="141" t="s">
        <v>610</v>
      </c>
      <c r="D181" s="98">
        <v>35189</v>
      </c>
      <c r="E181" s="111">
        <f t="shared" ca="1" si="11"/>
        <v>29</v>
      </c>
      <c r="F181" s="132" t="s">
        <v>743</v>
      </c>
      <c r="G181" s="11" t="s">
        <v>254</v>
      </c>
      <c r="H181" s="139" t="s">
        <v>746</v>
      </c>
      <c r="I181" s="140" t="s">
        <v>747</v>
      </c>
      <c r="J181" s="132"/>
      <c r="K181" s="11" t="s">
        <v>773</v>
      </c>
      <c r="L181" s="96">
        <v>45689</v>
      </c>
      <c r="M181" s="96" t="str" cm="1">
        <f t="array" ref="M181">_xlfn.XLOOKUP(B181&amp;"", 'Registro EMO'!$C$13:$C$4248&amp;"", 'Registro EMO'!$F$13:$F$4248, "Sin registro", 0, -1)</f>
        <v>Sin registro</v>
      </c>
      <c r="N181" s="11" t="str" cm="1">
        <f t="array" ref="N181">_xlfn.XLOOKUP(B181&amp;"", 'Registro EMO'!$C$13:$C$4248&amp;"", 'Registro EMO'!$E$13:$E$4248, "Sin registro", 0, -1)</f>
        <v>Sin registro</v>
      </c>
      <c r="O181" s="11" t="str">
        <f t="shared" si="12"/>
        <v>NO</v>
      </c>
      <c r="P181" s="130" t="str" cm="1">
        <f t="array" ref="P181">_xlfn.LET(
    _xlpm.resultado, _xlfn.XLOOKUP(B181&amp;"", 'Registro EMO'!$C$13:$C$4248&amp;"", 'Registro EMO'!$I$13:$I$4248, "NO", 0, -1),
    IF(_xlpm.resultado=0, "NO", _xlpm.resultado)
)</f>
        <v>NO</v>
      </c>
      <c r="Q181" s="11" t="str">
        <f t="shared" ca="1" si="13"/>
        <v>Pendiente</v>
      </c>
      <c r="R181" s="96"/>
      <c r="S181" s="11"/>
      <c r="T181" s="11" t="str">
        <f t="shared" si="14"/>
        <v/>
      </c>
      <c r="U181" s="11"/>
      <c r="V181" s="11"/>
      <c r="W181" s="29"/>
      <c r="X181" s="129"/>
      <c r="Y181" s="11"/>
      <c r="Z181" s="11"/>
      <c r="AA181" s="11"/>
      <c r="AB181" s="11"/>
      <c r="AC181" s="11"/>
      <c r="AD181" s="11"/>
      <c r="AE181" s="11"/>
      <c r="AF181" s="11"/>
      <c r="AG181" s="98"/>
      <c r="AH181" s="11"/>
    </row>
    <row r="182" spans="1:34" hidden="1" x14ac:dyDescent="0.3">
      <c r="A182" s="7" t="str">
        <f t="shared" si="10"/>
        <v>TR-1181</v>
      </c>
      <c r="B182" s="11" t="s">
        <v>611</v>
      </c>
      <c r="C182" s="141" t="s">
        <v>612</v>
      </c>
      <c r="D182" s="98">
        <v>37500</v>
      </c>
      <c r="E182" s="111">
        <f t="shared" ca="1" si="11"/>
        <v>23</v>
      </c>
      <c r="F182" s="132" t="s">
        <v>743</v>
      </c>
      <c r="G182" s="11" t="s">
        <v>254</v>
      </c>
      <c r="H182" s="139" t="s">
        <v>746</v>
      </c>
      <c r="I182" s="140" t="s">
        <v>747</v>
      </c>
      <c r="J182" s="132"/>
      <c r="K182" s="11" t="s">
        <v>773</v>
      </c>
      <c r="L182" s="96">
        <v>44440</v>
      </c>
      <c r="M182" s="96" t="str" cm="1">
        <f t="array" ref="M182">_xlfn.XLOOKUP(B182&amp;"", 'Registro EMO'!$C$13:$C$4248&amp;"", 'Registro EMO'!$F$13:$F$4248, "Sin registro", 0, -1)</f>
        <v>22/09/2026</v>
      </c>
      <c r="N182" s="11" t="str" cm="1">
        <f t="array" ref="N182">_xlfn.XLOOKUP(B182&amp;"", 'Registro EMO'!$C$13:$C$4248&amp;"", 'Registro EMO'!$E$13:$E$4248, "Sin registro", 0, -1)</f>
        <v>Pre-Ocupacional</v>
      </c>
      <c r="O182" s="11" t="str">
        <f t="shared" si="12"/>
        <v>SI</v>
      </c>
      <c r="P182" s="150" cm="1">
        <f t="array" ref="P182">_xlfn.LET(
    _xlpm.resultado, _xlfn.XLOOKUP(B182&amp;"", 'Registro EMO'!$C$13:$C$4248&amp;"", 'Registro EMO'!$I$13:$I$4248, "NO", 0, -1),
    IF(_xlpm.resultado=0, "NO", _xlpm.resultado)
)</f>
        <v>45199</v>
      </c>
      <c r="Q182" s="11" t="str">
        <f t="shared" ca="1" si="13"/>
        <v>Vigente</v>
      </c>
      <c r="R182" s="96"/>
      <c r="S182" s="11"/>
      <c r="T182" s="11" t="str">
        <f t="shared" si="14"/>
        <v/>
      </c>
      <c r="U182" s="11"/>
      <c r="V182" s="11" t="s">
        <v>796</v>
      </c>
      <c r="W182" s="29" t="s">
        <v>778</v>
      </c>
      <c r="X182" s="129"/>
      <c r="Y182" s="11"/>
      <c r="Z182" s="11"/>
      <c r="AA182" s="11"/>
      <c r="AB182" s="11"/>
      <c r="AC182" s="11"/>
      <c r="AD182" s="11"/>
      <c r="AE182" s="11"/>
      <c r="AF182" s="11"/>
      <c r="AG182" s="98"/>
      <c r="AH182" s="11" t="s">
        <v>32</v>
      </c>
    </row>
    <row r="183" spans="1:34" hidden="1" x14ac:dyDescent="0.3">
      <c r="A183" s="7" t="str">
        <f t="shared" si="10"/>
        <v>TR-1182</v>
      </c>
      <c r="B183" s="11" t="s">
        <v>613</v>
      </c>
      <c r="C183" s="141" t="s">
        <v>614</v>
      </c>
      <c r="D183" s="98">
        <v>36965</v>
      </c>
      <c r="E183" s="111">
        <f t="shared" ca="1" si="11"/>
        <v>24</v>
      </c>
      <c r="F183" s="132" t="s">
        <v>743</v>
      </c>
      <c r="G183" s="11" t="s">
        <v>254</v>
      </c>
      <c r="H183" s="139" t="s">
        <v>746</v>
      </c>
      <c r="I183" s="140" t="s">
        <v>751</v>
      </c>
      <c r="J183" s="132"/>
      <c r="K183" s="11" t="s">
        <v>773</v>
      </c>
      <c r="L183" s="96">
        <v>45890</v>
      </c>
      <c r="M183" s="96" t="str" cm="1">
        <f t="array" ref="M183">_xlfn.XLOOKUP(B183&amp;"", 'Registro EMO'!$C$13:$C$4248&amp;"", 'Registro EMO'!$F$13:$F$4248, "Sin registro", 0, -1)</f>
        <v>Sin registro</v>
      </c>
      <c r="N183" s="11" t="str" cm="1">
        <f t="array" ref="N183">_xlfn.XLOOKUP(B183&amp;"", 'Registro EMO'!$C$13:$C$4248&amp;"", 'Registro EMO'!$E$13:$E$4248, "Sin registro", 0, -1)</f>
        <v>Sin registro</v>
      </c>
      <c r="O183" s="11" t="str">
        <f t="shared" si="12"/>
        <v>NO</v>
      </c>
      <c r="P183" s="130" t="str" cm="1">
        <f t="array" ref="P183">_xlfn.LET(
    _xlpm.resultado, _xlfn.XLOOKUP(B183&amp;"", 'Registro EMO'!$C$13:$C$4248&amp;"", 'Registro EMO'!$I$13:$I$4248, "NO", 0, -1),
    IF(_xlpm.resultado=0, "NO", _xlpm.resultado)
)</f>
        <v>NO</v>
      </c>
      <c r="Q183" s="11" t="str">
        <f t="shared" ca="1" si="13"/>
        <v>Pendiente</v>
      </c>
      <c r="R183" s="96"/>
      <c r="S183" s="11"/>
      <c r="T183" s="11" t="str">
        <f t="shared" si="14"/>
        <v/>
      </c>
      <c r="U183" s="11"/>
      <c r="V183" s="11"/>
      <c r="W183" s="29"/>
      <c r="X183" s="129"/>
      <c r="Y183" s="11"/>
      <c r="Z183" s="11"/>
      <c r="AA183" s="11"/>
      <c r="AB183" s="11"/>
      <c r="AC183" s="11"/>
      <c r="AD183" s="11"/>
      <c r="AE183" s="11"/>
      <c r="AF183" s="11"/>
      <c r="AG183" s="98"/>
      <c r="AH183" s="11"/>
    </row>
    <row r="184" spans="1:34" hidden="1" x14ac:dyDescent="0.3">
      <c r="A184" s="7" t="str">
        <f t="shared" si="10"/>
        <v>TR-1183</v>
      </c>
      <c r="B184" s="11" t="s">
        <v>615</v>
      </c>
      <c r="C184" s="141" t="s">
        <v>616</v>
      </c>
      <c r="D184" s="98">
        <v>38258</v>
      </c>
      <c r="E184" s="111">
        <f t="shared" ca="1" si="11"/>
        <v>21</v>
      </c>
      <c r="F184" s="132" t="s">
        <v>743</v>
      </c>
      <c r="G184" s="11" t="s">
        <v>254</v>
      </c>
      <c r="H184" s="139" t="s">
        <v>749</v>
      </c>
      <c r="I184" s="140" t="s">
        <v>750</v>
      </c>
      <c r="J184" s="132"/>
      <c r="K184" s="11" t="s">
        <v>773</v>
      </c>
      <c r="L184" s="96">
        <v>40848</v>
      </c>
      <c r="M184" s="96" t="str" cm="1">
        <f t="array" ref="M184">_xlfn.XLOOKUP(B184&amp;"", 'Registro EMO'!$C$13:$C$4248&amp;"", 'Registro EMO'!$F$13:$F$4248, "Sin registro", 0, -1)</f>
        <v>Sin registro</v>
      </c>
      <c r="N184" s="11" t="str" cm="1">
        <f t="array" ref="N184">_xlfn.XLOOKUP(B184&amp;"", 'Registro EMO'!$C$13:$C$4248&amp;"", 'Registro EMO'!$E$13:$E$4248, "Sin registro", 0, -1)</f>
        <v>Sin registro</v>
      </c>
      <c r="O184" s="11" t="str">
        <f t="shared" si="12"/>
        <v>NO</v>
      </c>
      <c r="P184" s="130" t="str" cm="1">
        <f t="array" ref="P184">_xlfn.LET(
    _xlpm.resultado, _xlfn.XLOOKUP(B184&amp;"", 'Registro EMO'!$C$13:$C$4248&amp;"", 'Registro EMO'!$I$13:$I$4248, "NO", 0, -1),
    IF(_xlpm.resultado=0, "NO", _xlpm.resultado)
)</f>
        <v>NO</v>
      </c>
      <c r="Q184" s="11" t="str">
        <f t="shared" ca="1" si="13"/>
        <v>Pendiente</v>
      </c>
      <c r="R184" s="96"/>
      <c r="S184" s="11"/>
      <c r="T184" s="11" t="str">
        <f t="shared" si="14"/>
        <v/>
      </c>
      <c r="U184" s="11"/>
      <c r="V184" s="11"/>
      <c r="W184" s="29"/>
      <c r="X184" s="129"/>
      <c r="Y184" s="11"/>
      <c r="Z184" s="11"/>
      <c r="AA184" s="11"/>
      <c r="AB184" s="11"/>
      <c r="AC184" s="11"/>
      <c r="AD184" s="11"/>
      <c r="AE184" s="11"/>
      <c r="AF184" s="11"/>
      <c r="AG184" s="98"/>
      <c r="AH184" s="11"/>
    </row>
    <row r="185" spans="1:34" hidden="1" x14ac:dyDescent="0.3">
      <c r="A185" s="7" t="str">
        <f t="shared" si="10"/>
        <v>TR-1184</v>
      </c>
      <c r="B185" s="11" t="s">
        <v>617</v>
      </c>
      <c r="C185" s="141" t="s">
        <v>618</v>
      </c>
      <c r="D185" s="98">
        <v>38385</v>
      </c>
      <c r="E185" s="111">
        <f t="shared" ca="1" si="11"/>
        <v>21</v>
      </c>
      <c r="F185" s="132" t="s">
        <v>743</v>
      </c>
      <c r="G185" s="11" t="s">
        <v>254</v>
      </c>
      <c r="H185" s="139" t="s">
        <v>769</v>
      </c>
      <c r="I185" s="140" t="s">
        <v>770</v>
      </c>
      <c r="J185" s="132"/>
      <c r="K185" s="11" t="s">
        <v>773</v>
      </c>
      <c r="L185" s="96">
        <v>45367</v>
      </c>
      <c r="M185" s="96" t="str" cm="1">
        <f t="array" ref="M185">_xlfn.XLOOKUP(B185&amp;"", 'Registro EMO'!$C$13:$C$4248&amp;"", 'Registro EMO'!$F$13:$F$4248, "Sin registro", 0, -1)</f>
        <v>Sin registro</v>
      </c>
      <c r="N185" s="11" t="str" cm="1">
        <f t="array" ref="N185">_xlfn.XLOOKUP(B185&amp;"", 'Registro EMO'!$C$13:$C$4248&amp;"", 'Registro EMO'!$E$13:$E$4248, "Sin registro", 0, -1)</f>
        <v>Sin registro</v>
      </c>
      <c r="O185" s="11" t="str">
        <f t="shared" si="12"/>
        <v>NO</v>
      </c>
      <c r="P185" s="130" t="str" cm="1">
        <f t="array" ref="P185">_xlfn.LET(
    _xlpm.resultado, _xlfn.XLOOKUP(B185&amp;"", 'Registro EMO'!$C$13:$C$4248&amp;"", 'Registro EMO'!$I$13:$I$4248, "NO", 0, -1),
    IF(_xlpm.resultado=0, "NO", _xlpm.resultado)
)</f>
        <v>NO</v>
      </c>
      <c r="Q185" s="11" t="str">
        <f t="shared" ca="1" si="13"/>
        <v>Pendiente</v>
      </c>
      <c r="R185" s="96"/>
      <c r="S185" s="11"/>
      <c r="T185" s="11" t="str">
        <f t="shared" si="14"/>
        <v/>
      </c>
      <c r="U185" s="11"/>
      <c r="V185" s="11"/>
      <c r="W185" s="29"/>
      <c r="X185" s="129"/>
      <c r="Y185" s="11"/>
      <c r="Z185" s="11"/>
      <c r="AA185" s="11"/>
      <c r="AB185" s="11"/>
      <c r="AC185" s="11"/>
      <c r="AD185" s="11"/>
      <c r="AE185" s="11"/>
      <c r="AF185" s="11"/>
      <c r="AG185" s="98"/>
      <c r="AH185" s="11"/>
    </row>
    <row r="186" spans="1:34" ht="72" hidden="1" x14ac:dyDescent="0.3">
      <c r="A186" s="7" t="str">
        <f t="shared" si="10"/>
        <v>TR-1185</v>
      </c>
      <c r="B186" s="11" t="s">
        <v>619</v>
      </c>
      <c r="C186" s="141" t="s">
        <v>620</v>
      </c>
      <c r="D186" s="98">
        <v>33837</v>
      </c>
      <c r="E186" s="111">
        <f t="shared" ca="1" si="11"/>
        <v>33</v>
      </c>
      <c r="F186" s="132" t="s">
        <v>743</v>
      </c>
      <c r="G186" s="11" t="s">
        <v>254</v>
      </c>
      <c r="H186" s="139" t="s">
        <v>746</v>
      </c>
      <c r="I186" s="140" t="s">
        <v>747</v>
      </c>
      <c r="J186" s="132"/>
      <c r="K186" s="11" t="s">
        <v>774</v>
      </c>
      <c r="L186" s="96">
        <v>46029</v>
      </c>
      <c r="M186" s="96" t="str" cm="1">
        <f t="array" ref="M186">_xlfn.XLOOKUP(B186&amp;"", 'Registro EMO'!$C$13:$C$4248&amp;"", 'Registro EMO'!$F$13:$F$4248, "Sin registro", 0, -1)</f>
        <v>17/01/2026</v>
      </c>
      <c r="N186" s="11" t="str" cm="1">
        <f t="array" ref="N186">_xlfn.XLOOKUP(B186&amp;"", 'Registro EMO'!$C$13:$C$4248&amp;"", 'Registro EMO'!$E$13:$E$4248, "Sin registro", 0, -1)</f>
        <v>Pre-Ocupacional</v>
      </c>
      <c r="O186" s="11" t="str">
        <f t="shared" si="12"/>
        <v>SI</v>
      </c>
      <c r="P186" s="150" cm="1">
        <f t="array" ref="P186">_xlfn.LET(
    _xlpm.resultado, _xlfn.XLOOKUP(B186&amp;"", 'Registro EMO'!$C$13:$C$4248&amp;"", 'Registro EMO'!$I$13:$I$4248, "NO", 0, -1),
    IF(_xlpm.resultado=0, "NO", _xlpm.resultado)
)</f>
        <v>45009</v>
      </c>
      <c r="Q186" s="11" t="str">
        <f t="shared" ca="1" si="13"/>
        <v>Vigente</v>
      </c>
      <c r="R186" s="96"/>
      <c r="S186" s="11"/>
      <c r="T186" s="11" t="str">
        <f t="shared" si="14"/>
        <v/>
      </c>
      <c r="U186" s="11"/>
      <c r="V186" s="11" t="s">
        <v>796</v>
      </c>
      <c r="W186" s="29" t="s">
        <v>804</v>
      </c>
      <c r="X186" s="129"/>
      <c r="Y186" s="11"/>
      <c r="Z186" s="11"/>
      <c r="AA186" s="11"/>
      <c r="AB186" s="11"/>
      <c r="AC186" s="11"/>
      <c r="AD186" s="11"/>
      <c r="AE186" s="11"/>
      <c r="AF186" s="11"/>
      <c r="AG186" s="98"/>
      <c r="AH186" s="11" t="s">
        <v>32</v>
      </c>
    </row>
    <row r="187" spans="1:34" hidden="1" x14ac:dyDescent="0.3">
      <c r="A187" s="7" t="str">
        <f t="shared" si="10"/>
        <v>TR-1186</v>
      </c>
      <c r="B187" s="11" t="s">
        <v>621</v>
      </c>
      <c r="C187" s="141" t="s">
        <v>622</v>
      </c>
      <c r="D187" s="98">
        <v>37366</v>
      </c>
      <c r="E187" s="111">
        <f t="shared" ca="1" si="11"/>
        <v>23</v>
      </c>
      <c r="F187" s="132" t="s">
        <v>743</v>
      </c>
      <c r="G187" s="11" t="s">
        <v>254</v>
      </c>
      <c r="H187" s="139" t="s">
        <v>752</v>
      </c>
      <c r="I187" s="140" t="s">
        <v>753</v>
      </c>
      <c r="J187" s="132"/>
      <c r="K187" s="11" t="s">
        <v>773</v>
      </c>
      <c r="L187" s="96">
        <v>45717</v>
      </c>
      <c r="M187" s="96" t="str" cm="1">
        <f t="array" ref="M187">_xlfn.XLOOKUP(B187&amp;"", 'Registro EMO'!$C$13:$C$4248&amp;"", 'Registro EMO'!$F$13:$F$4248, "Sin registro", 0, -1)</f>
        <v>Sin registro</v>
      </c>
      <c r="N187" s="11" t="str" cm="1">
        <f t="array" ref="N187">_xlfn.XLOOKUP(B187&amp;"", 'Registro EMO'!$C$13:$C$4248&amp;"", 'Registro EMO'!$E$13:$E$4248, "Sin registro", 0, -1)</f>
        <v>Sin registro</v>
      </c>
      <c r="O187" s="11" t="str">
        <f t="shared" si="12"/>
        <v>NO</v>
      </c>
      <c r="P187" s="130" t="str" cm="1">
        <f t="array" ref="P187">_xlfn.LET(
    _xlpm.resultado, _xlfn.XLOOKUP(B187&amp;"", 'Registro EMO'!$C$13:$C$4248&amp;"", 'Registro EMO'!$I$13:$I$4248, "NO", 0, -1),
    IF(_xlpm.resultado=0, "NO", _xlpm.resultado)
)</f>
        <v>NO</v>
      </c>
      <c r="Q187" s="11" t="str">
        <f t="shared" ca="1" si="13"/>
        <v>Pendiente</v>
      </c>
      <c r="R187" s="96"/>
      <c r="S187" s="11"/>
      <c r="T187" s="11" t="str">
        <f t="shared" si="14"/>
        <v/>
      </c>
      <c r="U187" s="11"/>
      <c r="V187" s="11"/>
      <c r="W187" s="29"/>
      <c r="X187" s="129"/>
      <c r="Y187" s="11"/>
      <c r="Z187" s="11"/>
      <c r="AA187" s="11"/>
      <c r="AB187" s="11"/>
      <c r="AC187" s="11"/>
      <c r="AD187" s="11"/>
      <c r="AE187" s="11"/>
      <c r="AF187" s="11"/>
      <c r="AG187" s="98"/>
      <c r="AH187" s="11"/>
    </row>
    <row r="188" spans="1:34" ht="43.2" hidden="1" x14ac:dyDescent="0.3">
      <c r="A188" s="7" t="str">
        <f t="shared" si="10"/>
        <v>TR-1187</v>
      </c>
      <c r="B188" s="11" t="s">
        <v>623</v>
      </c>
      <c r="C188" s="141" t="s">
        <v>624</v>
      </c>
      <c r="D188" s="98">
        <v>26585</v>
      </c>
      <c r="E188" s="111">
        <f t="shared" ca="1" si="11"/>
        <v>53</v>
      </c>
      <c r="F188" s="132" t="s">
        <v>743</v>
      </c>
      <c r="G188" s="11" t="s">
        <v>254</v>
      </c>
      <c r="H188" s="139" t="s">
        <v>746</v>
      </c>
      <c r="I188" s="140" t="s">
        <v>747</v>
      </c>
      <c r="J188" s="132"/>
      <c r="K188" s="11" t="s">
        <v>773</v>
      </c>
      <c r="L188" s="96">
        <v>45704</v>
      </c>
      <c r="M188" s="96" t="str" cm="1">
        <f t="array" ref="M188">_xlfn.XLOOKUP(B188&amp;"", 'Registro EMO'!$C$13:$C$4248&amp;"", 'Registro EMO'!$F$13:$F$4248, "Sin registro", 0, -1)</f>
        <v>31/08/2026</v>
      </c>
      <c r="N188" s="11" t="str" cm="1">
        <f t="array" ref="N188">_xlfn.XLOOKUP(B188&amp;"", 'Registro EMO'!$C$13:$C$4248&amp;"", 'Registro EMO'!$E$13:$E$4248, "Sin registro", 0, -1)</f>
        <v>Pre-Ocupacional</v>
      </c>
      <c r="O188" s="11" t="str">
        <f t="shared" si="12"/>
        <v>SI</v>
      </c>
      <c r="P188" s="150" cm="1">
        <f t="array" ref="P188">_xlfn.LET(
    _xlpm.resultado, _xlfn.XLOOKUP(B188&amp;"", 'Registro EMO'!$C$13:$C$4248&amp;"", 'Registro EMO'!$I$13:$I$4248, "NO", 0, -1),
    IF(_xlpm.resultado=0, "NO", _xlpm.resultado)
)</f>
        <v>45535</v>
      </c>
      <c r="Q188" s="11" t="str">
        <f t="shared" ca="1" si="13"/>
        <v>Vigente</v>
      </c>
      <c r="R188" s="96"/>
      <c r="S188" s="11"/>
      <c r="T188" s="11" t="str">
        <f t="shared" si="14"/>
        <v/>
      </c>
      <c r="U188" s="11"/>
      <c r="V188" s="11" t="s">
        <v>796</v>
      </c>
      <c r="W188" s="29" t="s">
        <v>805</v>
      </c>
      <c r="X188" s="129"/>
      <c r="Y188" s="11" t="s">
        <v>1348</v>
      </c>
      <c r="Z188" s="11"/>
      <c r="AA188" s="11"/>
      <c r="AB188" s="11"/>
      <c r="AC188" s="11"/>
      <c r="AD188" s="11"/>
      <c r="AE188" s="11"/>
      <c r="AF188" s="11"/>
      <c r="AG188" s="98"/>
      <c r="AH188" s="11" t="s">
        <v>32</v>
      </c>
    </row>
    <row r="189" spans="1:34" ht="43.2" hidden="1" x14ac:dyDescent="0.3">
      <c r="A189" s="7" t="str">
        <f t="shared" si="10"/>
        <v>TR-1188</v>
      </c>
      <c r="B189" s="11" t="s">
        <v>625</v>
      </c>
      <c r="C189" s="141" t="s">
        <v>626</v>
      </c>
      <c r="D189" s="98">
        <v>31831</v>
      </c>
      <c r="E189" s="111">
        <f t="shared" ca="1" si="11"/>
        <v>39</v>
      </c>
      <c r="F189" s="132" t="s">
        <v>762</v>
      </c>
      <c r="G189" s="11" t="s">
        <v>254</v>
      </c>
      <c r="H189" s="139" t="s">
        <v>752</v>
      </c>
      <c r="I189" s="140" t="s">
        <v>753</v>
      </c>
      <c r="J189" s="132"/>
      <c r="K189" s="11" t="s">
        <v>773</v>
      </c>
      <c r="L189" s="96">
        <v>43009</v>
      </c>
      <c r="M189" s="96" t="str" cm="1">
        <f t="array" ref="M189">_xlfn.XLOOKUP(B189&amp;"", 'Registro EMO'!$C$13:$C$4248&amp;"", 'Registro EMO'!$F$13:$F$4248, "Sin registro", 0, -1)</f>
        <v>27/01/2026</v>
      </c>
      <c r="N189" s="11" t="str" cm="1">
        <f t="array" ref="N189">_xlfn.XLOOKUP(B189&amp;"", 'Registro EMO'!$C$13:$C$4248&amp;"", 'Registro EMO'!$E$13:$E$4248, "Sin registro", 0, -1)</f>
        <v>Pre-Ocupacional</v>
      </c>
      <c r="O189" s="11" t="str">
        <f t="shared" si="12"/>
        <v>SI</v>
      </c>
      <c r="P189" s="150" cm="1">
        <f t="array" ref="P189">_xlfn.LET(
    _xlpm.resultado, _xlfn.XLOOKUP(B189&amp;"", 'Registro EMO'!$C$13:$C$4248&amp;"", 'Registro EMO'!$I$13:$I$4248, "NO", 0, -1),
    IF(_xlpm.resultado=0, "NO", _xlpm.resultado)
)</f>
        <v>44960</v>
      </c>
      <c r="Q189" s="11" t="str">
        <f t="shared" ca="1" si="13"/>
        <v>Vigente</v>
      </c>
      <c r="R189" s="96"/>
      <c r="S189" s="11"/>
      <c r="T189" s="11" t="str">
        <f t="shared" si="14"/>
        <v/>
      </c>
      <c r="U189" s="11"/>
      <c r="V189" s="11" t="s">
        <v>796</v>
      </c>
      <c r="W189" s="29" t="s">
        <v>806</v>
      </c>
      <c r="X189" s="129"/>
      <c r="Y189" s="11"/>
      <c r="Z189" s="11"/>
      <c r="AA189" s="11"/>
      <c r="AB189" s="11"/>
      <c r="AC189" s="11"/>
      <c r="AD189" s="11"/>
      <c r="AE189" s="11"/>
      <c r="AF189" s="11"/>
      <c r="AG189" s="98"/>
      <c r="AH189" s="11" t="s">
        <v>32</v>
      </c>
    </row>
    <row r="190" spans="1:34" hidden="1" x14ac:dyDescent="0.3">
      <c r="A190" s="7" t="str">
        <f t="shared" si="10"/>
        <v>TR-1189</v>
      </c>
      <c r="B190" s="11" t="s">
        <v>627</v>
      </c>
      <c r="C190" s="141" t="s">
        <v>628</v>
      </c>
      <c r="D190" s="98">
        <v>34614</v>
      </c>
      <c r="E190" s="111">
        <f t="shared" ca="1" si="11"/>
        <v>31</v>
      </c>
      <c r="F190" s="132" t="s">
        <v>743</v>
      </c>
      <c r="G190" s="11" t="s">
        <v>254</v>
      </c>
      <c r="H190" s="139" t="s">
        <v>746</v>
      </c>
      <c r="I190" s="140" t="s">
        <v>751</v>
      </c>
      <c r="J190" s="132"/>
      <c r="K190" s="11" t="s">
        <v>773</v>
      </c>
      <c r="L190" s="96">
        <v>45489</v>
      </c>
      <c r="M190" s="96" t="str" cm="1">
        <f t="array" ref="M190">_xlfn.XLOOKUP(B190&amp;"", 'Registro EMO'!$C$13:$C$4248&amp;"", 'Registro EMO'!$F$13:$F$4248, "Sin registro", 0, -1)</f>
        <v>Sin registro</v>
      </c>
      <c r="N190" s="11" t="str" cm="1">
        <f t="array" ref="N190">_xlfn.XLOOKUP(B190&amp;"", 'Registro EMO'!$C$13:$C$4248&amp;"", 'Registro EMO'!$E$13:$E$4248, "Sin registro", 0, -1)</f>
        <v>Sin registro</v>
      </c>
      <c r="O190" s="11" t="str">
        <f t="shared" si="12"/>
        <v>NO</v>
      </c>
      <c r="P190" s="130" t="str" cm="1">
        <f t="array" ref="P190">_xlfn.LET(
    _xlpm.resultado, _xlfn.XLOOKUP(B190&amp;"", 'Registro EMO'!$C$13:$C$4248&amp;"", 'Registro EMO'!$I$13:$I$4248, "NO", 0, -1),
    IF(_xlpm.resultado=0, "NO", _xlpm.resultado)
)</f>
        <v>NO</v>
      </c>
      <c r="Q190" s="11" t="str">
        <f t="shared" ca="1" si="13"/>
        <v>Pendiente</v>
      </c>
      <c r="R190" s="96"/>
      <c r="S190" s="11"/>
      <c r="T190" s="11" t="str">
        <f t="shared" si="14"/>
        <v/>
      </c>
      <c r="U190" s="11"/>
      <c r="V190" s="11"/>
      <c r="W190" s="29"/>
      <c r="X190" s="129"/>
      <c r="Y190" s="11"/>
      <c r="Z190" s="11"/>
      <c r="AA190" s="11"/>
      <c r="AB190" s="11"/>
      <c r="AC190" s="11"/>
      <c r="AD190" s="11"/>
      <c r="AE190" s="11"/>
      <c r="AF190" s="11"/>
      <c r="AG190" s="98"/>
      <c r="AH190" s="11"/>
    </row>
    <row r="191" spans="1:34" hidden="1" x14ac:dyDescent="0.3">
      <c r="A191" s="7" t="str">
        <f t="shared" si="10"/>
        <v>TR-1190</v>
      </c>
      <c r="B191" s="11" t="s">
        <v>629</v>
      </c>
      <c r="C191" s="141" t="s">
        <v>630</v>
      </c>
      <c r="D191" s="98">
        <v>33839</v>
      </c>
      <c r="E191" s="111">
        <f t="shared" ca="1" si="11"/>
        <v>33</v>
      </c>
      <c r="F191" s="132" t="s">
        <v>743</v>
      </c>
      <c r="G191" s="11" t="s">
        <v>254</v>
      </c>
      <c r="H191" s="139" t="s">
        <v>746</v>
      </c>
      <c r="I191" s="140" t="s">
        <v>747</v>
      </c>
      <c r="J191" s="132"/>
      <c r="K191" s="11" t="s">
        <v>773</v>
      </c>
      <c r="L191" s="96">
        <v>44488</v>
      </c>
      <c r="M191" s="96" t="str" cm="1">
        <f t="array" ref="M191">_xlfn.XLOOKUP(B191&amp;"", 'Registro EMO'!$C$13:$C$4248&amp;"", 'Registro EMO'!$F$13:$F$4248, "Sin registro", 0, -1)</f>
        <v>Sin registro</v>
      </c>
      <c r="N191" s="11" t="str" cm="1">
        <f t="array" ref="N191">_xlfn.XLOOKUP(B191&amp;"", 'Registro EMO'!$C$13:$C$4248&amp;"", 'Registro EMO'!$E$13:$E$4248, "Sin registro", 0, -1)</f>
        <v>Sin registro</v>
      </c>
      <c r="O191" s="11" t="str">
        <f t="shared" si="12"/>
        <v>NO</v>
      </c>
      <c r="P191" s="130" t="str" cm="1">
        <f t="array" ref="P191">_xlfn.LET(
    _xlpm.resultado, _xlfn.XLOOKUP(B191&amp;"", 'Registro EMO'!$C$13:$C$4248&amp;"", 'Registro EMO'!$I$13:$I$4248, "NO", 0, -1),
    IF(_xlpm.resultado=0, "NO", _xlpm.resultado)
)</f>
        <v>NO</v>
      </c>
      <c r="Q191" s="11" t="str">
        <f t="shared" ca="1" si="13"/>
        <v>Pendiente</v>
      </c>
      <c r="R191" s="96"/>
      <c r="S191" s="11"/>
      <c r="T191" s="11" t="str">
        <f t="shared" si="14"/>
        <v/>
      </c>
      <c r="U191" s="11"/>
      <c r="V191" s="11" t="s">
        <v>796</v>
      </c>
      <c r="W191" s="29"/>
      <c r="X191" s="129"/>
      <c r="Y191" s="11"/>
      <c r="Z191" s="11"/>
      <c r="AA191" s="11"/>
      <c r="AB191" s="11"/>
      <c r="AC191" s="11"/>
      <c r="AD191" s="11"/>
      <c r="AE191" s="11"/>
      <c r="AF191" s="11"/>
      <c r="AG191" s="98"/>
      <c r="AH191" s="11" t="s">
        <v>32</v>
      </c>
    </row>
    <row r="192" spans="1:34" hidden="1" x14ac:dyDescent="0.3">
      <c r="A192" s="7" t="str">
        <f t="shared" si="10"/>
        <v>TR-1191</v>
      </c>
      <c r="B192" s="11" t="s">
        <v>631</v>
      </c>
      <c r="C192" s="141" t="s">
        <v>632</v>
      </c>
      <c r="D192" s="98">
        <v>34417</v>
      </c>
      <c r="E192" s="111">
        <f t="shared" ca="1" si="11"/>
        <v>31</v>
      </c>
      <c r="F192" s="132" t="s">
        <v>743</v>
      </c>
      <c r="G192" s="11" t="s">
        <v>254</v>
      </c>
      <c r="H192" s="139" t="s">
        <v>746</v>
      </c>
      <c r="I192" s="140" t="s">
        <v>747</v>
      </c>
      <c r="J192" s="132"/>
      <c r="K192" s="11" t="s">
        <v>773</v>
      </c>
      <c r="L192" s="96">
        <v>45798</v>
      </c>
      <c r="M192" s="96" t="str" cm="1">
        <f t="array" ref="M192">_xlfn.XLOOKUP(B192&amp;"", 'Registro EMO'!$C$13:$C$4248&amp;"", 'Registro EMO'!$F$13:$F$4248, "Sin registro", 0, -1)</f>
        <v>Sin registro</v>
      </c>
      <c r="N192" s="11" t="str" cm="1">
        <f t="array" ref="N192">_xlfn.XLOOKUP(B192&amp;"", 'Registro EMO'!$C$13:$C$4248&amp;"", 'Registro EMO'!$E$13:$E$4248, "Sin registro", 0, -1)</f>
        <v>Sin registro</v>
      </c>
      <c r="O192" s="11" t="str">
        <f t="shared" si="12"/>
        <v>NO</v>
      </c>
      <c r="P192" s="130" t="str" cm="1">
        <f t="array" ref="P192">_xlfn.LET(
    _xlpm.resultado, _xlfn.XLOOKUP(B192&amp;"", 'Registro EMO'!$C$13:$C$4248&amp;"", 'Registro EMO'!$I$13:$I$4248, "NO", 0, -1),
    IF(_xlpm.resultado=0, "NO", _xlpm.resultado)
)</f>
        <v>NO</v>
      </c>
      <c r="Q192" s="11" t="str">
        <f t="shared" ca="1" si="13"/>
        <v>Pendiente</v>
      </c>
      <c r="R192" s="96"/>
      <c r="S192" s="11"/>
      <c r="T192" s="11" t="str">
        <f t="shared" si="14"/>
        <v/>
      </c>
      <c r="U192" s="11"/>
      <c r="V192" s="11"/>
      <c r="W192" s="29"/>
      <c r="X192" s="129"/>
      <c r="Y192" s="11"/>
      <c r="Z192" s="11"/>
      <c r="AA192" s="11"/>
      <c r="AB192" s="11"/>
      <c r="AC192" s="11"/>
      <c r="AD192" s="11"/>
      <c r="AE192" s="11"/>
      <c r="AF192" s="11"/>
      <c r="AG192" s="98"/>
      <c r="AH192" s="11"/>
    </row>
    <row r="193" spans="1:34" hidden="1" x14ac:dyDescent="0.3">
      <c r="A193" s="7" t="str">
        <f t="shared" si="10"/>
        <v>TR-1192</v>
      </c>
      <c r="B193" s="11" t="s">
        <v>633</v>
      </c>
      <c r="C193" s="141" t="s">
        <v>634</v>
      </c>
      <c r="D193" s="98">
        <v>31985</v>
      </c>
      <c r="E193" s="111">
        <f t="shared" ca="1" si="11"/>
        <v>38</v>
      </c>
      <c r="F193" s="132" t="s">
        <v>743</v>
      </c>
      <c r="G193" s="11" t="s">
        <v>254</v>
      </c>
      <c r="H193" s="139" t="s">
        <v>746</v>
      </c>
      <c r="I193" s="140" t="s">
        <v>751</v>
      </c>
      <c r="J193" s="132"/>
      <c r="K193" s="11" t="s">
        <v>773</v>
      </c>
      <c r="L193" s="96">
        <v>45894</v>
      </c>
      <c r="M193" s="96" t="str" cm="1">
        <f t="array" ref="M193">_xlfn.XLOOKUP(B193&amp;"", 'Registro EMO'!$C$13:$C$4248&amp;"", 'Registro EMO'!$F$13:$F$4248, "Sin registro", 0, -1)</f>
        <v>31/01/2026</v>
      </c>
      <c r="N193" s="11" t="str" cm="1">
        <f t="array" ref="N193">_xlfn.XLOOKUP(B193&amp;"", 'Registro EMO'!$C$13:$C$4248&amp;"", 'Registro EMO'!$E$13:$E$4248, "Sin registro", 0, -1)</f>
        <v>Pre-Ocupacional</v>
      </c>
      <c r="O193" s="11" t="str">
        <f t="shared" si="12"/>
        <v>SI</v>
      </c>
      <c r="P193" s="150" cm="1">
        <f t="array" ref="P193">_xlfn.LET(
    _xlpm.resultado, _xlfn.XLOOKUP(B193&amp;"", 'Registro EMO'!$C$13:$C$4248&amp;"", 'Registro EMO'!$I$13:$I$4248, "NO", 0, -1),
    IF(_xlpm.resultado=0, "NO", _xlpm.resultado)
)</f>
        <v>45688</v>
      </c>
      <c r="Q193" s="11" t="str">
        <f t="shared" ca="1" si="13"/>
        <v>Vigente</v>
      </c>
      <c r="R193" s="96"/>
      <c r="S193" s="11"/>
      <c r="T193" s="11" t="str">
        <f t="shared" si="14"/>
        <v/>
      </c>
      <c r="U193" s="11"/>
      <c r="V193" s="11" t="s">
        <v>807</v>
      </c>
      <c r="W193" s="29"/>
      <c r="X193" s="129"/>
      <c r="Y193" s="11"/>
      <c r="Z193" s="11"/>
      <c r="AA193" s="11"/>
      <c r="AB193" s="11"/>
      <c r="AC193" s="11"/>
      <c r="AD193" s="11"/>
      <c r="AE193" s="11"/>
      <c r="AF193" s="11"/>
      <c r="AG193" s="98"/>
      <c r="AH193" s="11" t="s">
        <v>32</v>
      </c>
    </row>
    <row r="194" spans="1:34" hidden="1" x14ac:dyDescent="0.3">
      <c r="A194" s="7" t="str">
        <f t="shared" ref="A194:A257" si="15">IF(B194&lt;&gt;"", "TR-" &amp; TEXT(1000 + ROW(A194) - 1, "0000"), "")</f>
        <v>TR-1193</v>
      </c>
      <c r="B194" s="11" t="s">
        <v>635</v>
      </c>
      <c r="C194" s="141" t="s">
        <v>636</v>
      </c>
      <c r="D194" s="98">
        <v>36210</v>
      </c>
      <c r="E194" s="111">
        <f t="shared" ref="E194:E257" ca="1" si="16">IF(D194&lt;&gt;"", DATEDIF(D194, TODAY(), "y"), "")</f>
        <v>27</v>
      </c>
      <c r="F194" s="132" t="s">
        <v>743</v>
      </c>
      <c r="G194" s="11" t="s">
        <v>254</v>
      </c>
      <c r="H194" s="139" t="s">
        <v>744</v>
      </c>
      <c r="I194" s="140" t="s">
        <v>748</v>
      </c>
      <c r="J194" s="132"/>
      <c r="K194" s="11" t="s">
        <v>773</v>
      </c>
      <c r="L194" s="96">
        <v>42948</v>
      </c>
      <c r="M194" s="96" t="str" cm="1">
        <f t="array" ref="M194">_xlfn.XLOOKUP(B194&amp;"", 'Registro EMO'!$C$13:$C$4248&amp;"", 'Registro EMO'!$F$13:$F$4248, "Sin registro", 0, -1)</f>
        <v>Sin registro</v>
      </c>
      <c r="N194" s="11" t="str" cm="1">
        <f t="array" ref="N194">_xlfn.XLOOKUP(B194&amp;"", 'Registro EMO'!$C$13:$C$4248&amp;"", 'Registro EMO'!$E$13:$E$4248, "Sin registro", 0, -1)</f>
        <v>Sin registro</v>
      </c>
      <c r="O194" s="11" t="str">
        <f t="shared" ref="O194:O257" si="17">IF(P194="NO", "NO", "SI")</f>
        <v>NO</v>
      </c>
      <c r="P194" s="130" t="str" cm="1">
        <f t="array" ref="P194">_xlfn.LET(
    _xlpm.resultado, _xlfn.XLOOKUP(B194&amp;"", 'Registro EMO'!$C$13:$C$4248&amp;"", 'Registro EMO'!$I$13:$I$4248, "NO", 0, -1),
    IF(_xlpm.resultado=0, "NO", _xlpm.resultado)
)</f>
        <v>NO</v>
      </c>
      <c r="Q194" s="11" t="str">
        <f t="shared" ref="Q194:Q257" ca="1" si="18">IF(M194="Sin registro", "Pendiente", IF(EDATE(M194, IF(K194="Oficina", 24, 12)) &gt;= TODAY(), "Vigente", "Vencido"))</f>
        <v>Pendiente</v>
      </c>
      <c r="R194" s="96"/>
      <c r="S194" s="11"/>
      <c r="T194" s="11" t="str">
        <f t="shared" ref="T194:T247" si="19">IF(R194="", "", IF(U194="", "NO", "SI"))</f>
        <v/>
      </c>
      <c r="U194" s="11"/>
      <c r="V194" s="11"/>
      <c r="W194" s="29"/>
      <c r="X194" s="129"/>
      <c r="Y194" s="11"/>
      <c r="Z194" s="11"/>
      <c r="AA194" s="11"/>
      <c r="AB194" s="11"/>
      <c r="AC194" s="11"/>
      <c r="AD194" s="11"/>
      <c r="AE194" s="11"/>
      <c r="AF194" s="11"/>
      <c r="AG194" s="98"/>
      <c r="AH194" s="11"/>
    </row>
    <row r="195" spans="1:34" hidden="1" x14ac:dyDescent="0.3">
      <c r="A195" s="7" t="str">
        <f t="shared" si="15"/>
        <v>TR-1194</v>
      </c>
      <c r="B195" s="11" t="s">
        <v>637</v>
      </c>
      <c r="C195" s="141" t="s">
        <v>638</v>
      </c>
      <c r="D195" s="98">
        <v>37816</v>
      </c>
      <c r="E195" s="111">
        <f t="shared" ca="1" si="16"/>
        <v>22</v>
      </c>
      <c r="F195" s="132" t="s">
        <v>743</v>
      </c>
      <c r="G195" s="11" t="s">
        <v>254</v>
      </c>
      <c r="H195" s="139" t="s">
        <v>746</v>
      </c>
      <c r="I195" s="140" t="s">
        <v>747</v>
      </c>
      <c r="J195" s="132"/>
      <c r="K195" s="11" t="s">
        <v>773</v>
      </c>
      <c r="L195" s="96">
        <v>45762</v>
      </c>
      <c r="M195" s="96" t="str" cm="1">
        <f t="array" ref="M195">_xlfn.XLOOKUP(B195&amp;"", 'Registro EMO'!$C$13:$C$4248&amp;"", 'Registro EMO'!$F$13:$F$4248, "Sin registro", 0, -1)</f>
        <v>Sin registro</v>
      </c>
      <c r="N195" s="11" t="str" cm="1">
        <f t="array" ref="N195">_xlfn.XLOOKUP(B195&amp;"", 'Registro EMO'!$C$13:$C$4248&amp;"", 'Registro EMO'!$E$13:$E$4248, "Sin registro", 0, -1)</f>
        <v>Sin registro</v>
      </c>
      <c r="O195" s="11" t="str">
        <f t="shared" si="17"/>
        <v>NO</v>
      </c>
      <c r="P195" s="130" t="str" cm="1">
        <f t="array" ref="P195">_xlfn.LET(
    _xlpm.resultado, _xlfn.XLOOKUP(B195&amp;"", 'Registro EMO'!$C$13:$C$4248&amp;"", 'Registro EMO'!$I$13:$I$4248, "NO", 0, -1),
    IF(_xlpm.resultado=0, "NO", _xlpm.resultado)
)</f>
        <v>NO</v>
      </c>
      <c r="Q195" s="11" t="str">
        <f t="shared" ca="1" si="18"/>
        <v>Pendiente</v>
      </c>
      <c r="R195" s="96"/>
      <c r="S195" s="11"/>
      <c r="T195" s="11" t="str">
        <f t="shared" si="19"/>
        <v/>
      </c>
      <c r="U195" s="11"/>
      <c r="V195" s="11" t="s">
        <v>807</v>
      </c>
      <c r="W195" s="29" t="s">
        <v>808</v>
      </c>
      <c r="X195" s="129"/>
      <c r="Y195" s="11"/>
      <c r="Z195" s="11"/>
      <c r="AA195" s="11"/>
      <c r="AB195" s="11"/>
      <c r="AC195" s="11"/>
      <c r="AD195" s="11"/>
      <c r="AE195" s="11"/>
      <c r="AF195" s="11"/>
      <c r="AG195" s="98"/>
      <c r="AH195" s="11"/>
    </row>
    <row r="196" spans="1:34" hidden="1" x14ac:dyDescent="0.3">
      <c r="A196" s="7" t="str">
        <f t="shared" si="15"/>
        <v>TR-1195</v>
      </c>
      <c r="B196" s="11" t="s">
        <v>639</v>
      </c>
      <c r="C196" s="141" t="s">
        <v>640</v>
      </c>
      <c r="D196" s="98">
        <v>34720</v>
      </c>
      <c r="E196" s="111">
        <f t="shared" ca="1" si="16"/>
        <v>31</v>
      </c>
      <c r="F196" s="132" t="s">
        <v>743</v>
      </c>
      <c r="G196" s="11" t="s">
        <v>254</v>
      </c>
      <c r="H196" s="139" t="s">
        <v>746</v>
      </c>
      <c r="I196" s="140" t="s">
        <v>747</v>
      </c>
      <c r="J196" s="132"/>
      <c r="K196" s="11" t="s">
        <v>773</v>
      </c>
      <c r="L196" s="96">
        <v>42840</v>
      </c>
      <c r="M196" s="96" t="str" cm="1">
        <f t="array" ref="M196">_xlfn.XLOOKUP(B196&amp;"", 'Registro EMO'!$C$13:$C$4248&amp;"", 'Registro EMO'!$F$13:$F$4248, "Sin registro", 0, -1)</f>
        <v>Sin registro</v>
      </c>
      <c r="N196" s="11" t="str" cm="1">
        <f t="array" ref="N196">_xlfn.XLOOKUP(B196&amp;"", 'Registro EMO'!$C$13:$C$4248&amp;"", 'Registro EMO'!$E$13:$E$4248, "Sin registro", 0, -1)</f>
        <v>Sin registro</v>
      </c>
      <c r="O196" s="11" t="str">
        <f t="shared" si="17"/>
        <v>NO</v>
      </c>
      <c r="P196" s="130" t="str" cm="1">
        <f t="array" ref="P196">_xlfn.LET(
    _xlpm.resultado, _xlfn.XLOOKUP(B196&amp;"", 'Registro EMO'!$C$13:$C$4248&amp;"", 'Registro EMO'!$I$13:$I$4248, "NO", 0, -1),
    IF(_xlpm.resultado=0, "NO", _xlpm.resultado)
)</f>
        <v>NO</v>
      </c>
      <c r="Q196" s="11" t="str">
        <f t="shared" ca="1" si="18"/>
        <v>Pendiente</v>
      </c>
      <c r="R196" s="96"/>
      <c r="S196" s="11"/>
      <c r="T196" s="11" t="str">
        <f t="shared" si="19"/>
        <v/>
      </c>
      <c r="U196" s="11"/>
      <c r="V196" s="11"/>
      <c r="W196" s="29"/>
      <c r="X196" s="129"/>
      <c r="Y196" s="11"/>
      <c r="Z196" s="11"/>
      <c r="AA196" s="11"/>
      <c r="AB196" s="11"/>
      <c r="AC196" s="11"/>
      <c r="AD196" s="11"/>
      <c r="AE196" s="11"/>
      <c r="AF196" s="11"/>
      <c r="AG196" s="98"/>
      <c r="AH196" s="11"/>
    </row>
    <row r="197" spans="1:34" hidden="1" x14ac:dyDescent="0.3">
      <c r="A197" s="7" t="str">
        <f t="shared" si="15"/>
        <v>TR-1196</v>
      </c>
      <c r="B197" s="11" t="s">
        <v>641</v>
      </c>
      <c r="C197" s="141" t="s">
        <v>642</v>
      </c>
      <c r="D197" s="98">
        <v>31423</v>
      </c>
      <c r="E197" s="111">
        <f t="shared" ca="1" si="16"/>
        <v>40</v>
      </c>
      <c r="F197" s="132" t="s">
        <v>743</v>
      </c>
      <c r="G197" s="11" t="s">
        <v>254</v>
      </c>
      <c r="H197" s="139" t="s">
        <v>746</v>
      </c>
      <c r="I197" s="140" t="s">
        <v>751</v>
      </c>
      <c r="J197" s="132"/>
      <c r="K197" s="11" t="s">
        <v>773</v>
      </c>
      <c r="L197" s="96">
        <v>45673</v>
      </c>
      <c r="M197" s="96" t="str" cm="1">
        <f t="array" ref="M197">_xlfn.XLOOKUP(B197&amp;"", 'Registro EMO'!$C$13:$C$4248&amp;"", 'Registro EMO'!$F$13:$F$4248, "Sin registro", 0, -1)</f>
        <v>Sin registro</v>
      </c>
      <c r="N197" s="11" t="str" cm="1">
        <f t="array" ref="N197">_xlfn.XLOOKUP(B197&amp;"", 'Registro EMO'!$C$13:$C$4248&amp;"", 'Registro EMO'!$E$13:$E$4248, "Sin registro", 0, -1)</f>
        <v>Sin registro</v>
      </c>
      <c r="O197" s="11" t="str">
        <f t="shared" si="17"/>
        <v>NO</v>
      </c>
      <c r="P197" s="130" t="str" cm="1">
        <f t="array" ref="P197">_xlfn.LET(
    _xlpm.resultado, _xlfn.XLOOKUP(B197&amp;"", 'Registro EMO'!$C$13:$C$4248&amp;"", 'Registro EMO'!$I$13:$I$4248, "NO", 0, -1),
    IF(_xlpm.resultado=0, "NO", _xlpm.resultado)
)</f>
        <v>NO</v>
      </c>
      <c r="Q197" s="11" t="str">
        <f t="shared" ca="1" si="18"/>
        <v>Pendiente</v>
      </c>
      <c r="R197" s="96"/>
      <c r="S197" s="11"/>
      <c r="T197" s="11" t="str">
        <f t="shared" si="19"/>
        <v/>
      </c>
      <c r="U197" s="11"/>
      <c r="V197" s="11"/>
      <c r="W197" s="29"/>
      <c r="X197" s="129"/>
      <c r="Y197" s="11"/>
      <c r="Z197" s="11"/>
      <c r="AA197" s="11"/>
      <c r="AB197" s="11"/>
      <c r="AC197" s="11"/>
      <c r="AD197" s="11"/>
      <c r="AE197" s="11"/>
      <c r="AF197" s="11"/>
      <c r="AG197" s="98"/>
      <c r="AH197" s="11"/>
    </row>
    <row r="198" spans="1:34" hidden="1" x14ac:dyDescent="0.3">
      <c r="A198" s="7" t="str">
        <f t="shared" si="15"/>
        <v>TR-1197</v>
      </c>
      <c r="B198" s="11" t="s">
        <v>643</v>
      </c>
      <c r="C198" s="141" t="s">
        <v>644</v>
      </c>
      <c r="D198" s="98">
        <v>38025</v>
      </c>
      <c r="E198" s="111">
        <f t="shared" ca="1" si="16"/>
        <v>22</v>
      </c>
      <c r="F198" s="132" t="s">
        <v>743</v>
      </c>
      <c r="G198" s="11" t="s">
        <v>254</v>
      </c>
      <c r="H198" s="139" t="s">
        <v>746</v>
      </c>
      <c r="I198" s="140" t="s">
        <v>751</v>
      </c>
      <c r="J198" s="132"/>
      <c r="K198" s="11" t="s">
        <v>773</v>
      </c>
      <c r="L198" s="96">
        <v>44835</v>
      </c>
      <c r="M198" s="96" t="str" cm="1">
        <f t="array" ref="M198">_xlfn.XLOOKUP(B198&amp;"", 'Registro EMO'!$C$13:$C$4248&amp;"", 'Registro EMO'!$F$13:$F$4248, "Sin registro", 0, -1)</f>
        <v>Sin registro</v>
      </c>
      <c r="N198" s="11" t="str" cm="1">
        <f t="array" ref="N198">_xlfn.XLOOKUP(B198&amp;"", 'Registro EMO'!$C$13:$C$4248&amp;"", 'Registro EMO'!$E$13:$E$4248, "Sin registro", 0, -1)</f>
        <v>Sin registro</v>
      </c>
      <c r="O198" s="11" t="str">
        <f t="shared" si="17"/>
        <v>NO</v>
      </c>
      <c r="P198" s="130" t="str" cm="1">
        <f t="array" ref="P198">_xlfn.LET(
    _xlpm.resultado, _xlfn.XLOOKUP(B198&amp;"", 'Registro EMO'!$C$13:$C$4248&amp;"", 'Registro EMO'!$I$13:$I$4248, "NO", 0, -1),
    IF(_xlpm.resultado=0, "NO", _xlpm.resultado)
)</f>
        <v>NO</v>
      </c>
      <c r="Q198" s="11" t="str">
        <f t="shared" ca="1" si="18"/>
        <v>Pendiente</v>
      </c>
      <c r="R198" s="96"/>
      <c r="S198" s="11"/>
      <c r="T198" s="11" t="str">
        <f t="shared" si="19"/>
        <v/>
      </c>
      <c r="U198" s="11"/>
      <c r="V198" s="11"/>
      <c r="W198" s="29"/>
      <c r="X198" s="129"/>
      <c r="Y198" s="11"/>
      <c r="Z198" s="11"/>
      <c r="AA198" s="11"/>
      <c r="AB198" s="11"/>
      <c r="AC198" s="11"/>
      <c r="AD198" s="11"/>
      <c r="AE198" s="11"/>
      <c r="AF198" s="11"/>
      <c r="AG198" s="98"/>
      <c r="AH198" s="11"/>
    </row>
    <row r="199" spans="1:34" hidden="1" x14ac:dyDescent="0.3">
      <c r="A199" s="7" t="str">
        <f t="shared" si="15"/>
        <v>TR-1198</v>
      </c>
      <c r="B199" s="11" t="s">
        <v>645</v>
      </c>
      <c r="C199" s="141" t="s">
        <v>646</v>
      </c>
      <c r="D199" s="98">
        <v>38211</v>
      </c>
      <c r="E199" s="111">
        <f t="shared" ca="1" si="16"/>
        <v>21</v>
      </c>
      <c r="F199" s="132" t="s">
        <v>743</v>
      </c>
      <c r="G199" s="11" t="s">
        <v>254</v>
      </c>
      <c r="H199" s="139" t="s">
        <v>746</v>
      </c>
      <c r="I199" s="140" t="s">
        <v>751</v>
      </c>
      <c r="J199" s="132"/>
      <c r="K199" s="11" t="s">
        <v>773</v>
      </c>
      <c r="L199" s="96">
        <v>45926</v>
      </c>
      <c r="M199" s="96" t="str" cm="1">
        <f t="array" ref="M199">_xlfn.XLOOKUP(B199&amp;"", 'Registro EMO'!$C$13:$C$4248&amp;"", 'Registro EMO'!$F$13:$F$4248, "Sin registro", 0, -1)</f>
        <v>Sin registro</v>
      </c>
      <c r="N199" s="11" t="str" cm="1">
        <f t="array" ref="N199">_xlfn.XLOOKUP(B199&amp;"", 'Registro EMO'!$C$13:$C$4248&amp;"", 'Registro EMO'!$E$13:$E$4248, "Sin registro", 0, -1)</f>
        <v>Sin registro</v>
      </c>
      <c r="O199" s="11" t="str">
        <f t="shared" si="17"/>
        <v>NO</v>
      </c>
      <c r="P199" s="130" t="str" cm="1">
        <f t="array" ref="P199">_xlfn.LET(
    _xlpm.resultado, _xlfn.XLOOKUP(B199&amp;"", 'Registro EMO'!$C$13:$C$4248&amp;"", 'Registro EMO'!$I$13:$I$4248, "NO", 0, -1),
    IF(_xlpm.resultado=0, "NO", _xlpm.resultado)
)</f>
        <v>NO</v>
      </c>
      <c r="Q199" s="11" t="str">
        <f t="shared" ca="1" si="18"/>
        <v>Pendiente</v>
      </c>
      <c r="R199" s="96"/>
      <c r="S199" s="11"/>
      <c r="T199" s="11" t="str">
        <f t="shared" si="19"/>
        <v/>
      </c>
      <c r="U199" s="11"/>
      <c r="V199" s="11"/>
      <c r="W199" s="29"/>
      <c r="X199" s="129"/>
      <c r="Y199" s="11"/>
      <c r="Z199" s="11"/>
      <c r="AA199" s="11"/>
      <c r="AB199" s="11"/>
      <c r="AC199" s="11"/>
      <c r="AD199" s="11"/>
      <c r="AE199" s="11"/>
      <c r="AF199" s="11"/>
      <c r="AG199" s="98"/>
      <c r="AH199" s="11"/>
    </row>
    <row r="200" spans="1:34" hidden="1" x14ac:dyDescent="0.3">
      <c r="A200" s="7" t="str">
        <f t="shared" si="15"/>
        <v>TR-1199</v>
      </c>
      <c r="B200" s="11" t="s">
        <v>647</v>
      </c>
      <c r="C200" s="141" t="s">
        <v>648</v>
      </c>
      <c r="D200" s="98">
        <v>36509</v>
      </c>
      <c r="E200" s="111">
        <f t="shared" ca="1" si="16"/>
        <v>26</v>
      </c>
      <c r="F200" s="132" t="s">
        <v>743</v>
      </c>
      <c r="G200" s="11" t="s">
        <v>254</v>
      </c>
      <c r="H200" s="139" t="s">
        <v>746</v>
      </c>
      <c r="I200" s="140" t="s">
        <v>751</v>
      </c>
      <c r="J200" s="132"/>
      <c r="K200" s="11" t="s">
        <v>773</v>
      </c>
      <c r="L200" s="96">
        <v>45520</v>
      </c>
      <c r="M200" s="96" t="str" cm="1">
        <f t="array" ref="M200">_xlfn.XLOOKUP(B200&amp;"", 'Registro EMO'!$C$13:$C$4248&amp;"", 'Registro EMO'!$F$13:$F$4248, "Sin registro", 0, -1)</f>
        <v>Sin registro</v>
      </c>
      <c r="N200" s="11" t="str" cm="1">
        <f t="array" ref="N200">_xlfn.XLOOKUP(B200&amp;"", 'Registro EMO'!$C$13:$C$4248&amp;"", 'Registro EMO'!$E$13:$E$4248, "Sin registro", 0, -1)</f>
        <v>Sin registro</v>
      </c>
      <c r="O200" s="11" t="str">
        <f t="shared" si="17"/>
        <v>NO</v>
      </c>
      <c r="P200" s="130" t="str" cm="1">
        <f t="array" ref="P200">_xlfn.LET(
    _xlpm.resultado, _xlfn.XLOOKUP(B200&amp;"", 'Registro EMO'!$C$13:$C$4248&amp;"", 'Registro EMO'!$I$13:$I$4248, "NO", 0, -1),
    IF(_xlpm.resultado=0, "NO", _xlpm.resultado)
)</f>
        <v>NO</v>
      </c>
      <c r="Q200" s="11" t="str">
        <f t="shared" ca="1" si="18"/>
        <v>Pendiente</v>
      </c>
      <c r="R200" s="96"/>
      <c r="S200" s="11"/>
      <c r="T200" s="11" t="str">
        <f t="shared" si="19"/>
        <v/>
      </c>
      <c r="U200" s="11"/>
      <c r="V200" s="11"/>
      <c r="W200" s="29"/>
      <c r="X200" s="129"/>
      <c r="Y200" s="11"/>
      <c r="Z200" s="11"/>
      <c r="AA200" s="11"/>
      <c r="AB200" s="11"/>
      <c r="AC200" s="11"/>
      <c r="AD200" s="11"/>
      <c r="AE200" s="11"/>
      <c r="AF200" s="11"/>
      <c r="AG200" s="98"/>
      <c r="AH200" s="11"/>
    </row>
    <row r="201" spans="1:34" ht="28.8" hidden="1" x14ac:dyDescent="0.3">
      <c r="A201" s="7" t="str">
        <f t="shared" si="15"/>
        <v>TR-1200</v>
      </c>
      <c r="B201" s="11" t="s">
        <v>649</v>
      </c>
      <c r="C201" s="141" t="s">
        <v>650</v>
      </c>
      <c r="D201" s="98">
        <v>34642</v>
      </c>
      <c r="E201" s="111">
        <f t="shared" ca="1" si="16"/>
        <v>31</v>
      </c>
      <c r="F201" s="132" t="s">
        <v>743</v>
      </c>
      <c r="G201" s="11" t="s">
        <v>254</v>
      </c>
      <c r="H201" s="139" t="s">
        <v>744</v>
      </c>
      <c r="I201" s="140" t="s">
        <v>748</v>
      </c>
      <c r="J201" s="132"/>
      <c r="K201" s="11" t="s">
        <v>773</v>
      </c>
      <c r="L201" s="96">
        <v>45733</v>
      </c>
      <c r="M201" s="96" t="str" cm="1">
        <f t="array" ref="M201">_xlfn.XLOOKUP(B201&amp;"", 'Registro EMO'!$C$13:$C$4248&amp;"", 'Registro EMO'!$F$13:$F$4248, "Sin registro", 0, -1)</f>
        <v>25/10/2026</v>
      </c>
      <c r="N201" s="11" t="str" cm="1">
        <f t="array" ref="N201">_xlfn.XLOOKUP(B201&amp;"", 'Registro EMO'!$C$13:$C$4248&amp;"", 'Registro EMO'!$E$13:$E$4248, "Sin registro", 0, -1)</f>
        <v>Ocupacional</v>
      </c>
      <c r="O201" s="11" t="str">
        <f t="shared" si="17"/>
        <v>SI</v>
      </c>
      <c r="P201" s="150" cm="1">
        <f t="array" ref="P201">_xlfn.LET(
    _xlpm.resultado, _xlfn.XLOOKUP(B201&amp;"", 'Registro EMO'!$C$13:$C$4248&amp;"", 'Registro EMO'!$I$13:$I$4248, "NO", 0, -1),
    IF(_xlpm.resultado=0, "NO", _xlpm.resultado)
)</f>
        <v>45230</v>
      </c>
      <c r="Q201" s="11" t="str">
        <f t="shared" ca="1" si="18"/>
        <v>Vigente</v>
      </c>
      <c r="R201" s="96"/>
      <c r="S201" s="11"/>
      <c r="T201" s="11" t="str">
        <f>IF(R202="", "", IF(U201="", "NO", "SI"))</f>
        <v/>
      </c>
      <c r="U201" s="11"/>
      <c r="V201" s="11" t="s">
        <v>796</v>
      </c>
      <c r="W201" s="29" t="s">
        <v>809</v>
      </c>
      <c r="X201" s="129"/>
      <c r="Y201" s="11"/>
      <c r="Z201" s="11"/>
      <c r="AA201" s="11"/>
      <c r="AB201" s="11"/>
      <c r="AC201" s="11"/>
      <c r="AD201" s="11"/>
      <c r="AE201" s="11"/>
      <c r="AF201" s="11"/>
      <c r="AG201" s="98"/>
      <c r="AH201" s="11" t="s">
        <v>32</v>
      </c>
    </row>
    <row r="202" spans="1:34" hidden="1" x14ac:dyDescent="0.3">
      <c r="A202" s="7" t="str">
        <f t="shared" si="15"/>
        <v>TR-1201</v>
      </c>
      <c r="B202" s="11" t="s">
        <v>651</v>
      </c>
      <c r="C202" s="141" t="s">
        <v>652</v>
      </c>
      <c r="D202" s="98">
        <v>36645</v>
      </c>
      <c r="E202" s="111">
        <f t="shared" ca="1" si="16"/>
        <v>25</v>
      </c>
      <c r="F202" s="132" t="s">
        <v>762</v>
      </c>
      <c r="G202" s="11" t="s">
        <v>254</v>
      </c>
      <c r="H202" s="139" t="s">
        <v>752</v>
      </c>
      <c r="I202" s="140" t="s">
        <v>753</v>
      </c>
      <c r="J202" s="132"/>
      <c r="K202" s="11" t="s">
        <v>773</v>
      </c>
      <c r="L202" s="96">
        <v>46007</v>
      </c>
      <c r="M202" s="96" t="str" cm="1">
        <f t="array" ref="M202">_xlfn.XLOOKUP(B202&amp;"", 'Registro EMO'!$C$13:$C$4248&amp;"", 'Registro EMO'!$F$13:$F$4248, "Sin registro", 0, -1)</f>
        <v>15/08/2026</v>
      </c>
      <c r="N202" s="11" t="str" cm="1">
        <f t="array" ref="N202">_xlfn.XLOOKUP(B202&amp;"", 'Registro EMO'!$C$13:$C$4248&amp;"", 'Registro EMO'!$E$13:$E$4248, "Sin registro", 0, -1)</f>
        <v>Pre-Ocupacional</v>
      </c>
      <c r="O202" s="11" t="str">
        <f t="shared" si="17"/>
        <v>SI</v>
      </c>
      <c r="P202" s="150" cm="1">
        <f t="array" ref="P202">_xlfn.LET(
    _xlpm.resultado, _xlfn.XLOOKUP(B202&amp;"", 'Registro EMO'!$C$13:$C$4248&amp;"", 'Registro EMO'!$I$13:$I$4248, "NO", 0, -1),
    IF(_xlpm.resultado=0, "NO", _xlpm.resultado)
)</f>
        <v>45899</v>
      </c>
      <c r="Q202" s="11" t="str">
        <f t="shared" ca="1" si="18"/>
        <v>Vigente</v>
      </c>
      <c r="R202" s="96"/>
      <c r="S202" s="11"/>
      <c r="T202" s="11" t="e">
        <f>IF(#REF!="", "", IF(U202="", "NO", "SI"))</f>
        <v>#REF!</v>
      </c>
      <c r="U202" s="11"/>
      <c r="V202" s="11" t="s">
        <v>807</v>
      </c>
      <c r="W202" s="29"/>
      <c r="X202" s="129"/>
      <c r="Y202" s="11"/>
      <c r="Z202" s="11"/>
      <c r="AA202" s="11"/>
      <c r="AB202" s="11"/>
      <c r="AC202" s="11"/>
      <c r="AD202" s="11"/>
      <c r="AE202" s="11"/>
      <c r="AF202" s="11"/>
      <c r="AG202" s="98"/>
      <c r="AH202" s="11" t="s">
        <v>32</v>
      </c>
    </row>
    <row r="203" spans="1:34" ht="28.8" hidden="1" x14ac:dyDescent="0.3">
      <c r="A203" s="7" t="str">
        <f t="shared" si="15"/>
        <v>TR-1202</v>
      </c>
      <c r="B203" s="11" t="s">
        <v>653</v>
      </c>
      <c r="C203" s="141" t="s">
        <v>654</v>
      </c>
      <c r="D203" s="98">
        <v>28806</v>
      </c>
      <c r="E203" s="111">
        <f t="shared" ca="1" si="16"/>
        <v>47</v>
      </c>
      <c r="F203" s="132" t="s">
        <v>743</v>
      </c>
      <c r="G203" s="11" t="s">
        <v>254</v>
      </c>
      <c r="H203" s="139" t="s">
        <v>746</v>
      </c>
      <c r="I203" s="140" t="s">
        <v>751</v>
      </c>
      <c r="J203" s="132"/>
      <c r="K203" s="11" t="s">
        <v>773</v>
      </c>
      <c r="L203" s="96">
        <v>45520</v>
      </c>
      <c r="M203" s="96" t="str" cm="1">
        <f t="array" ref="M203">_xlfn.XLOOKUP(B203&amp;"", 'Registro EMO'!$C$13:$C$4248&amp;"", 'Registro EMO'!$F$13:$F$4248, "Sin registro", 0, -1)</f>
        <v>21/09/2026</v>
      </c>
      <c r="N203" s="11" t="str" cm="1">
        <f t="array" ref="N203">_xlfn.XLOOKUP(B203&amp;"", 'Registro EMO'!$C$13:$C$4248&amp;"", 'Registro EMO'!$E$13:$E$4248, "Sin registro", 0, -1)</f>
        <v>Pre-Ocupacional</v>
      </c>
      <c r="O203" s="11" t="str">
        <f t="shared" si="17"/>
        <v>SI</v>
      </c>
      <c r="P203" s="150" cm="1">
        <f t="array" ref="P203">_xlfn.LET(
    _xlpm.resultado, _xlfn.XLOOKUP(B203&amp;"", 'Registro EMO'!$C$13:$C$4248&amp;"", 'Registro EMO'!$I$13:$I$4248, "NO", 0, -1),
    IF(_xlpm.resultado=0, "NO", _xlpm.resultado)
)</f>
        <v>45565</v>
      </c>
      <c r="Q203" s="11" t="str">
        <f t="shared" ca="1" si="18"/>
        <v>Vigente</v>
      </c>
      <c r="R203" s="96"/>
      <c r="S203" s="11"/>
      <c r="T203" s="11" t="str">
        <f t="shared" si="19"/>
        <v/>
      </c>
      <c r="U203" s="11"/>
      <c r="V203" s="11" t="s">
        <v>796</v>
      </c>
      <c r="W203" s="29" t="s">
        <v>780</v>
      </c>
      <c r="X203" s="129"/>
      <c r="Y203" s="11"/>
      <c r="Z203" s="11"/>
      <c r="AA203" s="11"/>
      <c r="AB203" s="11"/>
      <c r="AC203" s="11"/>
      <c r="AD203" s="11"/>
      <c r="AE203" s="11"/>
      <c r="AF203" s="11"/>
      <c r="AG203" s="98"/>
      <c r="AH203" s="11" t="s">
        <v>32</v>
      </c>
    </row>
    <row r="204" spans="1:34" hidden="1" x14ac:dyDescent="0.3">
      <c r="A204" s="7" t="str">
        <f t="shared" si="15"/>
        <v>TR-1203</v>
      </c>
      <c r="B204" s="11" t="s">
        <v>655</v>
      </c>
      <c r="C204" s="141" t="s">
        <v>656</v>
      </c>
      <c r="D204" s="98">
        <v>37372</v>
      </c>
      <c r="E204" s="111">
        <f t="shared" ca="1" si="16"/>
        <v>23</v>
      </c>
      <c r="F204" s="132" t="s">
        <v>743</v>
      </c>
      <c r="G204" s="11" t="s">
        <v>254</v>
      </c>
      <c r="H204" s="139" t="s">
        <v>746</v>
      </c>
      <c r="I204" s="140" t="s">
        <v>747</v>
      </c>
      <c r="J204" s="132"/>
      <c r="K204" s="11" t="s">
        <v>773</v>
      </c>
      <c r="L204" s="96">
        <v>45246</v>
      </c>
      <c r="M204" s="96" t="str" cm="1">
        <f t="array" ref="M204">_xlfn.XLOOKUP(B204&amp;"", 'Registro EMO'!$C$13:$C$4248&amp;"", 'Registro EMO'!$F$13:$F$4248, "Sin registro", 0, -1)</f>
        <v>Sin registro</v>
      </c>
      <c r="N204" s="11" t="str" cm="1">
        <f t="array" ref="N204">_xlfn.XLOOKUP(B204&amp;"", 'Registro EMO'!$C$13:$C$4248&amp;"", 'Registro EMO'!$E$13:$E$4248, "Sin registro", 0, -1)</f>
        <v>Sin registro</v>
      </c>
      <c r="O204" s="11" t="str">
        <f t="shared" si="17"/>
        <v>NO</v>
      </c>
      <c r="P204" s="130" t="str" cm="1">
        <f t="array" ref="P204">_xlfn.LET(
    _xlpm.resultado, _xlfn.XLOOKUP(B204&amp;"", 'Registro EMO'!$C$13:$C$4248&amp;"", 'Registro EMO'!$I$13:$I$4248, "NO", 0, -1),
    IF(_xlpm.resultado=0, "NO", _xlpm.resultado)
)</f>
        <v>NO</v>
      </c>
      <c r="Q204" s="11" t="str">
        <f t="shared" ca="1" si="18"/>
        <v>Pendiente</v>
      </c>
      <c r="R204" s="96"/>
      <c r="S204" s="11"/>
      <c r="T204" s="11" t="str">
        <f t="shared" si="19"/>
        <v/>
      </c>
      <c r="U204" s="11"/>
      <c r="V204" s="11"/>
      <c r="W204" s="29"/>
      <c r="X204" s="129"/>
      <c r="Y204" s="11"/>
      <c r="Z204" s="11"/>
      <c r="AA204" s="11"/>
      <c r="AB204" s="11"/>
      <c r="AC204" s="11"/>
      <c r="AD204" s="11"/>
      <c r="AE204" s="11"/>
      <c r="AF204" s="11"/>
      <c r="AG204" s="98"/>
      <c r="AH204" s="11"/>
    </row>
    <row r="205" spans="1:34" hidden="1" x14ac:dyDescent="0.3">
      <c r="A205" s="7" t="str">
        <f t="shared" si="15"/>
        <v>TR-1204</v>
      </c>
      <c r="B205" s="11" t="s">
        <v>657</v>
      </c>
      <c r="C205" s="141" t="s">
        <v>658</v>
      </c>
      <c r="D205" s="98">
        <v>36464</v>
      </c>
      <c r="E205" s="111">
        <f t="shared" ca="1" si="16"/>
        <v>26</v>
      </c>
      <c r="F205" s="132" t="s">
        <v>743</v>
      </c>
      <c r="G205" s="11" t="s">
        <v>254</v>
      </c>
      <c r="H205" s="139" t="s">
        <v>744</v>
      </c>
      <c r="I205" s="140" t="s">
        <v>748</v>
      </c>
      <c r="J205" s="132"/>
      <c r="K205" s="11" t="s">
        <v>773</v>
      </c>
      <c r="L205" s="96">
        <v>45943</v>
      </c>
      <c r="M205" s="96" t="str" cm="1">
        <f t="array" ref="M205">_xlfn.XLOOKUP(B205&amp;"", 'Registro EMO'!$C$13:$C$4248&amp;"", 'Registro EMO'!$F$13:$F$4248, "Sin registro", 0, -1)</f>
        <v>19/07/2026</v>
      </c>
      <c r="N205" s="11" t="str" cm="1">
        <f t="array" ref="N205">_xlfn.XLOOKUP(B205&amp;"", 'Registro EMO'!$C$13:$C$4248&amp;"", 'Registro EMO'!$E$13:$E$4248, "Sin registro", 0, -1)</f>
        <v>Pre-Ocupacional</v>
      </c>
      <c r="O205" s="11" t="str">
        <f t="shared" si="17"/>
        <v>SI</v>
      </c>
      <c r="P205" s="150" cm="1">
        <f t="array" ref="P205">_xlfn.LET(
    _xlpm.resultado, _xlfn.XLOOKUP(B205&amp;"", 'Registro EMO'!$C$13:$C$4248&amp;"", 'Registro EMO'!$I$13:$I$4248, "NO", 0, -1),
    IF(_xlpm.resultado=0, "NO", _xlpm.resultado)
)</f>
        <v>45504</v>
      </c>
      <c r="Q205" s="11" t="str">
        <f t="shared" ca="1" si="18"/>
        <v>Vigente</v>
      </c>
      <c r="R205" s="96"/>
      <c r="S205" s="11"/>
      <c r="T205" s="11" t="str">
        <f t="shared" si="19"/>
        <v/>
      </c>
      <c r="U205" s="11"/>
      <c r="V205" s="11" t="s">
        <v>796</v>
      </c>
      <c r="W205" s="29" t="s">
        <v>786</v>
      </c>
      <c r="X205" s="129"/>
      <c r="Y205" s="11"/>
      <c r="Z205" s="11"/>
      <c r="AA205" s="11"/>
      <c r="AB205" s="11"/>
      <c r="AC205" s="11"/>
      <c r="AD205" s="11"/>
      <c r="AE205" s="11"/>
      <c r="AF205" s="11"/>
      <c r="AG205" s="98"/>
      <c r="AH205" s="11" t="s">
        <v>32</v>
      </c>
    </row>
    <row r="206" spans="1:34" hidden="1" x14ac:dyDescent="0.3">
      <c r="A206" s="7" t="str">
        <f t="shared" si="15"/>
        <v>TR-1205</v>
      </c>
      <c r="B206" s="11" t="s">
        <v>659</v>
      </c>
      <c r="C206" s="141" t="s">
        <v>660</v>
      </c>
      <c r="D206" s="98">
        <v>39367</v>
      </c>
      <c r="E206" s="111">
        <f t="shared" ca="1" si="16"/>
        <v>18</v>
      </c>
      <c r="F206" s="132" t="s">
        <v>743</v>
      </c>
      <c r="G206" s="11" t="s">
        <v>254</v>
      </c>
      <c r="H206" s="139" t="s">
        <v>746</v>
      </c>
      <c r="I206" s="140" t="s">
        <v>751</v>
      </c>
      <c r="J206" s="132"/>
      <c r="K206" s="11" t="s">
        <v>773</v>
      </c>
      <c r="L206" s="96">
        <v>45946</v>
      </c>
      <c r="M206" s="96" t="str" cm="1">
        <f t="array" ref="M206">_xlfn.XLOOKUP(B206&amp;"", 'Registro EMO'!$C$13:$C$4248&amp;"", 'Registro EMO'!$F$13:$F$4248, "Sin registro", 0, -1)</f>
        <v>Sin registro</v>
      </c>
      <c r="N206" s="11" t="str" cm="1">
        <f t="array" ref="N206">_xlfn.XLOOKUP(B206&amp;"", 'Registro EMO'!$C$13:$C$4248&amp;"", 'Registro EMO'!$E$13:$E$4248, "Sin registro", 0, -1)</f>
        <v>Sin registro</v>
      </c>
      <c r="O206" s="11" t="str">
        <f t="shared" si="17"/>
        <v>NO</v>
      </c>
      <c r="P206" s="130" t="str" cm="1">
        <f t="array" ref="P206">_xlfn.LET(
    _xlpm.resultado, _xlfn.XLOOKUP(B206&amp;"", 'Registro EMO'!$C$13:$C$4248&amp;"", 'Registro EMO'!$I$13:$I$4248, "NO", 0, -1),
    IF(_xlpm.resultado=0, "NO", _xlpm.resultado)
)</f>
        <v>NO</v>
      </c>
      <c r="Q206" s="11" t="str">
        <f t="shared" ca="1" si="18"/>
        <v>Pendiente</v>
      </c>
      <c r="R206" s="96"/>
      <c r="S206" s="11"/>
      <c r="T206" s="11" t="str">
        <f t="shared" si="19"/>
        <v/>
      </c>
      <c r="U206" s="11"/>
      <c r="V206" s="11"/>
      <c r="W206" s="29"/>
      <c r="X206" s="129"/>
      <c r="Y206" s="11"/>
      <c r="Z206" s="11"/>
      <c r="AA206" s="11"/>
      <c r="AB206" s="11"/>
      <c r="AC206" s="11"/>
      <c r="AD206" s="11"/>
      <c r="AE206" s="11"/>
      <c r="AF206" s="11"/>
      <c r="AG206" s="98"/>
      <c r="AH206" s="11"/>
    </row>
    <row r="207" spans="1:34" ht="28.8" hidden="1" x14ac:dyDescent="0.3">
      <c r="A207" s="7" t="str">
        <f t="shared" si="15"/>
        <v>TR-1206</v>
      </c>
      <c r="B207" s="11" t="s">
        <v>661</v>
      </c>
      <c r="C207" s="141" t="s">
        <v>662</v>
      </c>
      <c r="D207" s="98">
        <v>22715</v>
      </c>
      <c r="E207" s="111">
        <f t="shared" ca="1" si="16"/>
        <v>64</v>
      </c>
      <c r="F207" s="132" t="s">
        <v>743</v>
      </c>
      <c r="G207" s="11" t="s">
        <v>254</v>
      </c>
      <c r="H207" s="139" t="s">
        <v>746</v>
      </c>
      <c r="I207" s="140" t="s">
        <v>747</v>
      </c>
      <c r="J207" s="132"/>
      <c r="K207" s="11" t="s">
        <v>773</v>
      </c>
      <c r="L207" s="96">
        <v>44835</v>
      </c>
      <c r="M207" s="96" t="str" cm="1">
        <f t="array" ref="M207">_xlfn.XLOOKUP(B207&amp;"", 'Registro EMO'!$C$13:$C$4248&amp;"", 'Registro EMO'!$F$13:$F$4248, "Sin registro", 0, -1)</f>
        <v>20/01/2026</v>
      </c>
      <c r="N207" s="11" t="str" cm="1">
        <f t="array" ref="N207">_xlfn.XLOOKUP(B207&amp;"", 'Registro EMO'!$C$13:$C$4248&amp;"", 'Registro EMO'!$E$13:$E$4248, "Sin registro", 0, -1)</f>
        <v>Ocupacional</v>
      </c>
      <c r="O207" s="11" t="str">
        <f t="shared" si="17"/>
        <v>SI</v>
      </c>
      <c r="P207" s="150" cm="1">
        <f t="array" ref="P207">_xlfn.LET(
    _xlpm.resultado, _xlfn.XLOOKUP(B207&amp;"", 'Registro EMO'!$C$13:$C$4248&amp;"", 'Registro EMO'!$I$13:$I$4248, "NO", 0, -1),
    IF(_xlpm.resultado=0, "NO", _xlpm.resultado)
)</f>
        <v>45107</v>
      </c>
      <c r="Q207" s="11" t="str">
        <f t="shared" ca="1" si="18"/>
        <v>Vigente</v>
      </c>
      <c r="R207" s="96"/>
      <c r="S207" s="11"/>
      <c r="T207" s="11" t="str">
        <f t="shared" si="19"/>
        <v/>
      </c>
      <c r="U207" s="11"/>
      <c r="V207" s="11" t="s">
        <v>796</v>
      </c>
      <c r="W207" s="29" t="s">
        <v>779</v>
      </c>
      <c r="X207" s="129"/>
      <c r="Y207" s="11"/>
      <c r="Z207" s="11"/>
      <c r="AA207" s="11"/>
      <c r="AB207" s="11"/>
      <c r="AC207" s="11"/>
      <c r="AD207" s="11"/>
      <c r="AE207" s="11"/>
      <c r="AF207" s="11"/>
      <c r="AG207" s="98"/>
      <c r="AH207" s="11" t="s">
        <v>32</v>
      </c>
    </row>
    <row r="208" spans="1:34" hidden="1" x14ac:dyDescent="0.3">
      <c r="A208" s="7" t="str">
        <f t="shared" si="15"/>
        <v>TR-1207</v>
      </c>
      <c r="B208" s="11" t="s">
        <v>663</v>
      </c>
      <c r="C208" s="141" t="s">
        <v>664</v>
      </c>
      <c r="D208" s="98">
        <v>31358</v>
      </c>
      <c r="E208" s="111">
        <f t="shared" ca="1" si="16"/>
        <v>40</v>
      </c>
      <c r="F208" s="132" t="s">
        <v>743</v>
      </c>
      <c r="G208" s="11" t="s">
        <v>254</v>
      </c>
      <c r="H208" s="139" t="s">
        <v>744</v>
      </c>
      <c r="I208" s="140" t="s">
        <v>748</v>
      </c>
      <c r="J208" s="132"/>
      <c r="K208" s="11" t="s">
        <v>773</v>
      </c>
      <c r="L208" s="96">
        <v>45863</v>
      </c>
      <c r="M208" s="96" t="str" cm="1">
        <f t="array" ref="M208">_xlfn.XLOOKUP(B208&amp;"", 'Registro EMO'!$C$13:$C$4248&amp;"", 'Registro EMO'!$F$13:$F$4248, "Sin registro", 0, -1)</f>
        <v>16/06/2026</v>
      </c>
      <c r="N208" s="11" t="str" cm="1">
        <f t="array" ref="N208">_xlfn.XLOOKUP(B208&amp;"", 'Registro EMO'!$C$13:$C$4248&amp;"", 'Registro EMO'!$E$13:$E$4248, "Sin registro", 0, -1)</f>
        <v>Pre-Ocupacional</v>
      </c>
      <c r="O208" s="11" t="str">
        <f t="shared" si="17"/>
        <v>SI</v>
      </c>
      <c r="P208" s="150" cm="1">
        <f t="array" ref="P208">_xlfn.LET(
    _xlpm.resultado, _xlfn.XLOOKUP(B208&amp;"", 'Registro EMO'!$C$13:$C$4248&amp;"", 'Registro EMO'!$I$13:$I$4248, "NO", 0, -1),
    IF(_xlpm.resultado=0, "NO", _xlpm.resultado)
)</f>
        <v>45107</v>
      </c>
      <c r="Q208" s="11" t="str">
        <f t="shared" ca="1" si="18"/>
        <v>Vigente</v>
      </c>
      <c r="R208" s="96"/>
      <c r="S208" s="11"/>
      <c r="T208" s="11" t="str">
        <f t="shared" si="19"/>
        <v/>
      </c>
      <c r="U208" s="11"/>
      <c r="V208" s="11" t="s">
        <v>796</v>
      </c>
      <c r="W208" s="29" t="s">
        <v>778</v>
      </c>
      <c r="X208" s="129"/>
      <c r="Y208" s="11"/>
      <c r="Z208" s="11"/>
      <c r="AA208" s="11"/>
      <c r="AB208" s="11"/>
      <c r="AC208" s="11"/>
      <c r="AD208" s="11"/>
      <c r="AE208" s="11"/>
      <c r="AF208" s="11"/>
      <c r="AG208" s="98"/>
      <c r="AH208" s="11" t="s">
        <v>32</v>
      </c>
    </row>
    <row r="209" spans="1:34" ht="28.8" hidden="1" x14ac:dyDescent="0.3">
      <c r="A209" s="7" t="str">
        <f t="shared" si="15"/>
        <v>TR-1208</v>
      </c>
      <c r="B209" s="11" t="s">
        <v>665</v>
      </c>
      <c r="C209" s="141" t="s">
        <v>666</v>
      </c>
      <c r="D209" s="98">
        <v>34666</v>
      </c>
      <c r="E209" s="111">
        <f t="shared" ca="1" si="16"/>
        <v>31</v>
      </c>
      <c r="F209" s="132" t="s">
        <v>743</v>
      </c>
      <c r="G209" s="11" t="s">
        <v>254</v>
      </c>
      <c r="H209" s="139" t="s">
        <v>746</v>
      </c>
      <c r="I209" s="140" t="s">
        <v>747</v>
      </c>
      <c r="J209" s="132"/>
      <c r="K209" s="11" t="s">
        <v>773</v>
      </c>
      <c r="L209" s="96">
        <v>45756</v>
      </c>
      <c r="M209" s="96" t="str" cm="1">
        <f t="array" ref="M209">_xlfn.XLOOKUP(B209&amp;"", 'Registro EMO'!$C$13:$C$4248&amp;"", 'Registro EMO'!$F$13:$F$4248, "Sin registro", 0, -1)</f>
        <v>31/08/2026</v>
      </c>
      <c r="N209" s="11" t="str" cm="1">
        <f t="array" ref="N209">_xlfn.XLOOKUP(B209&amp;"", 'Registro EMO'!$C$13:$C$4248&amp;"", 'Registro EMO'!$E$13:$E$4248, "Sin registro", 0, -1)</f>
        <v>Pre-Ocupacional</v>
      </c>
      <c r="O209" s="11" t="str">
        <f t="shared" si="17"/>
        <v>SI</v>
      </c>
      <c r="P209" s="150" cm="1">
        <f t="array" ref="P209">_xlfn.LET(
    _xlpm.resultado, _xlfn.XLOOKUP(B209&amp;"", 'Registro EMO'!$C$13:$C$4248&amp;"", 'Registro EMO'!$I$13:$I$4248, "NO", 0, -1),
    IF(_xlpm.resultado=0, "NO", _xlpm.resultado)
)</f>
        <v>45535</v>
      </c>
      <c r="Q209" s="11" t="str">
        <f t="shared" ca="1" si="18"/>
        <v>Vigente</v>
      </c>
      <c r="R209" s="96"/>
      <c r="S209" s="11"/>
      <c r="T209" s="11" t="str">
        <f t="shared" si="19"/>
        <v/>
      </c>
      <c r="U209" s="11"/>
      <c r="V209" s="11" t="s">
        <v>796</v>
      </c>
      <c r="W209" s="29" t="s">
        <v>810</v>
      </c>
      <c r="X209" s="129"/>
      <c r="Y209" s="11"/>
      <c r="Z209" s="11"/>
      <c r="AA209" s="11"/>
      <c r="AB209" s="11"/>
      <c r="AC209" s="11"/>
      <c r="AD209" s="11"/>
      <c r="AE209" s="11"/>
      <c r="AF209" s="11"/>
      <c r="AG209" s="98"/>
      <c r="AH209" s="11" t="s">
        <v>32</v>
      </c>
    </row>
    <row r="210" spans="1:34" hidden="1" x14ac:dyDescent="0.3">
      <c r="A210" s="7" t="str">
        <f t="shared" si="15"/>
        <v>TR-1209</v>
      </c>
      <c r="B210" s="11" t="s">
        <v>667</v>
      </c>
      <c r="C210" s="141" t="s">
        <v>668</v>
      </c>
      <c r="D210" s="98">
        <v>38036</v>
      </c>
      <c r="E210" s="111">
        <f t="shared" ca="1" si="16"/>
        <v>22</v>
      </c>
      <c r="F210" s="132" t="s">
        <v>743</v>
      </c>
      <c r="G210" s="11" t="s">
        <v>254</v>
      </c>
      <c r="H210" s="139" t="s">
        <v>746</v>
      </c>
      <c r="I210" s="140" t="s">
        <v>751</v>
      </c>
      <c r="J210" s="132"/>
      <c r="K210" s="11" t="s">
        <v>774</v>
      </c>
      <c r="L210" s="96">
        <v>45913</v>
      </c>
      <c r="M210" s="96" t="str" cm="1">
        <f t="array" ref="M210">_xlfn.XLOOKUP(B210&amp;"", 'Registro EMO'!$C$13:$C$4248&amp;"", 'Registro EMO'!$F$13:$F$4248, "Sin registro", 0, -1)</f>
        <v>Sin registro</v>
      </c>
      <c r="N210" s="11" t="str" cm="1">
        <f t="array" ref="N210">_xlfn.XLOOKUP(B210&amp;"", 'Registro EMO'!$C$13:$C$4248&amp;"", 'Registro EMO'!$E$13:$E$4248, "Sin registro", 0, -1)</f>
        <v>Sin registro</v>
      </c>
      <c r="O210" s="11" t="str">
        <f t="shared" si="17"/>
        <v>NO</v>
      </c>
      <c r="P210" s="130" t="str" cm="1">
        <f t="array" ref="P210">_xlfn.LET(
    _xlpm.resultado, _xlfn.XLOOKUP(B210&amp;"", 'Registro EMO'!$C$13:$C$4248&amp;"", 'Registro EMO'!$I$13:$I$4248, "NO", 0, -1),
    IF(_xlpm.resultado=0, "NO", _xlpm.resultado)
)</f>
        <v>NO</v>
      </c>
      <c r="Q210" s="11" t="str">
        <f t="shared" ca="1" si="18"/>
        <v>Pendiente</v>
      </c>
      <c r="R210" s="96"/>
      <c r="S210" s="11"/>
      <c r="T210" s="11" t="str">
        <f t="shared" si="19"/>
        <v/>
      </c>
      <c r="U210" s="11"/>
      <c r="V210" s="11"/>
      <c r="W210" s="29"/>
      <c r="X210" s="129"/>
      <c r="Y210" s="11"/>
      <c r="Z210" s="11"/>
      <c r="AA210" s="11"/>
      <c r="AB210" s="11"/>
      <c r="AC210" s="11"/>
      <c r="AD210" s="11"/>
      <c r="AE210" s="11"/>
      <c r="AF210" s="11"/>
      <c r="AG210" s="98"/>
      <c r="AH210" s="11"/>
    </row>
    <row r="211" spans="1:34" hidden="1" x14ac:dyDescent="0.3">
      <c r="A211" s="7" t="str">
        <f t="shared" si="15"/>
        <v>TR-1210</v>
      </c>
      <c r="B211" s="11" t="s">
        <v>669</v>
      </c>
      <c r="C211" s="141" t="s">
        <v>670</v>
      </c>
      <c r="D211" s="98">
        <v>33675</v>
      </c>
      <c r="E211" s="111">
        <f t="shared" ca="1" si="16"/>
        <v>34</v>
      </c>
      <c r="F211" s="132" t="s">
        <v>743</v>
      </c>
      <c r="G211" s="11" t="s">
        <v>254</v>
      </c>
      <c r="H211" s="139" t="s">
        <v>746</v>
      </c>
      <c r="I211" s="140" t="s">
        <v>751</v>
      </c>
      <c r="J211" s="132"/>
      <c r="K211" s="11" t="s">
        <v>773</v>
      </c>
      <c r="L211" s="96">
        <v>46029</v>
      </c>
      <c r="M211" s="96" t="str" cm="1">
        <f t="array" ref="M211">_xlfn.XLOOKUP(B211&amp;"", 'Registro EMO'!$C$13:$C$4248&amp;"", 'Registro EMO'!$F$13:$F$4248, "Sin registro", 0, -1)</f>
        <v>Sin registro</v>
      </c>
      <c r="N211" s="11" t="str" cm="1">
        <f t="array" ref="N211">_xlfn.XLOOKUP(B211&amp;"", 'Registro EMO'!$C$13:$C$4248&amp;"", 'Registro EMO'!$E$13:$E$4248, "Sin registro", 0, -1)</f>
        <v>Sin registro</v>
      </c>
      <c r="O211" s="11" t="str">
        <f t="shared" si="17"/>
        <v>NO</v>
      </c>
      <c r="P211" s="130" t="str" cm="1">
        <f t="array" ref="P211">_xlfn.LET(
    _xlpm.resultado, _xlfn.XLOOKUP(B211&amp;"", 'Registro EMO'!$C$13:$C$4248&amp;"", 'Registro EMO'!$I$13:$I$4248, "NO", 0, -1),
    IF(_xlpm.resultado=0, "NO", _xlpm.resultado)
)</f>
        <v>NO</v>
      </c>
      <c r="Q211" s="11" t="str">
        <f t="shared" ca="1" si="18"/>
        <v>Pendiente</v>
      </c>
      <c r="R211" s="96"/>
      <c r="S211" s="11"/>
      <c r="T211" s="11" t="str">
        <f t="shared" si="19"/>
        <v/>
      </c>
      <c r="U211" s="11"/>
      <c r="V211" s="11"/>
      <c r="W211" s="29"/>
      <c r="X211" s="129"/>
      <c r="Y211" s="11"/>
      <c r="Z211" s="11"/>
      <c r="AA211" s="11"/>
      <c r="AB211" s="11"/>
      <c r="AC211" s="11"/>
      <c r="AD211" s="11"/>
      <c r="AE211" s="11"/>
      <c r="AF211" s="11"/>
      <c r="AG211" s="98"/>
      <c r="AH211" s="11"/>
    </row>
    <row r="212" spans="1:34" hidden="1" x14ac:dyDescent="0.3">
      <c r="A212" s="7" t="str">
        <f t="shared" si="15"/>
        <v>TR-1211</v>
      </c>
      <c r="B212" s="11" t="s">
        <v>671</v>
      </c>
      <c r="C212" s="141" t="s">
        <v>672</v>
      </c>
      <c r="D212" s="98">
        <v>38417</v>
      </c>
      <c r="E212" s="111">
        <f t="shared" ca="1" si="16"/>
        <v>21</v>
      </c>
      <c r="F212" s="132" t="s">
        <v>743</v>
      </c>
      <c r="G212" s="11" t="s">
        <v>254</v>
      </c>
      <c r="H212" s="139" t="s">
        <v>746</v>
      </c>
      <c r="I212" s="140" t="s">
        <v>747</v>
      </c>
      <c r="J212" s="132"/>
      <c r="K212" s="11" t="s">
        <v>773</v>
      </c>
      <c r="L212" s="96">
        <v>42552</v>
      </c>
      <c r="M212" s="96" t="str" cm="1">
        <f t="array" ref="M212">_xlfn.XLOOKUP(B212&amp;"", 'Registro EMO'!$C$13:$C$4248&amp;"", 'Registro EMO'!$F$13:$F$4248, "Sin registro", 0, -1)</f>
        <v>Sin registro</v>
      </c>
      <c r="N212" s="11" t="str" cm="1">
        <f t="array" ref="N212">_xlfn.XLOOKUP(B212&amp;"", 'Registro EMO'!$C$13:$C$4248&amp;"", 'Registro EMO'!$E$13:$E$4248, "Sin registro", 0, -1)</f>
        <v>Sin registro</v>
      </c>
      <c r="O212" s="11" t="str">
        <f t="shared" si="17"/>
        <v>NO</v>
      </c>
      <c r="P212" s="130" t="str" cm="1">
        <f t="array" ref="P212">_xlfn.LET(
    _xlpm.resultado, _xlfn.XLOOKUP(B212&amp;"", 'Registro EMO'!$C$13:$C$4248&amp;"", 'Registro EMO'!$I$13:$I$4248, "NO", 0, -1),
    IF(_xlpm.resultado=0, "NO", _xlpm.resultado)
)</f>
        <v>NO</v>
      </c>
      <c r="Q212" s="11" t="str">
        <f t="shared" ca="1" si="18"/>
        <v>Pendiente</v>
      </c>
      <c r="R212" s="96"/>
      <c r="S212" s="11"/>
      <c r="T212" s="11" t="str">
        <f t="shared" si="19"/>
        <v/>
      </c>
      <c r="U212" s="11"/>
      <c r="V212" s="11"/>
      <c r="W212" s="29"/>
      <c r="X212" s="129"/>
      <c r="Y212" s="11"/>
      <c r="Z212" s="11"/>
      <c r="AA212" s="11"/>
      <c r="AB212" s="11"/>
      <c r="AC212" s="11"/>
      <c r="AD212" s="11"/>
      <c r="AE212" s="11"/>
      <c r="AF212" s="11"/>
      <c r="AG212" s="98"/>
      <c r="AH212" s="11"/>
    </row>
    <row r="213" spans="1:34" hidden="1" x14ac:dyDescent="0.3">
      <c r="A213" s="7" t="str">
        <f t="shared" si="15"/>
        <v>TR-1212</v>
      </c>
      <c r="B213" s="11" t="s">
        <v>673</v>
      </c>
      <c r="C213" s="141" t="s">
        <v>674</v>
      </c>
      <c r="D213" s="98">
        <v>36771</v>
      </c>
      <c r="E213" s="111">
        <f t="shared" ca="1" si="16"/>
        <v>25</v>
      </c>
      <c r="F213" s="132" t="s">
        <v>743</v>
      </c>
      <c r="G213" s="11" t="s">
        <v>254</v>
      </c>
      <c r="H213" s="139" t="s">
        <v>746</v>
      </c>
      <c r="I213" s="140" t="s">
        <v>751</v>
      </c>
      <c r="J213" s="132"/>
      <c r="K213" s="11" t="s">
        <v>773</v>
      </c>
      <c r="L213" s="96">
        <v>45170</v>
      </c>
      <c r="M213" s="96" t="str" cm="1">
        <f t="array" ref="M213">_xlfn.XLOOKUP(B213&amp;"", 'Registro EMO'!$C$13:$C$4248&amp;"", 'Registro EMO'!$F$13:$F$4248, "Sin registro", 0, -1)</f>
        <v>13/11/2026</v>
      </c>
      <c r="N213" s="11" t="str" cm="1">
        <f t="array" ref="N213">_xlfn.XLOOKUP(B213&amp;"", 'Registro EMO'!$C$13:$C$4248&amp;"", 'Registro EMO'!$E$13:$E$4248, "Sin registro", 0, -1)</f>
        <v>Pre-Ocupacional</v>
      </c>
      <c r="O213" s="11" t="str">
        <f t="shared" si="17"/>
        <v>SI</v>
      </c>
      <c r="P213" s="150" cm="1">
        <f t="array" ref="P213">_xlfn.LET(
    _xlpm.resultado, _xlfn.XLOOKUP(B213&amp;"", 'Registro EMO'!$C$13:$C$4248&amp;"", 'Registro EMO'!$I$13:$I$4248, "NO", 0, -1),
    IF(_xlpm.resultado=0, "NO", _xlpm.resultado)
)</f>
        <v>45991</v>
      </c>
      <c r="Q213" s="11" t="str">
        <f t="shared" ca="1" si="18"/>
        <v>Vigente</v>
      </c>
      <c r="R213" s="96"/>
      <c r="S213" s="11"/>
      <c r="T213" s="11" t="str">
        <f t="shared" si="19"/>
        <v/>
      </c>
      <c r="U213" s="11"/>
      <c r="V213" s="11" t="s">
        <v>807</v>
      </c>
      <c r="W213" s="29" t="s">
        <v>786</v>
      </c>
      <c r="X213" s="129"/>
      <c r="Y213" s="11"/>
      <c r="Z213" s="11"/>
      <c r="AA213" s="11"/>
      <c r="AB213" s="11"/>
      <c r="AC213" s="11"/>
      <c r="AD213" s="11"/>
      <c r="AE213" s="11"/>
      <c r="AF213" s="11"/>
      <c r="AG213" s="98"/>
      <c r="AH213" s="11" t="s">
        <v>32</v>
      </c>
    </row>
    <row r="214" spans="1:34" hidden="1" x14ac:dyDescent="0.3">
      <c r="A214" s="7" t="str">
        <f t="shared" si="15"/>
        <v>TR-1213</v>
      </c>
      <c r="B214" s="11" t="s">
        <v>675</v>
      </c>
      <c r="C214" s="141" t="s">
        <v>676</v>
      </c>
      <c r="D214" s="98">
        <v>34912</v>
      </c>
      <c r="E214" s="111">
        <f t="shared" ca="1" si="16"/>
        <v>30</v>
      </c>
      <c r="F214" s="132" t="s">
        <v>743</v>
      </c>
      <c r="G214" s="11" t="s">
        <v>254</v>
      </c>
      <c r="H214" s="139" t="s">
        <v>746</v>
      </c>
      <c r="I214" s="140" t="s">
        <v>751</v>
      </c>
      <c r="J214" s="132"/>
      <c r="K214" s="11" t="s">
        <v>773</v>
      </c>
      <c r="L214" s="96">
        <v>44386</v>
      </c>
      <c r="M214" s="96" t="str" cm="1">
        <f t="array" ref="M214">_xlfn.XLOOKUP(B214&amp;"", 'Registro EMO'!$C$13:$C$4248&amp;"", 'Registro EMO'!$F$13:$F$4248, "Sin registro", 0, -1)</f>
        <v>Sin registro</v>
      </c>
      <c r="N214" s="11" t="str" cm="1">
        <f t="array" ref="N214">_xlfn.XLOOKUP(B214&amp;"", 'Registro EMO'!$C$13:$C$4248&amp;"", 'Registro EMO'!$E$13:$E$4248, "Sin registro", 0, -1)</f>
        <v>Sin registro</v>
      </c>
      <c r="O214" s="11" t="str">
        <f t="shared" si="17"/>
        <v>NO</v>
      </c>
      <c r="P214" s="130" t="str" cm="1">
        <f t="array" ref="P214">_xlfn.LET(
    _xlpm.resultado, _xlfn.XLOOKUP(B214&amp;"", 'Registro EMO'!$C$13:$C$4248&amp;"", 'Registro EMO'!$I$13:$I$4248, "NO", 0, -1),
    IF(_xlpm.resultado=0, "NO", _xlpm.resultado)
)</f>
        <v>NO</v>
      </c>
      <c r="Q214" s="11" t="str">
        <f t="shared" ca="1" si="18"/>
        <v>Pendiente</v>
      </c>
      <c r="R214" s="96"/>
      <c r="S214" s="11"/>
      <c r="T214" s="11" t="str">
        <f t="shared" si="19"/>
        <v/>
      </c>
      <c r="U214" s="11"/>
      <c r="V214" s="11"/>
      <c r="W214" s="29"/>
      <c r="X214" s="129"/>
      <c r="Y214" s="11"/>
      <c r="Z214" s="11"/>
      <c r="AA214" s="11"/>
      <c r="AB214" s="11"/>
      <c r="AC214" s="11"/>
      <c r="AD214" s="11"/>
      <c r="AE214" s="11"/>
      <c r="AF214" s="11"/>
      <c r="AG214" s="98"/>
      <c r="AH214" s="11"/>
    </row>
    <row r="215" spans="1:34" hidden="1" x14ac:dyDescent="0.3">
      <c r="A215" s="7" t="str">
        <f t="shared" si="15"/>
        <v>TR-1214</v>
      </c>
      <c r="B215" s="11" t="s">
        <v>677</v>
      </c>
      <c r="C215" s="141" t="s">
        <v>678</v>
      </c>
      <c r="D215" s="98">
        <v>37895</v>
      </c>
      <c r="E215" s="111">
        <f t="shared" ca="1" si="16"/>
        <v>22</v>
      </c>
      <c r="F215" s="132" t="s">
        <v>743</v>
      </c>
      <c r="G215" s="11" t="s">
        <v>254</v>
      </c>
      <c r="H215" s="139" t="s">
        <v>746</v>
      </c>
      <c r="I215" s="140" t="s">
        <v>751</v>
      </c>
      <c r="J215" s="132"/>
      <c r="K215" s="11" t="s">
        <v>773</v>
      </c>
      <c r="L215" s="96">
        <v>45859</v>
      </c>
      <c r="M215" s="96" t="str" cm="1">
        <f t="array" ref="M215">_xlfn.XLOOKUP(B215&amp;"", 'Registro EMO'!$C$13:$C$4248&amp;"", 'Registro EMO'!$F$13:$F$4248, "Sin registro", 0, -1)</f>
        <v>Sin registro</v>
      </c>
      <c r="N215" s="11" t="str" cm="1">
        <f t="array" ref="N215">_xlfn.XLOOKUP(B215&amp;"", 'Registro EMO'!$C$13:$C$4248&amp;"", 'Registro EMO'!$E$13:$E$4248, "Sin registro", 0, -1)</f>
        <v>Sin registro</v>
      </c>
      <c r="O215" s="11" t="str">
        <f t="shared" si="17"/>
        <v>NO</v>
      </c>
      <c r="P215" s="130" t="str" cm="1">
        <f t="array" ref="P215">_xlfn.LET(
    _xlpm.resultado, _xlfn.XLOOKUP(B215&amp;"", 'Registro EMO'!$C$13:$C$4248&amp;"", 'Registro EMO'!$I$13:$I$4248, "NO", 0, -1),
    IF(_xlpm.resultado=0, "NO", _xlpm.resultado)
)</f>
        <v>NO</v>
      </c>
      <c r="Q215" s="11" t="str">
        <f t="shared" ca="1" si="18"/>
        <v>Pendiente</v>
      </c>
      <c r="R215" s="96"/>
      <c r="S215" s="11"/>
      <c r="T215" s="11" t="str">
        <f t="shared" si="19"/>
        <v/>
      </c>
      <c r="U215" s="11"/>
      <c r="V215" s="11"/>
      <c r="W215" s="29"/>
      <c r="X215" s="129"/>
      <c r="Y215" s="11"/>
      <c r="Z215" s="11"/>
      <c r="AA215" s="11"/>
      <c r="AB215" s="11"/>
      <c r="AC215" s="11"/>
      <c r="AD215" s="11"/>
      <c r="AE215" s="11"/>
      <c r="AF215" s="11"/>
      <c r="AG215" s="98"/>
      <c r="AH215" s="11"/>
    </row>
    <row r="216" spans="1:34" hidden="1" x14ac:dyDescent="0.3">
      <c r="A216" s="7" t="str">
        <f t="shared" si="15"/>
        <v>TR-1215</v>
      </c>
      <c r="B216" s="11" t="s">
        <v>679</v>
      </c>
      <c r="C216" s="141" t="s">
        <v>680</v>
      </c>
      <c r="D216" s="98">
        <v>38771</v>
      </c>
      <c r="E216" s="111">
        <f t="shared" ca="1" si="16"/>
        <v>20</v>
      </c>
      <c r="F216" s="132" t="s">
        <v>743</v>
      </c>
      <c r="G216" s="11" t="s">
        <v>254</v>
      </c>
      <c r="H216" s="139" t="s">
        <v>746</v>
      </c>
      <c r="I216" s="140" t="s">
        <v>751</v>
      </c>
      <c r="J216" s="132"/>
      <c r="K216" s="11" t="s">
        <v>773</v>
      </c>
      <c r="L216" s="96">
        <v>44332</v>
      </c>
      <c r="M216" s="96" t="str" cm="1">
        <f t="array" ref="M216">_xlfn.XLOOKUP(B216&amp;"", 'Registro EMO'!$C$13:$C$4248&amp;"", 'Registro EMO'!$F$13:$F$4248, "Sin registro", 0, -1)</f>
        <v>Sin registro</v>
      </c>
      <c r="N216" s="11" t="str" cm="1">
        <f t="array" ref="N216">_xlfn.XLOOKUP(B216&amp;"", 'Registro EMO'!$C$13:$C$4248&amp;"", 'Registro EMO'!$E$13:$E$4248, "Sin registro", 0, -1)</f>
        <v>Sin registro</v>
      </c>
      <c r="O216" s="11" t="str">
        <f t="shared" si="17"/>
        <v>NO</v>
      </c>
      <c r="P216" s="130" t="str" cm="1">
        <f t="array" ref="P216">_xlfn.LET(
    _xlpm.resultado, _xlfn.XLOOKUP(B216&amp;"", 'Registro EMO'!$C$13:$C$4248&amp;"", 'Registro EMO'!$I$13:$I$4248, "NO", 0, -1),
    IF(_xlpm.resultado=0, "NO", _xlpm.resultado)
)</f>
        <v>NO</v>
      </c>
      <c r="Q216" s="11" t="str">
        <f t="shared" ca="1" si="18"/>
        <v>Pendiente</v>
      </c>
      <c r="R216" s="96"/>
      <c r="S216" s="11"/>
      <c r="T216" s="11" t="str">
        <f t="shared" si="19"/>
        <v/>
      </c>
      <c r="U216" s="11"/>
      <c r="V216" s="11"/>
      <c r="W216" s="29"/>
      <c r="X216" s="129"/>
      <c r="Y216" s="11"/>
      <c r="Z216" s="11"/>
      <c r="AA216" s="11"/>
      <c r="AB216" s="11"/>
      <c r="AC216" s="11"/>
      <c r="AD216" s="11"/>
      <c r="AE216" s="11"/>
      <c r="AF216" s="11"/>
      <c r="AG216" s="98"/>
      <c r="AH216" s="11"/>
    </row>
    <row r="217" spans="1:34" hidden="1" x14ac:dyDescent="0.3">
      <c r="A217" s="7" t="str">
        <f t="shared" si="15"/>
        <v>TR-1216</v>
      </c>
      <c r="B217" s="11" t="s">
        <v>681</v>
      </c>
      <c r="C217" s="141" t="s">
        <v>682</v>
      </c>
      <c r="D217" s="98">
        <v>33688</v>
      </c>
      <c r="E217" s="111">
        <f t="shared" ca="1" si="16"/>
        <v>33</v>
      </c>
      <c r="F217" s="132" t="s">
        <v>743</v>
      </c>
      <c r="G217" s="11" t="s">
        <v>254</v>
      </c>
      <c r="H217" s="139" t="s">
        <v>746</v>
      </c>
      <c r="I217" s="140" t="s">
        <v>747</v>
      </c>
      <c r="J217" s="132"/>
      <c r="K217" s="11" t="s">
        <v>773</v>
      </c>
      <c r="L217" s="96">
        <v>46015</v>
      </c>
      <c r="M217" s="96" t="str" cm="1">
        <f t="array" ref="M217">_xlfn.XLOOKUP(B217&amp;"", 'Registro EMO'!$C$13:$C$4248&amp;"", 'Registro EMO'!$F$13:$F$4248, "Sin registro", 0, -1)</f>
        <v>23/01/2026</v>
      </c>
      <c r="N217" s="11" t="str" cm="1">
        <f t="array" ref="N217">_xlfn.XLOOKUP(B217&amp;"", 'Registro EMO'!$C$13:$C$4248&amp;"", 'Registro EMO'!$E$13:$E$4248, "Sin registro", 0, -1)</f>
        <v>Pre-Ocupacional</v>
      </c>
      <c r="O217" s="11" t="str">
        <f t="shared" si="17"/>
        <v>NO</v>
      </c>
      <c r="P217" s="130" t="str" cm="1">
        <f t="array" ref="P217">_xlfn.LET(
    _xlpm.resultado, _xlfn.XLOOKUP(B217&amp;"", 'Registro EMO'!$C$13:$C$4248&amp;"", 'Registro EMO'!$I$13:$I$4248, "NO", 0, -1),
    IF(_xlpm.resultado=0, "NO", _xlpm.resultado)
)</f>
        <v>NO</v>
      </c>
      <c r="Q217" s="11" t="str">
        <f t="shared" ca="1" si="18"/>
        <v>Vigente</v>
      </c>
      <c r="R217" s="96"/>
      <c r="S217" s="11"/>
      <c r="T217" s="11" t="str">
        <f t="shared" si="19"/>
        <v/>
      </c>
      <c r="U217" s="11"/>
      <c r="V217" s="11" t="s">
        <v>796</v>
      </c>
      <c r="W217" s="29"/>
      <c r="X217" s="129"/>
      <c r="Y217" s="11"/>
      <c r="Z217" s="11"/>
      <c r="AA217" s="11"/>
      <c r="AB217" s="11"/>
      <c r="AC217" s="11"/>
      <c r="AD217" s="11"/>
      <c r="AE217" s="11"/>
      <c r="AF217" s="11"/>
      <c r="AG217" s="98"/>
      <c r="AH217" s="11" t="s">
        <v>32</v>
      </c>
    </row>
    <row r="218" spans="1:34" hidden="1" x14ac:dyDescent="0.3">
      <c r="A218" s="7" t="str">
        <f t="shared" si="15"/>
        <v>TR-1217</v>
      </c>
      <c r="B218" s="11" t="s">
        <v>683</v>
      </c>
      <c r="C218" s="141" t="s">
        <v>684</v>
      </c>
      <c r="D218" s="98">
        <v>35192</v>
      </c>
      <c r="E218" s="111">
        <f t="shared" ca="1" si="16"/>
        <v>29</v>
      </c>
      <c r="F218" s="132" t="s">
        <v>743</v>
      </c>
      <c r="G218" s="11" t="s">
        <v>254</v>
      </c>
      <c r="H218" s="139" t="s">
        <v>749</v>
      </c>
      <c r="I218" s="140" t="s">
        <v>750</v>
      </c>
      <c r="J218" s="132"/>
      <c r="K218" s="11" t="s">
        <v>773</v>
      </c>
      <c r="L218" s="96">
        <v>40179</v>
      </c>
      <c r="M218" s="96" t="str" cm="1">
        <f t="array" ref="M218">_xlfn.XLOOKUP(B218&amp;"", 'Registro EMO'!$C$13:$C$4248&amp;"", 'Registro EMO'!$F$13:$F$4248, "Sin registro", 0, -1)</f>
        <v>Sin registro</v>
      </c>
      <c r="N218" s="11" t="str" cm="1">
        <f t="array" ref="N218">_xlfn.XLOOKUP(B218&amp;"", 'Registro EMO'!$C$13:$C$4248&amp;"", 'Registro EMO'!$E$13:$E$4248, "Sin registro", 0, -1)</f>
        <v>Sin registro</v>
      </c>
      <c r="O218" s="11" t="str">
        <f t="shared" si="17"/>
        <v>NO</v>
      </c>
      <c r="P218" s="130" t="str" cm="1">
        <f t="array" ref="P218">_xlfn.LET(
    _xlpm.resultado, _xlfn.XLOOKUP(B218&amp;"", 'Registro EMO'!$C$13:$C$4248&amp;"", 'Registro EMO'!$I$13:$I$4248, "NO", 0, -1),
    IF(_xlpm.resultado=0, "NO", _xlpm.resultado)
)</f>
        <v>NO</v>
      </c>
      <c r="Q218" s="11" t="str">
        <f t="shared" ca="1" si="18"/>
        <v>Pendiente</v>
      </c>
      <c r="R218" s="96"/>
      <c r="S218" s="11"/>
      <c r="T218" s="11" t="str">
        <f t="shared" si="19"/>
        <v/>
      </c>
      <c r="U218" s="11"/>
      <c r="V218" s="11" t="s">
        <v>807</v>
      </c>
      <c r="W218" s="29"/>
      <c r="X218" s="129"/>
      <c r="Y218" s="11"/>
      <c r="Z218" s="11"/>
      <c r="AA218" s="11"/>
      <c r="AB218" s="11"/>
      <c r="AC218" s="11"/>
      <c r="AD218" s="11"/>
      <c r="AE218" s="11"/>
      <c r="AF218" s="11"/>
      <c r="AG218" s="98"/>
      <c r="AH218" s="11" t="s">
        <v>32</v>
      </c>
    </row>
    <row r="219" spans="1:34" hidden="1" x14ac:dyDescent="0.3">
      <c r="A219" s="7" t="str">
        <f t="shared" si="15"/>
        <v>TR-1218</v>
      </c>
      <c r="B219" s="11" t="s">
        <v>685</v>
      </c>
      <c r="C219" s="141" t="s">
        <v>686</v>
      </c>
      <c r="D219" s="98">
        <v>35737</v>
      </c>
      <c r="E219" s="111">
        <f t="shared" ca="1" si="16"/>
        <v>28</v>
      </c>
      <c r="F219" s="132" t="s">
        <v>743</v>
      </c>
      <c r="G219" s="11" t="s">
        <v>254</v>
      </c>
      <c r="H219" s="139" t="s">
        <v>746</v>
      </c>
      <c r="I219" s="140" t="s">
        <v>747</v>
      </c>
      <c r="J219" s="132"/>
      <c r="K219" s="11" t="s">
        <v>773</v>
      </c>
      <c r="L219" s="96">
        <v>43846</v>
      </c>
      <c r="M219" s="96" t="str" cm="1">
        <f t="array" ref="M219">_xlfn.XLOOKUP(B219&amp;"", 'Registro EMO'!$C$13:$C$4248&amp;"", 'Registro EMO'!$F$13:$F$4248, "Sin registro", 0, -1)</f>
        <v>17/07/2026</v>
      </c>
      <c r="N219" s="11" t="str" cm="1">
        <f t="array" ref="N219">_xlfn.XLOOKUP(B219&amp;"", 'Registro EMO'!$C$13:$C$4248&amp;"", 'Registro EMO'!$E$13:$E$4248, "Sin registro", 0, -1)</f>
        <v>Pre-Ocupacional</v>
      </c>
      <c r="O219" s="11" t="str">
        <f t="shared" si="17"/>
        <v>SI</v>
      </c>
      <c r="P219" s="150" cm="1">
        <f t="array" ref="P219">_xlfn.LET(
    _xlpm.resultado, _xlfn.XLOOKUP(B219&amp;"", 'Registro EMO'!$C$13:$C$4248&amp;"", 'Registro EMO'!$I$13:$I$4248, "NO", 0, -1),
    IF(_xlpm.resultado=0, "NO", _xlpm.resultado)
)</f>
        <v>45504</v>
      </c>
      <c r="Q219" s="11" t="str">
        <f t="shared" ca="1" si="18"/>
        <v>Vigente</v>
      </c>
      <c r="R219" s="96"/>
      <c r="S219" s="11"/>
      <c r="T219" s="11" t="str">
        <f t="shared" si="19"/>
        <v/>
      </c>
      <c r="U219" s="11"/>
      <c r="V219" s="11" t="s">
        <v>796</v>
      </c>
      <c r="W219" s="29" t="s">
        <v>778</v>
      </c>
      <c r="X219" s="129"/>
      <c r="Y219" s="11"/>
      <c r="Z219" s="11"/>
      <c r="AA219" s="11"/>
      <c r="AB219" s="11"/>
      <c r="AC219" s="11"/>
      <c r="AD219" s="11"/>
      <c r="AE219" s="11"/>
      <c r="AF219" s="11"/>
      <c r="AG219" s="98"/>
      <c r="AH219" s="11" t="s">
        <v>32</v>
      </c>
    </row>
    <row r="220" spans="1:34" hidden="1" x14ac:dyDescent="0.3">
      <c r="A220" s="7" t="str">
        <f t="shared" si="15"/>
        <v>TR-1219</v>
      </c>
      <c r="B220" s="11" t="s">
        <v>687</v>
      </c>
      <c r="C220" s="141" t="s">
        <v>688</v>
      </c>
      <c r="D220" s="98">
        <v>29962</v>
      </c>
      <c r="E220" s="111">
        <f t="shared" ca="1" si="16"/>
        <v>44</v>
      </c>
      <c r="F220" s="132" t="s">
        <v>743</v>
      </c>
      <c r="G220" s="11" t="s">
        <v>254</v>
      </c>
      <c r="H220" s="139" t="s">
        <v>746</v>
      </c>
      <c r="I220" s="140" t="s">
        <v>751</v>
      </c>
      <c r="J220" s="132"/>
      <c r="K220" s="11" t="s">
        <v>773</v>
      </c>
      <c r="L220" s="96">
        <v>44440</v>
      </c>
      <c r="M220" s="96" t="str" cm="1">
        <f t="array" ref="M220">_xlfn.XLOOKUP(B220&amp;"", 'Registro EMO'!$C$13:$C$4248&amp;"", 'Registro EMO'!$F$13:$F$4248, "Sin registro", 0, -1)</f>
        <v>15/09/2026</v>
      </c>
      <c r="N220" s="11" t="str" cm="1">
        <f t="array" ref="N220">_xlfn.XLOOKUP(B220&amp;"", 'Registro EMO'!$C$13:$C$4248&amp;"", 'Registro EMO'!$E$13:$E$4248, "Sin registro", 0, -1)</f>
        <v>Pre-Ocupacional</v>
      </c>
      <c r="O220" s="11" t="str">
        <f t="shared" si="17"/>
        <v>SI</v>
      </c>
      <c r="P220" s="150" cm="1">
        <f t="array" ref="P220">_xlfn.LET(
    _xlpm.resultado, _xlfn.XLOOKUP(B220&amp;"", 'Registro EMO'!$C$13:$C$4248&amp;"", 'Registro EMO'!$I$13:$I$4248, "NO", 0, -1),
    IF(_xlpm.resultado=0, "NO", _xlpm.resultado)
)</f>
        <v>45199</v>
      </c>
      <c r="Q220" s="11" t="str">
        <f t="shared" ca="1" si="18"/>
        <v>Vigente</v>
      </c>
      <c r="R220" s="96"/>
      <c r="S220" s="11"/>
      <c r="T220" s="11" t="str">
        <f t="shared" si="19"/>
        <v/>
      </c>
      <c r="U220" s="11"/>
      <c r="V220" s="11" t="s">
        <v>796</v>
      </c>
      <c r="W220" s="29" t="s">
        <v>811</v>
      </c>
      <c r="X220" s="129"/>
      <c r="Y220" s="11"/>
      <c r="Z220" s="11"/>
      <c r="AA220" s="11"/>
      <c r="AB220" s="11"/>
      <c r="AC220" s="11"/>
      <c r="AD220" s="11"/>
      <c r="AE220" s="11"/>
      <c r="AF220" s="11"/>
      <c r="AG220" s="98"/>
      <c r="AH220" s="11" t="s">
        <v>32</v>
      </c>
    </row>
    <row r="221" spans="1:34" hidden="1" x14ac:dyDescent="0.3">
      <c r="A221" s="7" t="str">
        <f t="shared" si="15"/>
        <v>TR-1220</v>
      </c>
      <c r="B221" s="11" t="s">
        <v>689</v>
      </c>
      <c r="C221" s="141" t="s">
        <v>690</v>
      </c>
      <c r="D221" s="98">
        <v>36607</v>
      </c>
      <c r="E221" s="111">
        <f t="shared" ca="1" si="16"/>
        <v>25</v>
      </c>
      <c r="F221" s="132" t="s">
        <v>743</v>
      </c>
      <c r="G221" s="11" t="s">
        <v>254</v>
      </c>
      <c r="H221" s="139" t="s">
        <v>744</v>
      </c>
      <c r="I221" s="140" t="s">
        <v>748</v>
      </c>
      <c r="J221" s="132"/>
      <c r="K221" s="11" t="s">
        <v>773</v>
      </c>
      <c r="L221" s="96">
        <v>45908</v>
      </c>
      <c r="M221" s="96" t="str" cm="1">
        <f t="array" ref="M221">_xlfn.XLOOKUP(B221&amp;"", 'Registro EMO'!$C$13:$C$4248&amp;"", 'Registro EMO'!$F$13:$F$4248, "Sin registro", 0, -1)</f>
        <v>Sin registro</v>
      </c>
      <c r="N221" s="11" t="str" cm="1">
        <f t="array" ref="N221">_xlfn.XLOOKUP(B221&amp;"", 'Registro EMO'!$C$13:$C$4248&amp;"", 'Registro EMO'!$E$13:$E$4248, "Sin registro", 0, -1)</f>
        <v>Sin registro</v>
      </c>
      <c r="O221" s="11" t="str">
        <f t="shared" si="17"/>
        <v>NO</v>
      </c>
      <c r="P221" s="130" t="str" cm="1">
        <f t="array" ref="P221">_xlfn.LET(
    _xlpm.resultado, _xlfn.XLOOKUP(B221&amp;"", 'Registro EMO'!$C$13:$C$4248&amp;"", 'Registro EMO'!$I$13:$I$4248, "NO", 0, -1),
    IF(_xlpm.resultado=0, "NO", _xlpm.resultado)
)</f>
        <v>NO</v>
      </c>
      <c r="Q221" s="11" t="str">
        <f t="shared" ca="1" si="18"/>
        <v>Pendiente</v>
      </c>
      <c r="R221" s="96"/>
      <c r="S221" s="11"/>
      <c r="T221" s="11" t="str">
        <f t="shared" si="19"/>
        <v/>
      </c>
      <c r="U221" s="11"/>
      <c r="V221" s="11"/>
      <c r="W221" s="29"/>
      <c r="X221" s="129"/>
      <c r="Y221" s="11"/>
      <c r="Z221" s="11"/>
      <c r="AA221" s="11"/>
      <c r="AB221" s="11"/>
      <c r="AC221" s="11"/>
      <c r="AD221" s="11"/>
      <c r="AE221" s="11"/>
      <c r="AF221" s="11"/>
      <c r="AG221" s="98"/>
      <c r="AH221" s="11"/>
    </row>
    <row r="222" spans="1:34" hidden="1" x14ac:dyDescent="0.3">
      <c r="A222" s="7" t="str">
        <f t="shared" si="15"/>
        <v>TR-1221</v>
      </c>
      <c r="B222" s="11" t="s">
        <v>691</v>
      </c>
      <c r="C222" s="141" t="s">
        <v>692</v>
      </c>
      <c r="D222" s="98">
        <v>31216</v>
      </c>
      <c r="E222" s="111">
        <f t="shared" ca="1" si="16"/>
        <v>40</v>
      </c>
      <c r="F222" s="132" t="s">
        <v>743</v>
      </c>
      <c r="G222" s="11" t="s">
        <v>254</v>
      </c>
      <c r="H222" s="139" t="s">
        <v>746</v>
      </c>
      <c r="I222" s="140" t="s">
        <v>747</v>
      </c>
      <c r="J222" s="132"/>
      <c r="K222" s="11" t="s">
        <v>773</v>
      </c>
      <c r="L222" s="96">
        <v>45673</v>
      </c>
      <c r="M222" s="96" t="str" cm="1">
        <f t="array" ref="M222">_xlfn.XLOOKUP(B222&amp;"", 'Registro EMO'!$C$13:$C$4248&amp;"", 'Registro EMO'!$F$13:$F$4248, "Sin registro", 0, -1)</f>
        <v>22/02/2026</v>
      </c>
      <c r="N222" s="11" t="str" cm="1">
        <f t="array" ref="N222">_xlfn.XLOOKUP(B222&amp;"", 'Registro EMO'!$C$13:$C$4248&amp;"", 'Registro EMO'!$E$13:$E$4248, "Sin registro", 0, -1)</f>
        <v>Pre-Ocupacional</v>
      </c>
      <c r="O222" s="11" t="str">
        <f t="shared" si="17"/>
        <v>SI</v>
      </c>
      <c r="P222" s="150" cm="1">
        <f t="array" ref="P222">_xlfn.LET(
    _xlpm.resultado, _xlfn.XLOOKUP(B222&amp;"", 'Registro EMO'!$C$13:$C$4248&amp;"", 'Registro EMO'!$I$13:$I$4248, "NO", 0, -1),
    IF(_xlpm.resultado=0, "NO", _xlpm.resultado)
)</f>
        <v>45716</v>
      </c>
      <c r="Q222" s="11" t="str">
        <f t="shared" ca="1" si="18"/>
        <v>Vigente</v>
      </c>
      <c r="R222" s="96"/>
      <c r="S222" s="11"/>
      <c r="T222" s="11" t="str">
        <f t="shared" si="19"/>
        <v/>
      </c>
      <c r="U222" s="11"/>
      <c r="V222" s="11" t="s">
        <v>796</v>
      </c>
      <c r="W222" s="29"/>
      <c r="X222" s="129"/>
      <c r="Y222" s="11"/>
      <c r="Z222" s="11"/>
      <c r="AA222" s="11"/>
      <c r="AB222" s="11"/>
      <c r="AC222" s="11"/>
      <c r="AD222" s="11"/>
      <c r="AE222" s="11"/>
      <c r="AF222" s="11"/>
      <c r="AG222" s="98"/>
      <c r="AH222" s="11" t="s">
        <v>32</v>
      </c>
    </row>
    <row r="223" spans="1:34" ht="28.8" hidden="1" x14ac:dyDescent="0.3">
      <c r="A223" s="7" t="str">
        <f t="shared" si="15"/>
        <v>TR-1222</v>
      </c>
      <c r="B223" s="11" t="s">
        <v>693</v>
      </c>
      <c r="C223" s="141" t="s">
        <v>694</v>
      </c>
      <c r="D223" s="98">
        <v>35005</v>
      </c>
      <c r="E223" s="111">
        <f t="shared" ca="1" si="16"/>
        <v>30</v>
      </c>
      <c r="F223" s="132" t="s">
        <v>743</v>
      </c>
      <c r="G223" s="11" t="s">
        <v>254</v>
      </c>
      <c r="H223" s="139" t="s">
        <v>746</v>
      </c>
      <c r="I223" s="140" t="s">
        <v>751</v>
      </c>
      <c r="J223" s="132"/>
      <c r="K223" s="11" t="s">
        <v>773</v>
      </c>
      <c r="L223" s="96">
        <v>45919</v>
      </c>
      <c r="M223" s="96" t="str" cm="1">
        <f t="array" ref="M223">_xlfn.XLOOKUP(B223&amp;"", 'Registro EMO'!$C$13:$C$4248&amp;"", 'Registro EMO'!$F$13:$F$4248, "Sin registro", 0, -1)</f>
        <v>24/08/2026</v>
      </c>
      <c r="N223" s="11" t="str" cm="1">
        <f t="array" ref="N223">_xlfn.XLOOKUP(B223&amp;"", 'Registro EMO'!$C$13:$C$4248&amp;"", 'Registro EMO'!$E$13:$E$4248, "Sin registro", 0, -1)</f>
        <v>Pre-Ocupacional</v>
      </c>
      <c r="O223" s="11" t="str">
        <f t="shared" si="17"/>
        <v>SI</v>
      </c>
      <c r="P223" s="150" cm="1">
        <f t="array" ref="P223">_xlfn.LET(
    _xlpm.resultado, _xlfn.XLOOKUP(B223&amp;"", 'Registro EMO'!$C$13:$C$4248&amp;"", 'Registro EMO'!$I$13:$I$4248, "NO", 0, -1),
    IF(_xlpm.resultado=0, "NO", _xlpm.resultado)
)</f>
        <v>45169</v>
      </c>
      <c r="Q223" s="11" t="str">
        <f t="shared" ca="1" si="18"/>
        <v>Vigente</v>
      </c>
      <c r="R223" s="96"/>
      <c r="S223" s="11"/>
      <c r="T223" s="11" t="str">
        <f t="shared" si="19"/>
        <v/>
      </c>
      <c r="U223" s="11"/>
      <c r="V223" s="11" t="s">
        <v>796</v>
      </c>
      <c r="W223" s="29" t="s">
        <v>780</v>
      </c>
      <c r="X223" s="129"/>
      <c r="Y223" s="11"/>
      <c r="Z223" s="11"/>
      <c r="AA223" s="11"/>
      <c r="AB223" s="11"/>
      <c r="AC223" s="11"/>
      <c r="AD223" s="11"/>
      <c r="AE223" s="11"/>
      <c r="AF223" s="11"/>
      <c r="AG223" s="98"/>
      <c r="AH223" s="11" t="s">
        <v>32</v>
      </c>
    </row>
    <row r="224" spans="1:34" hidden="1" x14ac:dyDescent="0.3">
      <c r="A224" s="7" t="str">
        <f t="shared" si="15"/>
        <v>TR-1223</v>
      </c>
      <c r="B224" s="11" t="s">
        <v>695</v>
      </c>
      <c r="C224" s="141" t="s">
        <v>696</v>
      </c>
      <c r="D224" s="98">
        <v>32023</v>
      </c>
      <c r="E224" s="111">
        <f t="shared" ca="1" si="16"/>
        <v>38</v>
      </c>
      <c r="F224" s="132" t="s">
        <v>743</v>
      </c>
      <c r="G224" s="11" t="s">
        <v>254</v>
      </c>
      <c r="H224" s="139" t="s">
        <v>746</v>
      </c>
      <c r="I224" s="140" t="s">
        <v>751</v>
      </c>
      <c r="J224" s="132"/>
      <c r="K224" s="11" t="s">
        <v>773</v>
      </c>
      <c r="L224" s="96">
        <v>45338</v>
      </c>
      <c r="M224" s="96" t="str" cm="1">
        <f t="array" ref="M224">_xlfn.XLOOKUP(B224&amp;"", 'Registro EMO'!$C$13:$C$4248&amp;"", 'Registro EMO'!$F$13:$F$4248, "Sin registro", 0, -1)</f>
        <v>20/07/2026</v>
      </c>
      <c r="N224" s="11" t="str" cm="1">
        <f t="array" ref="N224">_xlfn.XLOOKUP(B224&amp;"", 'Registro EMO'!$C$13:$C$4248&amp;"", 'Registro EMO'!$E$13:$E$4248, "Sin registro", 0, -1)</f>
        <v>Pre-Ocupacional</v>
      </c>
      <c r="O224" s="11" t="str">
        <f t="shared" si="17"/>
        <v>SI</v>
      </c>
      <c r="P224" s="150" cm="1">
        <f t="array" ref="P224">_xlfn.LET(
    _xlpm.resultado, _xlfn.XLOOKUP(B224&amp;"", 'Registro EMO'!$C$13:$C$4248&amp;"", 'Registro EMO'!$I$13:$I$4248, "NO", 0, -1),
    IF(_xlpm.resultado=0, "NO", _xlpm.resultado)
)</f>
        <v>45504</v>
      </c>
      <c r="Q224" s="11" t="str">
        <f t="shared" ca="1" si="18"/>
        <v>Vigente</v>
      </c>
      <c r="R224" s="96"/>
      <c r="S224" s="11"/>
      <c r="T224" s="11" t="str">
        <f t="shared" si="19"/>
        <v/>
      </c>
      <c r="U224" s="11"/>
      <c r="V224" s="11" t="s">
        <v>796</v>
      </c>
      <c r="W224" s="29" t="s">
        <v>812</v>
      </c>
      <c r="X224" s="129"/>
      <c r="Y224" s="11"/>
      <c r="Z224" s="11"/>
      <c r="AA224" s="11"/>
      <c r="AB224" s="11"/>
      <c r="AC224" s="11"/>
      <c r="AD224" s="11"/>
      <c r="AE224" s="11"/>
      <c r="AF224" s="11"/>
      <c r="AG224" s="98"/>
      <c r="AH224" s="11" t="s">
        <v>32</v>
      </c>
    </row>
    <row r="225" spans="1:34" hidden="1" x14ac:dyDescent="0.3">
      <c r="A225" s="7" t="str">
        <f t="shared" si="15"/>
        <v>TR-1224</v>
      </c>
      <c r="B225" s="11" t="s">
        <v>697</v>
      </c>
      <c r="C225" s="141" t="s">
        <v>698</v>
      </c>
      <c r="D225" s="98">
        <v>29614</v>
      </c>
      <c r="E225" s="111">
        <f t="shared" ca="1" si="16"/>
        <v>45</v>
      </c>
      <c r="F225" s="132" t="s">
        <v>743</v>
      </c>
      <c r="G225" s="11" t="s">
        <v>254</v>
      </c>
      <c r="H225" s="139" t="s">
        <v>744</v>
      </c>
      <c r="I225" s="140" t="s">
        <v>748</v>
      </c>
      <c r="J225" s="132"/>
      <c r="K225" s="11" t="s">
        <v>774</v>
      </c>
      <c r="L225" s="96">
        <v>46005</v>
      </c>
      <c r="M225" s="96" t="str" cm="1">
        <f t="array" ref="M225">_xlfn.XLOOKUP(B225&amp;"", 'Registro EMO'!$C$13:$C$4248&amp;"", 'Registro EMO'!$F$13:$F$4248, "Sin registro", 0, -1)</f>
        <v>29/09/2026</v>
      </c>
      <c r="N225" s="11" t="str" cm="1">
        <f t="array" ref="N225">_xlfn.XLOOKUP(B225&amp;"", 'Registro EMO'!$C$13:$C$4248&amp;"", 'Registro EMO'!$E$13:$E$4248, "Sin registro", 0, -1)</f>
        <v>Pre-Ocupacional</v>
      </c>
      <c r="O225" s="11" t="str">
        <f t="shared" si="17"/>
        <v>SI</v>
      </c>
      <c r="P225" s="150" cm="1">
        <f t="array" ref="P225">_xlfn.LET(
    _xlpm.resultado, _xlfn.XLOOKUP(B225&amp;"", 'Registro EMO'!$C$13:$C$4248&amp;"", 'Registro EMO'!$I$13:$I$4248, "NO", 0, -1),
    IF(_xlpm.resultado=0, "NO", _xlpm.resultado)
)</f>
        <v>44848</v>
      </c>
      <c r="Q225" s="11" t="str">
        <f t="shared" ca="1" si="18"/>
        <v>Vigente</v>
      </c>
      <c r="R225" s="96"/>
      <c r="S225" s="11"/>
      <c r="T225" s="11" t="str">
        <f t="shared" si="19"/>
        <v/>
      </c>
      <c r="U225" s="11"/>
      <c r="V225" s="11" t="s">
        <v>796</v>
      </c>
      <c r="W225" s="29" t="s">
        <v>813</v>
      </c>
      <c r="X225" s="129"/>
      <c r="Y225" s="11"/>
      <c r="Z225" s="11"/>
      <c r="AA225" s="11"/>
      <c r="AB225" s="11"/>
      <c r="AC225" s="11"/>
      <c r="AD225" s="11"/>
      <c r="AE225" s="11"/>
      <c r="AF225" s="11"/>
      <c r="AG225" s="98"/>
      <c r="AH225" s="11" t="s">
        <v>32</v>
      </c>
    </row>
    <row r="226" spans="1:34" hidden="1" x14ac:dyDescent="0.3">
      <c r="A226" s="7" t="str">
        <f t="shared" si="15"/>
        <v>TR-1225</v>
      </c>
      <c r="B226" s="11" t="s">
        <v>699</v>
      </c>
      <c r="C226" s="141" t="s">
        <v>700</v>
      </c>
      <c r="D226" s="98">
        <v>36867</v>
      </c>
      <c r="E226" s="111">
        <f t="shared" ca="1" si="16"/>
        <v>25</v>
      </c>
      <c r="F226" s="132" t="s">
        <v>743</v>
      </c>
      <c r="G226" s="11" t="s">
        <v>254</v>
      </c>
      <c r="H226" s="139" t="s">
        <v>744</v>
      </c>
      <c r="I226" s="140" t="s">
        <v>748</v>
      </c>
      <c r="J226" s="132"/>
      <c r="K226" s="11" t="s">
        <v>773</v>
      </c>
      <c r="L226" s="96">
        <v>45916</v>
      </c>
      <c r="M226" s="96" t="str" cm="1">
        <f t="array" ref="M226">_xlfn.XLOOKUP(B226&amp;"", 'Registro EMO'!$C$13:$C$4248&amp;"", 'Registro EMO'!$F$13:$F$4248, "Sin registro", 0, -1)</f>
        <v>Sin registro</v>
      </c>
      <c r="N226" s="11" t="str" cm="1">
        <f t="array" ref="N226">_xlfn.XLOOKUP(B226&amp;"", 'Registro EMO'!$C$13:$C$4248&amp;"", 'Registro EMO'!$E$13:$E$4248, "Sin registro", 0, -1)</f>
        <v>Sin registro</v>
      </c>
      <c r="O226" s="11" t="str">
        <f t="shared" si="17"/>
        <v>NO</v>
      </c>
      <c r="P226" s="130" t="str" cm="1">
        <f t="array" ref="P226">_xlfn.LET(
    _xlpm.resultado, _xlfn.XLOOKUP(B226&amp;"", 'Registro EMO'!$C$13:$C$4248&amp;"", 'Registro EMO'!$I$13:$I$4248, "NO", 0, -1),
    IF(_xlpm.resultado=0, "NO", _xlpm.resultado)
)</f>
        <v>NO</v>
      </c>
      <c r="Q226" s="11" t="str">
        <f t="shared" ca="1" si="18"/>
        <v>Pendiente</v>
      </c>
      <c r="R226" s="96"/>
      <c r="S226" s="11"/>
      <c r="T226" s="11" t="str">
        <f t="shared" si="19"/>
        <v/>
      </c>
      <c r="U226" s="11"/>
      <c r="V226" s="11"/>
      <c r="W226" s="29"/>
      <c r="X226" s="129"/>
      <c r="Y226" s="11"/>
      <c r="Z226" s="11"/>
      <c r="AA226" s="11"/>
      <c r="AB226" s="11"/>
      <c r="AC226" s="11"/>
      <c r="AD226" s="11"/>
      <c r="AE226" s="11"/>
      <c r="AF226" s="11"/>
      <c r="AG226" s="98"/>
      <c r="AH226" s="11"/>
    </row>
    <row r="227" spans="1:34" ht="28.8" hidden="1" x14ac:dyDescent="0.3">
      <c r="A227" s="7" t="str">
        <f t="shared" si="15"/>
        <v>TR-1226</v>
      </c>
      <c r="B227" s="11" t="s">
        <v>701</v>
      </c>
      <c r="C227" s="141" t="s">
        <v>702</v>
      </c>
      <c r="D227" s="98">
        <v>33015</v>
      </c>
      <c r="E227" s="111">
        <f t="shared" ca="1" si="16"/>
        <v>35</v>
      </c>
      <c r="F227" s="132" t="s">
        <v>743</v>
      </c>
      <c r="G227" s="11" t="s">
        <v>254</v>
      </c>
      <c r="H227" s="139" t="s">
        <v>746</v>
      </c>
      <c r="I227" s="140" t="s">
        <v>747</v>
      </c>
      <c r="J227" s="132"/>
      <c r="K227" s="11" t="s">
        <v>773</v>
      </c>
      <c r="L227" s="96">
        <v>45444</v>
      </c>
      <c r="M227" s="96" t="str" cm="1">
        <f t="array" ref="M227">_xlfn.XLOOKUP(B227&amp;"", 'Registro EMO'!$C$13:$C$4248&amp;"", 'Registro EMO'!$F$13:$F$4248, "Sin registro", 0, -1)</f>
        <v>15/11/2026</v>
      </c>
      <c r="N227" s="11" t="str" cm="1">
        <f t="array" ref="N227">_xlfn.XLOOKUP(B227&amp;"", 'Registro EMO'!$C$13:$C$4248&amp;"", 'Registro EMO'!$E$13:$E$4248, "Sin registro", 0, -1)</f>
        <v>Pre-Ocupacional</v>
      </c>
      <c r="O227" s="11" t="str">
        <f t="shared" si="17"/>
        <v>SI</v>
      </c>
      <c r="P227" s="150" cm="1">
        <f t="array" ref="P227">_xlfn.LET(
    _xlpm.resultado, _xlfn.XLOOKUP(B227&amp;"", 'Registro EMO'!$C$13:$C$4248&amp;"", 'Registro EMO'!$I$13:$I$4248, "NO", 0, -1),
    IF(_xlpm.resultado=0, "NO", _xlpm.resultado)
)</f>
        <v>45991</v>
      </c>
      <c r="Q227" s="11" t="str">
        <f t="shared" ca="1" si="18"/>
        <v>Vigente</v>
      </c>
      <c r="R227" s="96"/>
      <c r="S227" s="11"/>
      <c r="T227" s="11" t="str">
        <f t="shared" si="19"/>
        <v/>
      </c>
      <c r="U227" s="11"/>
      <c r="V227" s="11" t="s">
        <v>796</v>
      </c>
      <c r="W227" s="29" t="s">
        <v>814</v>
      </c>
      <c r="X227" s="129"/>
      <c r="Y227" s="11" t="s">
        <v>1348</v>
      </c>
      <c r="Z227" s="11"/>
      <c r="AA227" s="11"/>
      <c r="AB227" s="11"/>
      <c r="AC227" s="11"/>
      <c r="AD227" s="11"/>
      <c r="AE227" s="11"/>
      <c r="AF227" s="11"/>
      <c r="AG227" s="98"/>
      <c r="AH227" s="11" t="s">
        <v>32</v>
      </c>
    </row>
    <row r="228" spans="1:34" hidden="1" x14ac:dyDescent="0.3">
      <c r="A228" s="7" t="str">
        <f t="shared" si="15"/>
        <v>TR-1227</v>
      </c>
      <c r="B228" s="11" t="s">
        <v>703</v>
      </c>
      <c r="C228" s="141" t="s">
        <v>704</v>
      </c>
      <c r="D228" s="98">
        <v>38172</v>
      </c>
      <c r="E228" s="111">
        <f t="shared" ca="1" si="16"/>
        <v>21</v>
      </c>
      <c r="F228" s="132" t="s">
        <v>743</v>
      </c>
      <c r="G228" s="11" t="s">
        <v>254</v>
      </c>
      <c r="H228" s="139" t="s">
        <v>746</v>
      </c>
      <c r="I228" s="140" t="s">
        <v>751</v>
      </c>
      <c r="J228" s="132"/>
      <c r="K228" s="11" t="s">
        <v>773</v>
      </c>
      <c r="L228" s="96">
        <v>45093</v>
      </c>
      <c r="M228" s="96" t="str" cm="1">
        <f t="array" ref="M228">_xlfn.XLOOKUP(B228&amp;"", 'Registro EMO'!$C$13:$C$4248&amp;"", 'Registro EMO'!$F$13:$F$4248, "Sin registro", 0, -1)</f>
        <v>Sin registro</v>
      </c>
      <c r="N228" s="11" t="str" cm="1">
        <f t="array" ref="N228">_xlfn.XLOOKUP(B228&amp;"", 'Registro EMO'!$C$13:$C$4248&amp;"", 'Registro EMO'!$E$13:$E$4248, "Sin registro", 0, -1)</f>
        <v>Sin registro</v>
      </c>
      <c r="O228" s="11" t="str">
        <f t="shared" si="17"/>
        <v>NO</v>
      </c>
      <c r="P228" s="130" t="str" cm="1">
        <f t="array" ref="P228">_xlfn.LET(
    _xlpm.resultado, _xlfn.XLOOKUP(B228&amp;"", 'Registro EMO'!$C$13:$C$4248&amp;"", 'Registro EMO'!$I$13:$I$4248, "NO", 0, -1),
    IF(_xlpm.resultado=0, "NO", _xlpm.resultado)
)</f>
        <v>NO</v>
      </c>
      <c r="Q228" s="11" t="str">
        <f t="shared" ca="1" si="18"/>
        <v>Pendiente</v>
      </c>
      <c r="R228" s="96"/>
      <c r="S228" s="11"/>
      <c r="T228" s="11" t="str">
        <f t="shared" si="19"/>
        <v/>
      </c>
      <c r="U228" s="11"/>
      <c r="V228" s="11"/>
      <c r="W228" s="29"/>
      <c r="X228" s="129"/>
      <c r="Y228" s="11"/>
      <c r="Z228" s="11"/>
      <c r="AA228" s="11"/>
      <c r="AB228" s="11"/>
      <c r="AC228" s="11"/>
      <c r="AD228" s="11"/>
      <c r="AE228" s="11"/>
      <c r="AF228" s="11"/>
      <c r="AG228" s="98"/>
      <c r="AH228" s="11"/>
    </row>
    <row r="229" spans="1:34" hidden="1" x14ac:dyDescent="0.3">
      <c r="A229" s="7" t="str">
        <f t="shared" si="15"/>
        <v>TR-1228</v>
      </c>
      <c r="B229" s="11" t="s">
        <v>705</v>
      </c>
      <c r="C229" s="141" t="s">
        <v>706</v>
      </c>
      <c r="D229" s="98">
        <v>37108</v>
      </c>
      <c r="E229" s="111">
        <f t="shared" ca="1" si="16"/>
        <v>24</v>
      </c>
      <c r="F229" s="132" t="s">
        <v>743</v>
      </c>
      <c r="G229" s="11" t="s">
        <v>254</v>
      </c>
      <c r="H229" s="139" t="s">
        <v>746</v>
      </c>
      <c r="I229" s="140" t="s">
        <v>747</v>
      </c>
      <c r="J229" s="132"/>
      <c r="K229" s="11" t="s">
        <v>773</v>
      </c>
      <c r="L229" s="96">
        <v>44384</v>
      </c>
      <c r="M229" s="96" t="str" cm="1">
        <f t="array" ref="M229">_xlfn.XLOOKUP(B229&amp;"", 'Registro EMO'!$C$13:$C$4248&amp;"", 'Registro EMO'!$F$13:$F$4248, "Sin registro", 0, -1)</f>
        <v>Sin registro</v>
      </c>
      <c r="N229" s="11" t="str" cm="1">
        <f t="array" ref="N229">_xlfn.XLOOKUP(B229&amp;"", 'Registro EMO'!$C$13:$C$4248&amp;"", 'Registro EMO'!$E$13:$E$4248, "Sin registro", 0, -1)</f>
        <v>Sin registro</v>
      </c>
      <c r="O229" s="11" t="str">
        <f t="shared" si="17"/>
        <v>NO</v>
      </c>
      <c r="P229" s="130" t="str" cm="1">
        <f t="array" ref="P229">_xlfn.LET(
    _xlpm.resultado, _xlfn.XLOOKUP(B229&amp;"", 'Registro EMO'!$C$13:$C$4248&amp;"", 'Registro EMO'!$I$13:$I$4248, "NO", 0, -1),
    IF(_xlpm.resultado=0, "NO", _xlpm.resultado)
)</f>
        <v>NO</v>
      </c>
      <c r="Q229" s="11" t="str">
        <f t="shared" ca="1" si="18"/>
        <v>Pendiente</v>
      </c>
      <c r="R229" s="96"/>
      <c r="S229" s="11"/>
      <c r="T229" s="11" t="str">
        <f t="shared" si="19"/>
        <v/>
      </c>
      <c r="U229" s="11"/>
      <c r="V229" s="11"/>
      <c r="W229" s="29"/>
      <c r="X229" s="129"/>
      <c r="Y229" s="11"/>
      <c r="Z229" s="11"/>
      <c r="AA229" s="11"/>
      <c r="AB229" s="11"/>
      <c r="AC229" s="11"/>
      <c r="AD229" s="11"/>
      <c r="AE229" s="11"/>
      <c r="AF229" s="11"/>
      <c r="AG229" s="98"/>
      <c r="AH229" s="11"/>
    </row>
    <row r="230" spans="1:34" hidden="1" x14ac:dyDescent="0.3">
      <c r="A230" s="7" t="str">
        <f t="shared" si="15"/>
        <v>TR-1229</v>
      </c>
      <c r="B230" s="11" t="s">
        <v>707</v>
      </c>
      <c r="C230" s="141" t="s">
        <v>708</v>
      </c>
      <c r="D230" s="98">
        <v>38038</v>
      </c>
      <c r="E230" s="111">
        <f t="shared" ca="1" si="16"/>
        <v>22</v>
      </c>
      <c r="F230" s="132" t="s">
        <v>743</v>
      </c>
      <c r="G230" s="11" t="s">
        <v>254</v>
      </c>
      <c r="H230" s="139" t="s">
        <v>746</v>
      </c>
      <c r="I230" s="140" t="s">
        <v>751</v>
      </c>
      <c r="J230" s="132"/>
      <c r="K230" s="11" t="s">
        <v>773</v>
      </c>
      <c r="L230" s="96">
        <v>44317</v>
      </c>
      <c r="M230" s="96" t="str" cm="1">
        <f t="array" ref="M230">_xlfn.XLOOKUP(B230&amp;"", 'Registro EMO'!$C$13:$C$4248&amp;"", 'Registro EMO'!$F$13:$F$4248, "Sin registro", 0, -1)</f>
        <v>22/12/2026</v>
      </c>
      <c r="N230" s="11" t="str" cm="1">
        <f t="array" ref="N230">_xlfn.XLOOKUP(B230&amp;"", 'Registro EMO'!$C$13:$C$4248&amp;"", 'Registro EMO'!$E$13:$E$4248, "Sin registro", 0, -1)</f>
        <v>Pre-Ocupacional</v>
      </c>
      <c r="O230" s="11" t="str">
        <f t="shared" si="17"/>
        <v>SI</v>
      </c>
      <c r="P230" s="150" cm="1">
        <f t="array" ref="P230">_xlfn.LET(
    _xlpm.resultado, _xlfn.XLOOKUP(B230&amp;"", 'Registro EMO'!$C$13:$C$4248&amp;"", 'Registro EMO'!$I$13:$I$4248, "NO", 0, -1),
    IF(_xlpm.resultado=0, "NO", _xlpm.resultado)
)</f>
        <v>45838</v>
      </c>
      <c r="Q230" s="11" t="str">
        <f t="shared" ca="1" si="18"/>
        <v>Vigente</v>
      </c>
      <c r="R230" s="96"/>
      <c r="S230" s="11"/>
      <c r="T230" s="11" t="str">
        <f t="shared" si="19"/>
        <v/>
      </c>
      <c r="U230" s="11"/>
      <c r="V230" s="11" t="s">
        <v>796</v>
      </c>
      <c r="W230" s="29"/>
      <c r="X230" s="129"/>
      <c r="Y230" s="11"/>
      <c r="Z230" s="11"/>
      <c r="AA230" s="11"/>
      <c r="AB230" s="11"/>
      <c r="AC230" s="11"/>
      <c r="AD230" s="11"/>
      <c r="AE230" s="11"/>
      <c r="AF230" s="11"/>
      <c r="AG230" s="98"/>
      <c r="AH230" s="11" t="s">
        <v>32</v>
      </c>
    </row>
    <row r="231" spans="1:34" hidden="1" x14ac:dyDescent="0.3">
      <c r="A231" s="7" t="str">
        <f t="shared" si="15"/>
        <v>TR-1230</v>
      </c>
      <c r="B231" s="11" t="s">
        <v>709</v>
      </c>
      <c r="C231" s="141" t="s">
        <v>710</v>
      </c>
      <c r="D231" s="98">
        <v>35714</v>
      </c>
      <c r="E231" s="111">
        <f t="shared" ca="1" si="16"/>
        <v>28</v>
      </c>
      <c r="F231" s="132" t="s">
        <v>743</v>
      </c>
      <c r="G231" s="11" t="s">
        <v>254</v>
      </c>
      <c r="H231" s="139" t="s">
        <v>752</v>
      </c>
      <c r="I231" s="140" t="s">
        <v>771</v>
      </c>
      <c r="J231" s="132"/>
      <c r="K231" s="11" t="s">
        <v>773</v>
      </c>
      <c r="L231" s="96">
        <v>45689</v>
      </c>
      <c r="M231" s="96" t="str" cm="1">
        <f t="array" ref="M231">_xlfn.XLOOKUP(B231&amp;"", 'Registro EMO'!$C$13:$C$4248&amp;"", 'Registro EMO'!$F$13:$F$4248, "Sin registro", 0, -1)</f>
        <v>Sin registro</v>
      </c>
      <c r="N231" s="11" t="str" cm="1">
        <f t="array" ref="N231">_xlfn.XLOOKUP(B231&amp;"", 'Registro EMO'!$C$13:$C$4248&amp;"", 'Registro EMO'!$E$13:$E$4248, "Sin registro", 0, -1)</f>
        <v>Sin registro</v>
      </c>
      <c r="O231" s="11" t="str">
        <f t="shared" si="17"/>
        <v>NO</v>
      </c>
      <c r="P231" s="130" t="str" cm="1">
        <f t="array" ref="P231">_xlfn.LET(
    _xlpm.resultado, _xlfn.XLOOKUP(B231&amp;"", 'Registro EMO'!$C$13:$C$4248&amp;"", 'Registro EMO'!$I$13:$I$4248, "NO", 0, -1),
    IF(_xlpm.resultado=0, "NO", _xlpm.resultado)
)</f>
        <v>NO</v>
      </c>
      <c r="Q231" s="11" t="str">
        <f t="shared" ca="1" si="18"/>
        <v>Pendiente</v>
      </c>
      <c r="R231" s="96"/>
      <c r="S231" s="11"/>
      <c r="T231" s="11" t="str">
        <f t="shared" si="19"/>
        <v/>
      </c>
      <c r="U231" s="11"/>
      <c r="V231" s="11"/>
      <c r="W231" s="29"/>
      <c r="X231" s="129"/>
      <c r="Y231" s="11"/>
      <c r="Z231" s="11"/>
      <c r="AA231" s="11"/>
      <c r="AB231" s="11"/>
      <c r="AC231" s="11"/>
      <c r="AD231" s="11"/>
      <c r="AE231" s="11"/>
      <c r="AF231" s="11"/>
      <c r="AG231" s="98"/>
      <c r="AH231" s="11"/>
    </row>
    <row r="232" spans="1:34" hidden="1" x14ac:dyDescent="0.3">
      <c r="A232" s="7" t="str">
        <f t="shared" si="15"/>
        <v>TR-1231</v>
      </c>
      <c r="B232" s="11" t="s">
        <v>711</v>
      </c>
      <c r="C232" s="141" t="s">
        <v>712</v>
      </c>
      <c r="D232" s="98">
        <v>38876</v>
      </c>
      <c r="E232" s="111">
        <f t="shared" ca="1" si="16"/>
        <v>19</v>
      </c>
      <c r="F232" s="132" t="s">
        <v>743</v>
      </c>
      <c r="G232" s="11" t="s">
        <v>254</v>
      </c>
      <c r="H232" s="139" t="s">
        <v>744</v>
      </c>
      <c r="I232" s="140" t="s">
        <v>748</v>
      </c>
      <c r="J232" s="132"/>
      <c r="K232" s="11" t="s">
        <v>773</v>
      </c>
      <c r="L232" s="96">
        <v>45894</v>
      </c>
      <c r="M232" s="96" t="str" cm="1">
        <f t="array" ref="M232">_xlfn.XLOOKUP(B232&amp;"", 'Registro EMO'!$C$13:$C$4248&amp;"", 'Registro EMO'!$F$13:$F$4248, "Sin registro", 0, -1)</f>
        <v>Sin registro</v>
      </c>
      <c r="N232" s="11" t="str" cm="1">
        <f t="array" ref="N232">_xlfn.XLOOKUP(B232&amp;"", 'Registro EMO'!$C$13:$C$4248&amp;"", 'Registro EMO'!$E$13:$E$4248, "Sin registro", 0, -1)</f>
        <v>Sin registro</v>
      </c>
      <c r="O232" s="11" t="str">
        <f t="shared" si="17"/>
        <v>NO</v>
      </c>
      <c r="P232" s="130" t="str" cm="1">
        <f t="array" ref="P232">_xlfn.LET(
    _xlpm.resultado, _xlfn.XLOOKUP(B232&amp;"", 'Registro EMO'!$C$13:$C$4248&amp;"", 'Registro EMO'!$I$13:$I$4248, "NO", 0, -1),
    IF(_xlpm.resultado=0, "NO", _xlpm.resultado)
)</f>
        <v>NO</v>
      </c>
      <c r="Q232" s="11" t="str">
        <f t="shared" ca="1" si="18"/>
        <v>Pendiente</v>
      </c>
      <c r="R232" s="96"/>
      <c r="S232" s="11"/>
      <c r="T232" s="11" t="str">
        <f t="shared" si="19"/>
        <v/>
      </c>
      <c r="U232" s="11"/>
      <c r="V232" s="11"/>
      <c r="W232" s="29"/>
      <c r="X232" s="129"/>
      <c r="Y232" s="11"/>
      <c r="Z232" s="11"/>
      <c r="AA232" s="11"/>
      <c r="AB232" s="11"/>
      <c r="AC232" s="11"/>
      <c r="AD232" s="11"/>
      <c r="AE232" s="11"/>
      <c r="AF232" s="11"/>
      <c r="AG232" s="98"/>
      <c r="AH232" s="11"/>
    </row>
    <row r="233" spans="1:34" hidden="1" x14ac:dyDescent="0.3">
      <c r="A233" s="7" t="str">
        <f t="shared" si="15"/>
        <v>TR-1232</v>
      </c>
      <c r="B233" s="11" t="s">
        <v>713</v>
      </c>
      <c r="C233" s="141" t="s">
        <v>714</v>
      </c>
      <c r="D233" s="98">
        <v>36264</v>
      </c>
      <c r="E233" s="111">
        <f t="shared" ca="1" si="16"/>
        <v>26</v>
      </c>
      <c r="F233" s="132" t="s">
        <v>743</v>
      </c>
      <c r="G233" s="11" t="s">
        <v>254</v>
      </c>
      <c r="H233" s="139" t="s">
        <v>746</v>
      </c>
      <c r="I233" s="140" t="s">
        <v>747</v>
      </c>
      <c r="J233" s="132"/>
      <c r="K233" s="11" t="s">
        <v>773</v>
      </c>
      <c r="L233" s="96">
        <v>44942</v>
      </c>
      <c r="M233" s="96" t="str" cm="1">
        <f t="array" ref="M233">_xlfn.XLOOKUP(B233&amp;"", 'Registro EMO'!$C$13:$C$4248&amp;"", 'Registro EMO'!$F$13:$F$4248, "Sin registro", 0, -1)</f>
        <v>24/06/2026</v>
      </c>
      <c r="N233" s="11" t="str" cm="1">
        <f t="array" ref="N233">_xlfn.XLOOKUP(B233&amp;"", 'Registro EMO'!$C$13:$C$4248&amp;"", 'Registro EMO'!$E$13:$E$4248, "Sin registro", 0, -1)</f>
        <v>Pre-Ocupacional</v>
      </c>
      <c r="O233" s="11" t="str">
        <f t="shared" si="17"/>
        <v>SI</v>
      </c>
      <c r="P233" s="150" cm="1">
        <f t="array" ref="P233">_xlfn.LET(
    _xlpm.resultado, _xlfn.XLOOKUP(B233&amp;"", 'Registro EMO'!$C$13:$C$4248&amp;"", 'Registro EMO'!$I$13:$I$4248, "NO", 0, -1),
    IF(_xlpm.resultado=0, "NO", _xlpm.resultado)
)</f>
        <v>45838</v>
      </c>
      <c r="Q233" s="11" t="str">
        <f t="shared" ca="1" si="18"/>
        <v>Vigente</v>
      </c>
      <c r="R233" s="96"/>
      <c r="S233" s="11"/>
      <c r="T233" s="11" t="str">
        <f t="shared" si="19"/>
        <v/>
      </c>
      <c r="U233" s="11"/>
      <c r="V233" s="11" t="s">
        <v>1347</v>
      </c>
      <c r="W233" s="29"/>
      <c r="X233" s="129"/>
      <c r="Y233" s="11"/>
      <c r="Z233" s="11"/>
      <c r="AA233" s="11"/>
      <c r="AB233" s="11"/>
      <c r="AC233" s="11"/>
      <c r="AD233" s="11"/>
      <c r="AE233" s="11"/>
      <c r="AF233" s="11"/>
      <c r="AG233" s="98"/>
      <c r="AH233" s="11" t="s">
        <v>32</v>
      </c>
    </row>
    <row r="234" spans="1:34" ht="43.2" hidden="1" x14ac:dyDescent="0.3">
      <c r="A234" s="7" t="str">
        <f t="shared" si="15"/>
        <v>TR-1233</v>
      </c>
      <c r="B234" s="11" t="s">
        <v>715</v>
      </c>
      <c r="C234" s="141" t="s">
        <v>716</v>
      </c>
      <c r="D234" s="98">
        <v>26543</v>
      </c>
      <c r="E234" s="111">
        <f t="shared" ca="1" si="16"/>
        <v>53</v>
      </c>
      <c r="F234" s="132" t="s">
        <v>743</v>
      </c>
      <c r="G234" s="11" t="s">
        <v>254</v>
      </c>
      <c r="H234" s="139" t="s">
        <v>746</v>
      </c>
      <c r="I234" s="140" t="s">
        <v>751</v>
      </c>
      <c r="J234" s="132"/>
      <c r="K234" s="11" t="s">
        <v>773</v>
      </c>
      <c r="L234" s="96">
        <v>44256</v>
      </c>
      <c r="M234" s="96" t="str" cm="1">
        <f t="array" ref="M234">_xlfn.XLOOKUP(B234&amp;"", 'Registro EMO'!$C$13:$C$4248&amp;"", 'Registro EMO'!$F$13:$F$4248, "Sin registro", 0, -1)</f>
        <v>19/01/2026</v>
      </c>
      <c r="N234" s="11" t="str" cm="1">
        <f t="array" ref="N234">_xlfn.XLOOKUP(B234&amp;"", 'Registro EMO'!$C$13:$C$4248&amp;"", 'Registro EMO'!$E$13:$E$4248, "Sin registro", 0, -1)</f>
        <v>Ocupacional</v>
      </c>
      <c r="O234" s="11" t="str">
        <f t="shared" si="17"/>
        <v>NO</v>
      </c>
      <c r="P234" s="130" t="str" cm="1">
        <f t="array" ref="P234">_xlfn.LET(
    _xlpm.resultado, _xlfn.XLOOKUP(B234&amp;"", 'Registro EMO'!$C$13:$C$4248&amp;"", 'Registro EMO'!$I$13:$I$4248, "NO", 0, -1),
    IF(_xlpm.resultado=0, "NO", _xlpm.resultado)
)</f>
        <v>NO</v>
      </c>
      <c r="Q234" s="11" t="str">
        <f t="shared" ca="1" si="18"/>
        <v>Vigente</v>
      </c>
      <c r="R234" s="96"/>
      <c r="S234" s="11"/>
      <c r="T234" s="11" t="str">
        <f t="shared" si="19"/>
        <v/>
      </c>
      <c r="U234" s="11"/>
      <c r="V234" s="11" t="s">
        <v>796</v>
      </c>
      <c r="W234" s="29" t="s">
        <v>815</v>
      </c>
      <c r="X234" s="129"/>
      <c r="Y234" s="11" t="s">
        <v>1348</v>
      </c>
      <c r="Z234" s="11"/>
      <c r="AA234" s="11"/>
      <c r="AB234" s="11"/>
      <c r="AC234" s="11"/>
      <c r="AD234" s="11"/>
      <c r="AE234" s="11"/>
      <c r="AF234" s="11"/>
      <c r="AG234" s="98"/>
      <c r="AH234" s="11" t="s">
        <v>32</v>
      </c>
    </row>
    <row r="235" spans="1:34" hidden="1" x14ac:dyDescent="0.3">
      <c r="A235" s="7" t="str">
        <f t="shared" si="15"/>
        <v>TR-1234</v>
      </c>
      <c r="B235" s="11" t="s">
        <v>717</v>
      </c>
      <c r="C235" s="141" t="s">
        <v>718</v>
      </c>
      <c r="D235" s="98">
        <v>38297</v>
      </c>
      <c r="E235" s="111">
        <f t="shared" ca="1" si="16"/>
        <v>21</v>
      </c>
      <c r="F235" s="132" t="s">
        <v>743</v>
      </c>
      <c r="G235" s="11" t="s">
        <v>254</v>
      </c>
      <c r="H235" s="139" t="s">
        <v>746</v>
      </c>
      <c r="I235" s="140" t="s">
        <v>747</v>
      </c>
      <c r="J235" s="132"/>
      <c r="K235" s="11" t="s">
        <v>773</v>
      </c>
      <c r="L235" s="96">
        <v>44386</v>
      </c>
      <c r="M235" s="96" t="str" cm="1">
        <f t="array" ref="M235">_xlfn.XLOOKUP(B235&amp;"", 'Registro EMO'!$C$13:$C$4248&amp;"", 'Registro EMO'!$F$13:$F$4248, "Sin registro", 0, -1)</f>
        <v>Sin registro</v>
      </c>
      <c r="N235" s="11" t="str" cm="1">
        <f t="array" ref="N235">_xlfn.XLOOKUP(B235&amp;"", 'Registro EMO'!$C$13:$C$4248&amp;"", 'Registro EMO'!$E$13:$E$4248, "Sin registro", 0, -1)</f>
        <v>Sin registro</v>
      </c>
      <c r="O235" s="11" t="str">
        <f t="shared" si="17"/>
        <v>NO</v>
      </c>
      <c r="P235" s="130" t="str" cm="1">
        <f t="array" ref="P235">_xlfn.LET(
    _xlpm.resultado, _xlfn.XLOOKUP(B235&amp;"", 'Registro EMO'!$C$13:$C$4248&amp;"", 'Registro EMO'!$I$13:$I$4248, "NO", 0, -1),
    IF(_xlpm.resultado=0, "NO", _xlpm.resultado)
)</f>
        <v>NO</v>
      </c>
      <c r="Q235" s="11" t="str">
        <f t="shared" ca="1" si="18"/>
        <v>Pendiente</v>
      </c>
      <c r="R235" s="96"/>
      <c r="S235" s="11"/>
      <c r="T235" s="11" t="str">
        <f t="shared" si="19"/>
        <v/>
      </c>
      <c r="U235" s="11"/>
      <c r="V235" s="11"/>
      <c r="W235" s="29"/>
      <c r="X235" s="129"/>
      <c r="Y235" s="11"/>
      <c r="Z235" s="11"/>
      <c r="AA235" s="11"/>
      <c r="AB235" s="11"/>
      <c r="AC235" s="11"/>
      <c r="AD235" s="11"/>
      <c r="AE235" s="11"/>
      <c r="AF235" s="11"/>
      <c r="AG235" s="98"/>
      <c r="AH235" s="11"/>
    </row>
    <row r="236" spans="1:34" hidden="1" x14ac:dyDescent="0.3">
      <c r="A236" s="7" t="str">
        <f t="shared" si="15"/>
        <v>TR-1235</v>
      </c>
      <c r="B236" s="11" t="s">
        <v>719</v>
      </c>
      <c r="C236" s="141" t="s">
        <v>720</v>
      </c>
      <c r="D236" s="98">
        <v>38753</v>
      </c>
      <c r="E236" s="111">
        <f t="shared" ca="1" si="16"/>
        <v>20</v>
      </c>
      <c r="F236" s="132" t="s">
        <v>762</v>
      </c>
      <c r="G236" s="11" t="s">
        <v>254</v>
      </c>
      <c r="H236" s="139" t="s">
        <v>752</v>
      </c>
      <c r="I236" s="140" t="s">
        <v>753</v>
      </c>
      <c r="J236" s="132"/>
      <c r="K236" s="11" t="s">
        <v>773</v>
      </c>
      <c r="L236" s="96">
        <v>42401</v>
      </c>
      <c r="M236" s="96" t="str" cm="1">
        <f t="array" ref="M236">_xlfn.XLOOKUP(B236&amp;"", 'Registro EMO'!$C$13:$C$4248&amp;"", 'Registro EMO'!$F$13:$F$4248, "Sin registro", 0, -1)</f>
        <v>Sin registro</v>
      </c>
      <c r="N236" s="11" t="str" cm="1">
        <f t="array" ref="N236">_xlfn.XLOOKUP(B236&amp;"", 'Registro EMO'!$C$13:$C$4248&amp;"", 'Registro EMO'!$E$13:$E$4248, "Sin registro", 0, -1)</f>
        <v>Sin registro</v>
      </c>
      <c r="O236" s="11" t="str">
        <f t="shared" si="17"/>
        <v>NO</v>
      </c>
      <c r="P236" s="130" t="str" cm="1">
        <f t="array" ref="P236">_xlfn.LET(
    _xlpm.resultado, _xlfn.XLOOKUP(B236&amp;"", 'Registro EMO'!$C$13:$C$4248&amp;"", 'Registro EMO'!$I$13:$I$4248, "NO", 0, -1),
    IF(_xlpm.resultado=0, "NO", _xlpm.resultado)
)</f>
        <v>NO</v>
      </c>
      <c r="Q236" s="11" t="str">
        <f t="shared" ca="1" si="18"/>
        <v>Pendiente</v>
      </c>
      <c r="R236" s="96"/>
      <c r="S236" s="11"/>
      <c r="T236" s="11" t="str">
        <f t="shared" si="19"/>
        <v/>
      </c>
      <c r="U236" s="11"/>
      <c r="V236" s="11"/>
      <c r="W236" s="29"/>
      <c r="X236" s="129"/>
      <c r="Y236" s="11"/>
      <c r="Z236" s="11"/>
      <c r="AA236" s="11"/>
      <c r="AB236" s="11"/>
      <c r="AC236" s="11"/>
      <c r="AD236" s="11"/>
      <c r="AE236" s="11"/>
      <c r="AF236" s="11"/>
      <c r="AG236" s="98"/>
      <c r="AH236" s="11"/>
    </row>
    <row r="237" spans="1:34" hidden="1" x14ac:dyDescent="0.3">
      <c r="A237" s="7" t="str">
        <f t="shared" si="15"/>
        <v>TR-1236</v>
      </c>
      <c r="B237" s="11" t="s">
        <v>721</v>
      </c>
      <c r="C237" s="141" t="s">
        <v>722</v>
      </c>
      <c r="D237" s="98">
        <v>34881</v>
      </c>
      <c r="E237" s="111">
        <f t="shared" ca="1" si="16"/>
        <v>30</v>
      </c>
      <c r="F237" s="132" t="s">
        <v>743</v>
      </c>
      <c r="G237" s="11" t="s">
        <v>254</v>
      </c>
      <c r="H237" s="139" t="s">
        <v>746</v>
      </c>
      <c r="I237" s="140" t="s">
        <v>747</v>
      </c>
      <c r="J237" s="132"/>
      <c r="K237" s="11" t="s">
        <v>774</v>
      </c>
      <c r="L237" s="96">
        <v>45978</v>
      </c>
      <c r="M237" s="96" t="str" cm="1">
        <f t="array" ref="M237">_xlfn.XLOOKUP(B237&amp;"", 'Registro EMO'!$C$13:$C$4248&amp;"", 'Registro EMO'!$F$13:$F$4248, "Sin registro", 0, -1)</f>
        <v>Sin registro</v>
      </c>
      <c r="N237" s="11" t="str" cm="1">
        <f t="array" ref="N237">_xlfn.XLOOKUP(B237&amp;"", 'Registro EMO'!$C$13:$C$4248&amp;"", 'Registro EMO'!$E$13:$E$4248, "Sin registro", 0, -1)</f>
        <v>Sin registro</v>
      </c>
      <c r="O237" s="11" t="str">
        <f t="shared" si="17"/>
        <v>NO</v>
      </c>
      <c r="P237" s="130" t="str" cm="1">
        <f t="array" ref="P237">_xlfn.LET(
    _xlpm.resultado, _xlfn.XLOOKUP(B237&amp;"", 'Registro EMO'!$C$13:$C$4248&amp;"", 'Registro EMO'!$I$13:$I$4248, "NO", 0, -1),
    IF(_xlpm.resultado=0, "NO", _xlpm.resultado)
)</f>
        <v>NO</v>
      </c>
      <c r="Q237" s="11" t="str">
        <f t="shared" ca="1" si="18"/>
        <v>Pendiente</v>
      </c>
      <c r="R237" s="96"/>
      <c r="S237" s="11"/>
      <c r="T237" s="11" t="str">
        <f t="shared" si="19"/>
        <v/>
      </c>
      <c r="U237" s="11"/>
      <c r="V237" s="11"/>
      <c r="W237" s="29"/>
      <c r="X237" s="129"/>
      <c r="Y237" s="11"/>
      <c r="Z237" s="11"/>
      <c r="AA237" s="11"/>
      <c r="AB237" s="11"/>
      <c r="AC237" s="11"/>
      <c r="AD237" s="11"/>
      <c r="AE237" s="11"/>
      <c r="AF237" s="11"/>
      <c r="AG237" s="98"/>
      <c r="AH237" s="11"/>
    </row>
    <row r="238" spans="1:34" ht="28.8" hidden="1" x14ac:dyDescent="0.3">
      <c r="A238" s="7" t="str">
        <f t="shared" si="15"/>
        <v>TR-1237</v>
      </c>
      <c r="B238" s="11" t="s">
        <v>723</v>
      </c>
      <c r="C238" s="141" t="s">
        <v>724</v>
      </c>
      <c r="D238" s="98">
        <v>29371</v>
      </c>
      <c r="E238" s="111">
        <f t="shared" ca="1" si="16"/>
        <v>45</v>
      </c>
      <c r="F238" s="132" t="s">
        <v>743</v>
      </c>
      <c r="G238" s="11" t="s">
        <v>254</v>
      </c>
      <c r="H238" s="139" t="s">
        <v>746</v>
      </c>
      <c r="I238" s="140" t="s">
        <v>747</v>
      </c>
      <c r="J238" s="132"/>
      <c r="K238" s="11" t="s">
        <v>773</v>
      </c>
      <c r="L238" s="96">
        <v>45850</v>
      </c>
      <c r="M238" s="96" t="str" cm="1">
        <f t="array" ref="M238">_xlfn.XLOOKUP(B238&amp;"", 'Registro EMO'!$C$13:$C$4248&amp;"", 'Registro EMO'!$F$13:$F$4248, "Sin registro", 0, -1)</f>
        <v>20/07/2026</v>
      </c>
      <c r="N238" s="11" t="str" cm="1">
        <f t="array" ref="N238">_xlfn.XLOOKUP(B238&amp;"", 'Registro EMO'!$C$13:$C$4248&amp;"", 'Registro EMO'!$E$13:$E$4248, "Sin registro", 0, -1)</f>
        <v>Pre-Ocupacional</v>
      </c>
      <c r="O238" s="11" t="str">
        <f t="shared" si="17"/>
        <v>SI</v>
      </c>
      <c r="P238" s="150" cm="1">
        <f t="array" ref="P238">_xlfn.LET(
    _xlpm.resultado, _xlfn.XLOOKUP(B238&amp;"", 'Registro EMO'!$C$13:$C$4248&amp;"", 'Registro EMO'!$I$13:$I$4248, "NO", 0, -1),
    IF(_xlpm.resultado=0, "NO", _xlpm.resultado)
)</f>
        <v>45838</v>
      </c>
      <c r="Q238" s="11" t="str">
        <f t="shared" ca="1" si="18"/>
        <v>Vigente</v>
      </c>
      <c r="R238" s="96"/>
      <c r="S238" s="11"/>
      <c r="T238" s="11" t="str">
        <f t="shared" si="19"/>
        <v/>
      </c>
      <c r="U238" s="11"/>
      <c r="V238" s="11" t="s">
        <v>796</v>
      </c>
      <c r="W238" s="29" t="s">
        <v>782</v>
      </c>
      <c r="X238" s="129"/>
      <c r="Y238" s="11"/>
      <c r="Z238" s="11"/>
      <c r="AA238" s="11"/>
      <c r="AB238" s="11"/>
      <c r="AC238" s="11"/>
      <c r="AD238" s="11"/>
      <c r="AE238" s="11"/>
      <c r="AF238" s="11"/>
      <c r="AG238" s="98"/>
      <c r="AH238" s="11" t="s">
        <v>32</v>
      </c>
    </row>
    <row r="239" spans="1:34" hidden="1" x14ac:dyDescent="0.3">
      <c r="A239" s="7" t="str">
        <f t="shared" si="15"/>
        <v>TR-1238</v>
      </c>
      <c r="B239" s="11" t="s">
        <v>725</v>
      </c>
      <c r="C239" s="141" t="s">
        <v>726</v>
      </c>
      <c r="D239" s="98">
        <v>37112</v>
      </c>
      <c r="E239" s="111">
        <f t="shared" ca="1" si="16"/>
        <v>24</v>
      </c>
      <c r="F239" s="132" t="s">
        <v>743</v>
      </c>
      <c r="G239" s="11" t="s">
        <v>254</v>
      </c>
      <c r="H239" s="139" t="s">
        <v>746</v>
      </c>
      <c r="I239" s="140" t="s">
        <v>747</v>
      </c>
      <c r="J239" s="132"/>
      <c r="K239" s="11" t="s">
        <v>773</v>
      </c>
      <c r="L239" s="96">
        <v>45352</v>
      </c>
      <c r="M239" s="96" t="str" cm="1">
        <f t="array" ref="M239">_xlfn.XLOOKUP(B239&amp;"", 'Registro EMO'!$C$13:$C$4248&amp;"", 'Registro EMO'!$F$13:$F$4248, "Sin registro", 0, -1)</f>
        <v>Sin registro</v>
      </c>
      <c r="N239" s="11" t="str" cm="1">
        <f t="array" ref="N239">_xlfn.XLOOKUP(B239&amp;"", 'Registro EMO'!$C$13:$C$4248&amp;"", 'Registro EMO'!$E$13:$E$4248, "Sin registro", 0, -1)</f>
        <v>Sin registro</v>
      </c>
      <c r="O239" s="11" t="str">
        <f t="shared" si="17"/>
        <v>NO</v>
      </c>
      <c r="P239" s="130" t="str" cm="1">
        <f t="array" ref="P239">_xlfn.LET(
    _xlpm.resultado, _xlfn.XLOOKUP(B239&amp;"", 'Registro EMO'!$C$13:$C$4248&amp;"", 'Registro EMO'!$I$13:$I$4248, "NO", 0, -1),
    IF(_xlpm.resultado=0, "NO", _xlpm.resultado)
)</f>
        <v>NO</v>
      </c>
      <c r="Q239" s="11" t="str">
        <f t="shared" ca="1" si="18"/>
        <v>Pendiente</v>
      </c>
      <c r="R239" s="96"/>
      <c r="S239" s="11"/>
      <c r="T239" s="11" t="str">
        <f t="shared" si="19"/>
        <v/>
      </c>
      <c r="U239" s="11"/>
      <c r="V239" s="11"/>
      <c r="W239" s="29"/>
      <c r="X239" s="129"/>
      <c r="Y239" s="11"/>
      <c r="Z239" s="11"/>
      <c r="AA239" s="11"/>
      <c r="AB239" s="11"/>
      <c r="AC239" s="11"/>
      <c r="AD239" s="11"/>
      <c r="AE239" s="11"/>
      <c r="AF239" s="11"/>
      <c r="AG239" s="98"/>
      <c r="AH239" s="11"/>
    </row>
    <row r="240" spans="1:34" hidden="1" x14ac:dyDescent="0.3">
      <c r="A240" s="7" t="str">
        <f t="shared" si="15"/>
        <v>TR-1239</v>
      </c>
      <c r="B240" s="11" t="s">
        <v>727</v>
      </c>
      <c r="C240" s="141" t="s">
        <v>728</v>
      </c>
      <c r="D240" s="98">
        <v>37636</v>
      </c>
      <c r="E240" s="111">
        <f t="shared" ca="1" si="16"/>
        <v>23</v>
      </c>
      <c r="F240" s="132" t="s">
        <v>743</v>
      </c>
      <c r="G240" s="11" t="s">
        <v>254</v>
      </c>
      <c r="H240" s="139" t="s">
        <v>746</v>
      </c>
      <c r="I240" s="140" t="s">
        <v>751</v>
      </c>
      <c r="J240" s="132"/>
      <c r="K240" s="11" t="s">
        <v>773</v>
      </c>
      <c r="L240" s="96">
        <v>45658</v>
      </c>
      <c r="M240" s="96" t="str" cm="1">
        <f t="array" ref="M240">_xlfn.XLOOKUP(B240&amp;"", 'Registro EMO'!$C$13:$C$4248&amp;"", 'Registro EMO'!$F$13:$F$4248, "Sin registro", 0, -1)</f>
        <v>Sin registro</v>
      </c>
      <c r="N240" s="11" t="str" cm="1">
        <f t="array" ref="N240">_xlfn.XLOOKUP(B240&amp;"", 'Registro EMO'!$C$13:$C$4248&amp;"", 'Registro EMO'!$E$13:$E$4248, "Sin registro", 0, -1)</f>
        <v>Sin registro</v>
      </c>
      <c r="O240" s="11" t="str">
        <f t="shared" si="17"/>
        <v>NO</v>
      </c>
      <c r="P240" s="130" t="str" cm="1">
        <f t="array" ref="P240">_xlfn.LET(
    _xlpm.resultado, _xlfn.XLOOKUP(B240&amp;"", 'Registro EMO'!$C$13:$C$4248&amp;"", 'Registro EMO'!$I$13:$I$4248, "NO", 0, -1),
    IF(_xlpm.resultado=0, "NO", _xlpm.resultado)
)</f>
        <v>NO</v>
      </c>
      <c r="Q240" s="11" t="str">
        <f t="shared" ca="1" si="18"/>
        <v>Pendiente</v>
      </c>
      <c r="R240" s="96"/>
      <c r="S240" s="11"/>
      <c r="T240" s="11" t="str">
        <f t="shared" si="19"/>
        <v/>
      </c>
      <c r="U240" s="11"/>
      <c r="V240" s="11"/>
      <c r="W240" s="29"/>
      <c r="X240" s="129"/>
      <c r="Y240" s="11"/>
      <c r="Z240" s="11"/>
      <c r="AA240" s="11"/>
      <c r="AB240" s="11"/>
      <c r="AC240" s="11"/>
      <c r="AD240" s="11"/>
      <c r="AE240" s="11"/>
      <c r="AF240" s="11"/>
      <c r="AG240" s="98"/>
      <c r="AH240" s="11"/>
    </row>
    <row r="241" spans="1:34" hidden="1" x14ac:dyDescent="0.3">
      <c r="A241" s="7" t="str">
        <f t="shared" si="15"/>
        <v>TR-1240</v>
      </c>
      <c r="B241" s="11" t="s">
        <v>729</v>
      </c>
      <c r="C241" s="141" t="s">
        <v>730</v>
      </c>
      <c r="D241" s="98">
        <v>38340</v>
      </c>
      <c r="E241" s="111">
        <f t="shared" ca="1" si="16"/>
        <v>21</v>
      </c>
      <c r="F241" s="132" t="s">
        <v>743</v>
      </c>
      <c r="G241" s="11" t="s">
        <v>254</v>
      </c>
      <c r="H241" s="139" t="s">
        <v>746</v>
      </c>
      <c r="I241" s="140" t="s">
        <v>751</v>
      </c>
      <c r="J241" s="132"/>
      <c r="K241" s="11" t="s">
        <v>773</v>
      </c>
      <c r="L241" s="96">
        <v>45428</v>
      </c>
      <c r="M241" s="96" t="str" cm="1">
        <f t="array" ref="M241">_xlfn.XLOOKUP(B241&amp;"", 'Registro EMO'!$C$13:$C$4248&amp;"", 'Registro EMO'!$F$13:$F$4248, "Sin registro", 0, -1)</f>
        <v>Sin registro</v>
      </c>
      <c r="N241" s="11" t="str" cm="1">
        <f t="array" ref="N241">_xlfn.XLOOKUP(B241&amp;"", 'Registro EMO'!$C$13:$C$4248&amp;"", 'Registro EMO'!$E$13:$E$4248, "Sin registro", 0, -1)</f>
        <v>Sin registro</v>
      </c>
      <c r="O241" s="11" t="str">
        <f t="shared" si="17"/>
        <v>NO</v>
      </c>
      <c r="P241" s="130" t="str" cm="1">
        <f t="array" ref="P241">_xlfn.LET(
    _xlpm.resultado, _xlfn.XLOOKUP(B241&amp;"", 'Registro EMO'!$C$13:$C$4248&amp;"", 'Registro EMO'!$I$13:$I$4248, "NO", 0, -1),
    IF(_xlpm.resultado=0, "NO", _xlpm.resultado)
)</f>
        <v>NO</v>
      </c>
      <c r="Q241" s="11" t="str">
        <f t="shared" ca="1" si="18"/>
        <v>Pendiente</v>
      </c>
      <c r="R241" s="96"/>
      <c r="S241" s="11"/>
      <c r="T241" s="11" t="str">
        <f t="shared" si="19"/>
        <v/>
      </c>
      <c r="U241" s="11"/>
      <c r="V241" s="11"/>
      <c r="W241" s="29"/>
      <c r="X241" s="129"/>
      <c r="Y241" s="11"/>
      <c r="Z241" s="11"/>
      <c r="AA241" s="11"/>
      <c r="AB241" s="11"/>
      <c r="AC241" s="11"/>
      <c r="AD241" s="11"/>
      <c r="AE241" s="11"/>
      <c r="AF241" s="11"/>
      <c r="AG241" s="98"/>
      <c r="AH241" s="11"/>
    </row>
    <row r="242" spans="1:34" hidden="1" x14ac:dyDescent="0.3">
      <c r="A242" s="7" t="str">
        <f t="shared" si="15"/>
        <v>TR-1241</v>
      </c>
      <c r="B242" s="11" t="s">
        <v>731</v>
      </c>
      <c r="C242" s="141" t="s">
        <v>732</v>
      </c>
      <c r="D242" s="98">
        <v>24295</v>
      </c>
      <c r="E242" s="111">
        <f t="shared" ca="1" si="16"/>
        <v>59</v>
      </c>
      <c r="F242" s="132" t="s">
        <v>743</v>
      </c>
      <c r="G242" s="11" t="s">
        <v>254</v>
      </c>
      <c r="H242" s="139" t="s">
        <v>744</v>
      </c>
      <c r="I242" s="140" t="s">
        <v>756</v>
      </c>
      <c r="J242" s="132"/>
      <c r="K242" s="11" t="s">
        <v>773</v>
      </c>
      <c r="L242" s="96">
        <v>45931</v>
      </c>
      <c r="M242" s="96" t="str" cm="1">
        <f t="array" ref="M242">_xlfn.XLOOKUP(B242&amp;"", 'Registro EMO'!$C$13:$C$4248&amp;"", 'Registro EMO'!$F$13:$F$4248, "Sin registro", 0, -1)</f>
        <v>24/01/2026</v>
      </c>
      <c r="N242" s="11" t="str" cm="1">
        <f t="array" ref="N242">_xlfn.XLOOKUP(B242&amp;"", 'Registro EMO'!$C$13:$C$4248&amp;"", 'Registro EMO'!$E$13:$E$4248, "Sin registro", 0, -1)</f>
        <v>Pre-Ocupacional</v>
      </c>
      <c r="O242" s="11" t="str">
        <f t="shared" si="17"/>
        <v>NO</v>
      </c>
      <c r="P242" s="130" t="str" cm="1">
        <f t="array" ref="P242">_xlfn.LET(
    _xlpm.resultado, _xlfn.XLOOKUP(B242&amp;"", 'Registro EMO'!$C$13:$C$4248&amp;"", 'Registro EMO'!$I$13:$I$4248, "NO", 0, -1),
    IF(_xlpm.resultado=0, "NO", _xlpm.resultado)
)</f>
        <v>NO</v>
      </c>
      <c r="Q242" s="11" t="str">
        <f t="shared" ca="1" si="18"/>
        <v>Vigente</v>
      </c>
      <c r="R242" s="96"/>
      <c r="S242" s="11"/>
      <c r="T242" s="11" t="str">
        <f t="shared" si="19"/>
        <v/>
      </c>
      <c r="U242" s="11"/>
      <c r="V242" s="11" t="s">
        <v>796</v>
      </c>
      <c r="W242" s="29"/>
      <c r="X242" s="129"/>
      <c r="Y242" s="11"/>
      <c r="Z242" s="11"/>
      <c r="AA242" s="11"/>
      <c r="AB242" s="11"/>
      <c r="AC242" s="11"/>
      <c r="AD242" s="11"/>
      <c r="AE242" s="11"/>
      <c r="AF242" s="11"/>
      <c r="AG242" s="98"/>
      <c r="AH242" s="11" t="s">
        <v>32</v>
      </c>
    </row>
    <row r="243" spans="1:34" ht="28.8" hidden="1" x14ac:dyDescent="0.3">
      <c r="A243" s="7" t="str">
        <f t="shared" si="15"/>
        <v>TR-1242</v>
      </c>
      <c r="B243" s="11" t="s">
        <v>733</v>
      </c>
      <c r="C243" s="141" t="s">
        <v>734</v>
      </c>
      <c r="D243" s="98">
        <v>32131</v>
      </c>
      <c r="E243" s="111">
        <f t="shared" ca="1" si="16"/>
        <v>38</v>
      </c>
      <c r="F243" s="132" t="s">
        <v>743</v>
      </c>
      <c r="G243" s="11" t="s">
        <v>254</v>
      </c>
      <c r="H243" s="139" t="s">
        <v>744</v>
      </c>
      <c r="I243" s="140" t="s">
        <v>748</v>
      </c>
      <c r="J243" s="132"/>
      <c r="K243" s="11" t="s">
        <v>773</v>
      </c>
      <c r="L243" s="96">
        <v>45818</v>
      </c>
      <c r="M243" s="96" t="str" cm="1">
        <f t="array" ref="M243">_xlfn.XLOOKUP(B243&amp;"", 'Registro EMO'!$C$13:$C$4248&amp;"", 'Registro EMO'!$F$13:$F$4248, "Sin registro", 0, -1)</f>
        <v>14/11/2026</v>
      </c>
      <c r="N243" s="11" t="str" cm="1">
        <f t="array" ref="N243">_xlfn.XLOOKUP(B243&amp;"", 'Registro EMO'!$C$13:$C$4248&amp;"", 'Registro EMO'!$E$13:$E$4248, "Sin registro", 0, -1)</f>
        <v>Pre-Ocupacional</v>
      </c>
      <c r="O243" s="11" t="str">
        <f t="shared" si="17"/>
        <v>SI</v>
      </c>
      <c r="P243" s="150" cm="1">
        <f t="array" ref="P243">_xlfn.LET(
    _xlpm.resultado, _xlfn.XLOOKUP(B243&amp;"", 'Registro EMO'!$C$13:$C$4248&amp;"", 'Registro EMO'!$I$13:$I$4248, "NO", 0, -1),
    IF(_xlpm.resultado=0, "NO", _xlpm.resultado)
)</f>
        <v>45991</v>
      </c>
      <c r="Q243" s="11" t="str">
        <f t="shared" ca="1" si="18"/>
        <v>Vigente</v>
      </c>
      <c r="R243" s="96"/>
      <c r="S243" s="11"/>
      <c r="T243" s="11" t="str">
        <f t="shared" si="19"/>
        <v/>
      </c>
      <c r="U243" s="11"/>
      <c r="V243" s="11" t="s">
        <v>796</v>
      </c>
      <c r="W243" s="29" t="s">
        <v>780</v>
      </c>
      <c r="X243" s="129"/>
      <c r="Y243" s="11"/>
      <c r="Z243" s="11"/>
      <c r="AA243" s="11"/>
      <c r="AB243" s="11"/>
      <c r="AC243" s="11"/>
      <c r="AD243" s="11"/>
      <c r="AE243" s="11"/>
      <c r="AF243" s="11"/>
      <c r="AG243" s="98"/>
      <c r="AH243" s="11" t="s">
        <v>32</v>
      </c>
    </row>
    <row r="244" spans="1:34" hidden="1" x14ac:dyDescent="0.3">
      <c r="A244" s="7" t="str">
        <f t="shared" si="15"/>
        <v>TR-1243</v>
      </c>
      <c r="B244" s="11" t="s">
        <v>735</v>
      </c>
      <c r="C244" s="141" t="s">
        <v>736</v>
      </c>
      <c r="D244" s="98">
        <v>37349</v>
      </c>
      <c r="E244" s="111">
        <f t="shared" ca="1" si="16"/>
        <v>23</v>
      </c>
      <c r="F244" s="132" t="s">
        <v>743</v>
      </c>
      <c r="G244" s="11" t="s">
        <v>254</v>
      </c>
      <c r="H244" s="139" t="s">
        <v>744</v>
      </c>
      <c r="I244" s="140" t="s">
        <v>772</v>
      </c>
      <c r="J244" s="132"/>
      <c r="K244" s="11" t="s">
        <v>773</v>
      </c>
      <c r="L244" s="96">
        <v>45459</v>
      </c>
      <c r="M244" s="96" t="str" cm="1">
        <f t="array" ref="M244">_xlfn.XLOOKUP(B244&amp;"", 'Registro EMO'!$C$13:$C$4248&amp;"", 'Registro EMO'!$F$13:$F$4248, "Sin registro", 0, -1)</f>
        <v>Sin registro</v>
      </c>
      <c r="N244" s="11" t="str" cm="1">
        <f t="array" ref="N244">_xlfn.XLOOKUP(B244&amp;"", 'Registro EMO'!$C$13:$C$4248&amp;"", 'Registro EMO'!$E$13:$E$4248, "Sin registro", 0, -1)</f>
        <v>Sin registro</v>
      </c>
      <c r="O244" s="11" t="str">
        <f t="shared" si="17"/>
        <v>NO</v>
      </c>
      <c r="P244" s="130" t="str" cm="1">
        <f t="array" ref="P244">_xlfn.LET(
    _xlpm.resultado, _xlfn.XLOOKUP(B244&amp;"", 'Registro EMO'!$C$13:$C$4248&amp;"", 'Registro EMO'!$I$13:$I$4248, "NO", 0, -1),
    IF(_xlpm.resultado=0, "NO", _xlpm.resultado)
)</f>
        <v>NO</v>
      </c>
      <c r="Q244" s="11" t="str">
        <f t="shared" ca="1" si="18"/>
        <v>Pendiente</v>
      </c>
      <c r="R244" s="96"/>
      <c r="S244" s="11"/>
      <c r="T244" s="11" t="str">
        <f t="shared" si="19"/>
        <v/>
      </c>
      <c r="U244" s="11"/>
      <c r="V244" s="11"/>
      <c r="W244" s="29"/>
      <c r="X244" s="129"/>
      <c r="Y244" s="11"/>
      <c r="Z244" s="11"/>
      <c r="AA244" s="11"/>
      <c r="AB244" s="11"/>
      <c r="AC244" s="11"/>
      <c r="AD244" s="11"/>
      <c r="AE244" s="11"/>
      <c r="AF244" s="11"/>
      <c r="AG244" s="98"/>
      <c r="AH244" s="11"/>
    </row>
    <row r="245" spans="1:34" hidden="1" x14ac:dyDescent="0.3">
      <c r="A245" s="7" t="str">
        <f t="shared" si="15"/>
        <v>TR-1244</v>
      </c>
      <c r="B245" s="11" t="s">
        <v>737</v>
      </c>
      <c r="C245" s="141" t="s">
        <v>738</v>
      </c>
      <c r="D245" s="98">
        <v>33904</v>
      </c>
      <c r="E245" s="111">
        <f t="shared" ca="1" si="16"/>
        <v>33</v>
      </c>
      <c r="F245" s="132" t="s">
        <v>743</v>
      </c>
      <c r="G245" s="11" t="s">
        <v>254</v>
      </c>
      <c r="H245" s="139" t="s">
        <v>746</v>
      </c>
      <c r="I245" s="140" t="s">
        <v>751</v>
      </c>
      <c r="J245" s="132"/>
      <c r="K245" s="11" t="s">
        <v>773</v>
      </c>
      <c r="L245" s="96">
        <v>45826</v>
      </c>
      <c r="M245" s="96" t="str" cm="1">
        <f t="array" ref="M245">_xlfn.XLOOKUP(B245&amp;"", 'Registro EMO'!$C$13:$C$4248&amp;"", 'Registro EMO'!$F$13:$F$4248, "Sin registro", 0, -1)</f>
        <v>Sin registro</v>
      </c>
      <c r="N245" s="11" t="str" cm="1">
        <f t="array" ref="N245">_xlfn.XLOOKUP(B245&amp;"", 'Registro EMO'!$C$13:$C$4248&amp;"", 'Registro EMO'!$E$13:$E$4248, "Sin registro", 0, -1)</f>
        <v>Sin registro</v>
      </c>
      <c r="O245" s="11" t="str">
        <f t="shared" si="17"/>
        <v>NO</v>
      </c>
      <c r="P245" s="130" t="str" cm="1">
        <f t="array" ref="P245">_xlfn.LET(
    _xlpm.resultado, _xlfn.XLOOKUP(B245&amp;"", 'Registro EMO'!$C$13:$C$4248&amp;"", 'Registro EMO'!$I$13:$I$4248, "NO", 0, -1),
    IF(_xlpm.resultado=0, "NO", _xlpm.resultado)
)</f>
        <v>NO</v>
      </c>
      <c r="Q245" s="11" t="str">
        <f t="shared" ca="1" si="18"/>
        <v>Pendiente</v>
      </c>
      <c r="R245" s="96"/>
      <c r="S245" s="11"/>
      <c r="T245" s="11" t="str">
        <f t="shared" si="19"/>
        <v/>
      </c>
      <c r="U245" s="11"/>
      <c r="V245" s="11"/>
      <c r="W245" s="29"/>
      <c r="X245" s="129"/>
      <c r="Y245" s="11"/>
      <c r="Z245" s="11"/>
      <c r="AA245" s="11"/>
      <c r="AB245" s="11"/>
      <c r="AC245" s="11"/>
      <c r="AD245" s="11"/>
      <c r="AE245" s="11"/>
      <c r="AF245" s="11"/>
      <c r="AG245" s="98"/>
      <c r="AH245" s="11"/>
    </row>
    <row r="246" spans="1:34" ht="28.8" hidden="1" x14ac:dyDescent="0.3">
      <c r="A246" s="7" t="str">
        <f t="shared" si="15"/>
        <v>TR-1245</v>
      </c>
      <c r="B246" s="11" t="s">
        <v>739</v>
      </c>
      <c r="C246" s="141" t="s">
        <v>740</v>
      </c>
      <c r="D246" s="98">
        <v>34145</v>
      </c>
      <c r="E246" s="111">
        <f t="shared" ca="1" si="16"/>
        <v>32</v>
      </c>
      <c r="F246" s="132" t="s">
        <v>743</v>
      </c>
      <c r="G246" s="11" t="s">
        <v>254</v>
      </c>
      <c r="H246" s="139" t="s">
        <v>746</v>
      </c>
      <c r="I246" s="140" t="s">
        <v>747</v>
      </c>
      <c r="J246" s="132"/>
      <c r="K246" s="11" t="s">
        <v>773</v>
      </c>
      <c r="L246" s="96">
        <v>45931</v>
      </c>
      <c r="M246" s="96" t="str" cm="1">
        <f t="array" ref="M246">_xlfn.XLOOKUP(B246&amp;"", 'Registro EMO'!$C$13:$C$4248&amp;"", 'Registro EMO'!$F$13:$F$4248, "Sin registro", 0, -1)</f>
        <v>Sin registro</v>
      </c>
      <c r="N246" s="11" t="str" cm="1">
        <f t="array" ref="N246">_xlfn.XLOOKUP(B246&amp;"", 'Registro EMO'!$C$13:$C$4248&amp;"", 'Registro EMO'!$E$13:$E$4248, "Sin registro", 0, -1)</f>
        <v>Sin registro</v>
      </c>
      <c r="O246" s="11" t="str">
        <f t="shared" si="17"/>
        <v>NO</v>
      </c>
      <c r="P246" s="130" t="str" cm="1">
        <f t="array" ref="P246">_xlfn.LET(
    _xlpm.resultado, _xlfn.XLOOKUP(B246&amp;"", 'Registro EMO'!$C$13:$C$4248&amp;"", 'Registro EMO'!$I$13:$I$4248, "NO", 0, -1),
    IF(_xlpm.resultado=0, "NO", _xlpm.resultado)
)</f>
        <v>NO</v>
      </c>
      <c r="Q246" s="11" t="str">
        <f t="shared" ca="1" si="18"/>
        <v>Pendiente</v>
      </c>
      <c r="R246" s="96"/>
      <c r="S246" s="11"/>
      <c r="T246" s="11" t="str">
        <f t="shared" si="19"/>
        <v/>
      </c>
      <c r="U246" s="11"/>
      <c r="V246" s="11"/>
      <c r="W246" s="29" t="s">
        <v>779</v>
      </c>
      <c r="X246" s="129"/>
      <c r="Y246" s="11"/>
      <c r="Z246" s="11"/>
      <c r="AA246" s="11"/>
      <c r="AB246" s="11"/>
      <c r="AC246" s="11"/>
      <c r="AD246" s="11"/>
      <c r="AE246" s="11"/>
      <c r="AF246" s="11"/>
      <c r="AG246" s="98"/>
      <c r="AH246" s="11"/>
    </row>
    <row r="247" spans="1:34" hidden="1" x14ac:dyDescent="0.3">
      <c r="A247" s="7" t="str">
        <f t="shared" si="15"/>
        <v>TR-1246</v>
      </c>
      <c r="B247" s="11" t="s">
        <v>741</v>
      </c>
      <c r="C247" s="141" t="s">
        <v>742</v>
      </c>
      <c r="D247" s="98">
        <v>33904</v>
      </c>
      <c r="E247" s="111">
        <f t="shared" ca="1" si="16"/>
        <v>33</v>
      </c>
      <c r="F247" s="132" t="s">
        <v>743</v>
      </c>
      <c r="G247" s="11" t="s">
        <v>254</v>
      </c>
      <c r="H247" s="139" t="s">
        <v>746</v>
      </c>
      <c r="I247" s="140" t="s">
        <v>747</v>
      </c>
      <c r="J247" s="132"/>
      <c r="K247" s="11" t="s">
        <v>773</v>
      </c>
      <c r="L247" s="98">
        <v>45783</v>
      </c>
      <c r="M247" s="96" t="str" cm="1">
        <f t="array" ref="M247">_xlfn.XLOOKUP(B247&amp;"", 'Registro EMO'!$C$13:$C$4248&amp;"", 'Registro EMO'!$F$13:$F$4248, "Sin registro", 0, -1)</f>
        <v>Sin registro</v>
      </c>
      <c r="N247" s="11" t="str" cm="1">
        <f t="array" ref="N247">_xlfn.XLOOKUP(B247&amp;"", 'Registro EMO'!$C$13:$C$4248&amp;"", 'Registro EMO'!$E$13:$E$4248, "Sin registro", 0, -1)</f>
        <v>Sin registro</v>
      </c>
      <c r="O247" s="11" t="str">
        <f t="shared" si="17"/>
        <v>NO</v>
      </c>
      <c r="P247" s="130" t="str" cm="1">
        <f t="array" ref="P247">_xlfn.LET(
    _xlpm.resultado, _xlfn.XLOOKUP(B247&amp;"", 'Registro EMO'!$C$13:$C$4248&amp;"", 'Registro EMO'!$I$13:$I$4248, "NO", 0, -1),
    IF(_xlpm.resultado=0, "NO", _xlpm.resultado)
)</f>
        <v>NO</v>
      </c>
      <c r="Q247" s="11" t="str">
        <f t="shared" ca="1" si="18"/>
        <v>Pendiente</v>
      </c>
      <c r="R247" s="96"/>
      <c r="S247" s="11"/>
      <c r="T247" s="11" t="str">
        <f t="shared" si="19"/>
        <v/>
      </c>
      <c r="U247" s="11"/>
      <c r="V247" s="11"/>
      <c r="W247" s="29"/>
      <c r="X247" s="129"/>
      <c r="Y247" s="11"/>
      <c r="Z247" s="11"/>
      <c r="AA247" s="11"/>
      <c r="AB247" s="11"/>
      <c r="AC247" s="11"/>
      <c r="AD247" s="11"/>
      <c r="AE247" s="11"/>
      <c r="AF247" s="11"/>
      <c r="AG247" s="98"/>
      <c r="AH247" s="11"/>
    </row>
    <row r="248" spans="1:34" x14ac:dyDescent="0.3">
      <c r="A248" s="7" t="str">
        <f t="shared" si="15"/>
        <v>TR-1247</v>
      </c>
      <c r="B248" s="11" t="s">
        <v>1017</v>
      </c>
      <c r="C248" s="141" t="s">
        <v>816</v>
      </c>
      <c r="D248" s="98">
        <v>29544</v>
      </c>
      <c r="E248" s="111">
        <f t="shared" ca="1" si="16"/>
        <v>45</v>
      </c>
      <c r="F248" s="132" t="s">
        <v>743</v>
      </c>
      <c r="G248" s="11" t="s">
        <v>253</v>
      </c>
      <c r="H248" s="140" t="s">
        <v>1218</v>
      </c>
      <c r="I248" s="140" t="s">
        <v>1219</v>
      </c>
      <c r="J248" s="132"/>
      <c r="K248" s="11"/>
      <c r="L248" s="142">
        <v>46030</v>
      </c>
      <c r="M248" s="96" t="str" cm="1">
        <f t="array" ref="M248">_xlfn.XLOOKUP(B248&amp;"", 'Registro EMO'!$C$13:$C$4248&amp;"", 'Registro EMO'!$F$13:$F$4248, "Sin registro", 0, -1)</f>
        <v>Sin registro</v>
      </c>
      <c r="N248" s="11" t="str" cm="1">
        <f t="array" ref="N248">_xlfn.XLOOKUP(B248&amp;"", 'Registro EMO'!$C$13:$C$4248&amp;"", 'Registro EMO'!$E$13:$E$4248, "Sin registro", 0, -1)</f>
        <v>Sin registro</v>
      </c>
      <c r="O248" s="11" t="str">
        <f t="shared" si="17"/>
        <v>NO</v>
      </c>
      <c r="P248" s="130" t="str" cm="1">
        <f t="array" ref="P248">_xlfn.LET(
    _xlpm.resultado, _xlfn.XLOOKUP(B248&amp;"", 'Registro EMO'!$C$13:$C$4248&amp;"", 'Registro EMO'!$I$13:$I$4248, "NO", 0, -1),
    IF(_xlpm.resultado=0, "NO", _xlpm.resultado)
)</f>
        <v>NO</v>
      </c>
      <c r="Q248" s="11" t="str">
        <f t="shared" ca="1" si="18"/>
        <v>Pendiente</v>
      </c>
      <c r="R248" s="96"/>
      <c r="S248" s="11"/>
      <c r="T248" s="11" t="str">
        <f t="shared" ref="T248:T257" si="20">IF(R248="", "", IF(U248="", "NO", "SI"))</f>
        <v/>
      </c>
      <c r="U248" s="11"/>
      <c r="V248" s="146"/>
      <c r="W248" s="29"/>
      <c r="X248" s="129"/>
      <c r="Y248" s="11"/>
      <c r="Z248" s="11"/>
      <c r="AA248" s="11"/>
      <c r="AB248" s="11"/>
      <c r="AC248" s="11"/>
      <c r="AD248" s="11"/>
      <c r="AE248" s="11"/>
      <c r="AF248" s="11"/>
      <c r="AG248" s="98"/>
      <c r="AH248" s="11"/>
    </row>
    <row r="249" spans="1:34" x14ac:dyDescent="0.3">
      <c r="A249" s="7" t="str">
        <f t="shared" si="15"/>
        <v>TR-1248</v>
      </c>
      <c r="B249" s="11" t="s">
        <v>1018</v>
      </c>
      <c r="C249" s="141" t="s">
        <v>817</v>
      </c>
      <c r="D249" s="98">
        <v>30207</v>
      </c>
      <c r="E249" s="111">
        <f t="shared" ca="1" si="16"/>
        <v>43</v>
      </c>
      <c r="F249" s="132" t="s">
        <v>743</v>
      </c>
      <c r="G249" s="11" t="s">
        <v>253</v>
      </c>
      <c r="H249" s="140" t="s">
        <v>1218</v>
      </c>
      <c r="I249" s="140" t="s">
        <v>1220</v>
      </c>
      <c r="J249" s="132"/>
      <c r="K249" s="11"/>
      <c r="L249" s="142">
        <v>44593</v>
      </c>
      <c r="M249" s="96" t="str" cm="1">
        <f t="array" ref="M249">_xlfn.XLOOKUP(B249&amp;"", 'Registro EMO'!$C$13:$C$4248&amp;"", 'Registro EMO'!$F$13:$F$4248, "Sin registro", 0, -1)</f>
        <v>26/04/2026</v>
      </c>
      <c r="N249" s="11" t="str" cm="1">
        <f t="array" ref="N249">_xlfn.XLOOKUP(B249&amp;"", 'Registro EMO'!$C$13:$C$4248&amp;"", 'Registro EMO'!$E$13:$E$4248, "Sin registro", 0, -1)</f>
        <v>Pre-Ocupacional</v>
      </c>
      <c r="O249" s="11" t="str">
        <f t="shared" si="17"/>
        <v>NO</v>
      </c>
      <c r="P249" s="130" t="str" cm="1">
        <f t="array" ref="P249">_xlfn.LET(
    _xlpm.resultado, _xlfn.XLOOKUP(B249&amp;"", 'Registro EMO'!$C$13:$C$4248&amp;"", 'Registro EMO'!$I$13:$I$4248, "NO", 0, -1),
    IF(_xlpm.resultado=0, "NO", _xlpm.resultado)
)</f>
        <v>NO</v>
      </c>
      <c r="Q249" s="11" t="str">
        <f t="shared" ca="1" si="18"/>
        <v>Vigente</v>
      </c>
      <c r="R249" s="96"/>
      <c r="S249" s="11"/>
      <c r="T249" s="11"/>
      <c r="U249" s="11"/>
      <c r="V249" s="11" t="s">
        <v>796</v>
      </c>
      <c r="W249" s="29"/>
      <c r="X249" s="129"/>
      <c r="Y249" s="11"/>
      <c r="Z249" s="11"/>
      <c r="AA249" s="11"/>
      <c r="AB249" s="11"/>
      <c r="AC249" s="11"/>
      <c r="AD249" s="11"/>
      <c r="AE249" s="11"/>
      <c r="AF249" s="11"/>
      <c r="AG249" s="98"/>
      <c r="AH249" s="11" t="s">
        <v>32</v>
      </c>
    </row>
    <row r="250" spans="1:34" x14ac:dyDescent="0.3">
      <c r="A250" s="7" t="str">
        <f t="shared" si="15"/>
        <v>TR-1249</v>
      </c>
      <c r="B250" s="11" t="s">
        <v>1019</v>
      </c>
      <c r="C250" s="141" t="s">
        <v>818</v>
      </c>
      <c r="D250" s="98">
        <v>30847</v>
      </c>
      <c r="E250" s="111">
        <f t="shared" ca="1" si="16"/>
        <v>41</v>
      </c>
      <c r="F250" s="132" t="s">
        <v>743</v>
      </c>
      <c r="G250" s="11" t="s">
        <v>253</v>
      </c>
      <c r="H250" s="140" t="s">
        <v>1218</v>
      </c>
      <c r="I250" s="140" t="s">
        <v>1221</v>
      </c>
      <c r="J250" s="132"/>
      <c r="K250" s="11"/>
      <c r="L250" s="142">
        <v>45931</v>
      </c>
      <c r="M250" s="96" t="str" cm="1">
        <f t="array" ref="M250">_xlfn.XLOOKUP(B250&amp;"", 'Registro EMO'!$C$13:$C$4248&amp;"", 'Registro EMO'!$F$13:$F$4248, "Sin registro", 0, -1)</f>
        <v>23/01/2026</v>
      </c>
      <c r="N250" s="11" t="str" cm="1">
        <f t="array" ref="N250">_xlfn.XLOOKUP(B250&amp;"", 'Registro EMO'!$C$13:$C$4248&amp;"", 'Registro EMO'!$E$13:$E$4248, "Sin registro", 0, -1)</f>
        <v>Pre-Ocupacional</v>
      </c>
      <c r="O250" s="11" t="str">
        <f t="shared" si="17"/>
        <v>NO</v>
      </c>
      <c r="P250" s="130" t="str" cm="1">
        <f t="array" ref="P250">_xlfn.LET(
    _xlpm.resultado, _xlfn.XLOOKUP(B250&amp;"", 'Registro EMO'!$C$13:$C$4248&amp;"", 'Registro EMO'!$I$13:$I$4248, "NO", 0, -1),
    IF(_xlpm.resultado=0, "NO", _xlpm.resultado)
)</f>
        <v>NO</v>
      </c>
      <c r="Q250" s="11" t="str">
        <f t="shared" ca="1" si="18"/>
        <v>Vigente</v>
      </c>
      <c r="R250" s="96"/>
      <c r="S250" s="11"/>
      <c r="T250" s="11"/>
      <c r="U250" s="11"/>
      <c r="V250" s="11" t="s">
        <v>796</v>
      </c>
      <c r="W250" s="29"/>
      <c r="X250" s="129"/>
      <c r="Y250" s="11"/>
      <c r="Z250" s="11"/>
      <c r="AA250" s="11"/>
      <c r="AB250" s="11"/>
      <c r="AC250" s="11"/>
      <c r="AD250" s="11"/>
      <c r="AE250" s="11"/>
      <c r="AF250" s="11"/>
      <c r="AG250" s="98"/>
      <c r="AH250" s="11" t="s">
        <v>32</v>
      </c>
    </row>
    <row r="251" spans="1:34" x14ac:dyDescent="0.3">
      <c r="A251" s="7" t="str">
        <f t="shared" si="15"/>
        <v>TR-1250</v>
      </c>
      <c r="B251" s="11" t="s">
        <v>1020</v>
      </c>
      <c r="C251" s="141" t="s">
        <v>819</v>
      </c>
      <c r="D251" s="98">
        <v>38797</v>
      </c>
      <c r="E251" s="111">
        <f t="shared" ca="1" si="16"/>
        <v>19</v>
      </c>
      <c r="F251" s="132" t="s">
        <v>762</v>
      </c>
      <c r="G251" s="11" t="s">
        <v>253</v>
      </c>
      <c r="H251" s="140" t="s">
        <v>1218</v>
      </c>
      <c r="I251" s="140" t="s">
        <v>1221</v>
      </c>
      <c r="J251" s="132"/>
      <c r="K251" s="11"/>
      <c r="L251" s="142">
        <v>46058</v>
      </c>
      <c r="M251" s="96" t="str" cm="1">
        <f t="array" ref="M251">_xlfn.XLOOKUP(B251&amp;"", 'Registro EMO'!$C$13:$C$4248&amp;"", 'Registro EMO'!$F$13:$F$4248, "Sin registro", 0, -1)</f>
        <v>Sin registro</v>
      </c>
      <c r="N251" s="11" t="str" cm="1">
        <f t="array" ref="N251">_xlfn.XLOOKUP(B251&amp;"", 'Registro EMO'!$C$13:$C$4248&amp;"", 'Registro EMO'!$E$13:$E$4248, "Sin registro", 0, -1)</f>
        <v>Sin registro</v>
      </c>
      <c r="O251" s="11" t="str">
        <f t="shared" si="17"/>
        <v>NO</v>
      </c>
      <c r="P251" s="130" t="str" cm="1">
        <f t="array" ref="P251">_xlfn.LET(
    _xlpm.resultado, _xlfn.XLOOKUP(B251&amp;"", 'Registro EMO'!$C$13:$C$4248&amp;"", 'Registro EMO'!$I$13:$I$4248, "NO", 0, -1),
    IF(_xlpm.resultado=0, "NO", _xlpm.resultado)
)</f>
        <v>NO</v>
      </c>
      <c r="Q251" s="11" t="str">
        <f t="shared" ca="1" si="18"/>
        <v>Pendiente</v>
      </c>
      <c r="R251" s="96"/>
      <c r="S251" s="11"/>
      <c r="T251" s="11" t="str">
        <f t="shared" si="20"/>
        <v/>
      </c>
      <c r="U251" s="11"/>
      <c r="V251" s="146"/>
      <c r="W251" s="29"/>
      <c r="X251" s="129"/>
      <c r="Y251" s="11"/>
      <c r="Z251" s="11"/>
      <c r="AA251" s="11"/>
      <c r="AB251" s="11"/>
      <c r="AC251" s="11"/>
      <c r="AD251" s="11"/>
      <c r="AE251" s="11"/>
      <c r="AF251" s="11"/>
      <c r="AG251" s="98"/>
      <c r="AH251" s="11"/>
    </row>
    <row r="252" spans="1:34" x14ac:dyDescent="0.3">
      <c r="A252" s="7" t="str">
        <f t="shared" si="15"/>
        <v>TR-1251</v>
      </c>
      <c r="B252" s="11" t="s">
        <v>1021</v>
      </c>
      <c r="C252" s="141" t="s">
        <v>820</v>
      </c>
      <c r="D252" s="98">
        <v>33331</v>
      </c>
      <c r="E252" s="111">
        <f t="shared" ca="1" si="16"/>
        <v>34</v>
      </c>
      <c r="F252" s="132" t="s">
        <v>743</v>
      </c>
      <c r="G252" s="11" t="s">
        <v>253</v>
      </c>
      <c r="H252" s="140" t="s">
        <v>1218</v>
      </c>
      <c r="I252" s="140" t="s">
        <v>1221</v>
      </c>
      <c r="J252" s="132"/>
      <c r="K252" s="11"/>
      <c r="L252" s="142">
        <v>43983</v>
      </c>
      <c r="M252" s="96" t="str" cm="1">
        <f t="array" ref="M252">_xlfn.XLOOKUP(B252&amp;"", 'Registro EMO'!$C$13:$C$4248&amp;"", 'Registro EMO'!$F$13:$F$4248, "Sin registro", 0, -1)</f>
        <v>19/06/2026</v>
      </c>
      <c r="N252" s="11" t="str" cm="1">
        <f t="array" ref="N252">_xlfn.XLOOKUP(B252&amp;"", 'Registro EMO'!$C$13:$C$4248&amp;"", 'Registro EMO'!$E$13:$E$4248, "Sin registro", 0, -1)</f>
        <v>Pre-Ocupacional</v>
      </c>
      <c r="O252" s="11" t="str">
        <f t="shared" si="17"/>
        <v>NO</v>
      </c>
      <c r="P252" s="130" t="str" cm="1">
        <f t="array" ref="P252">_xlfn.LET(
    _xlpm.resultado, _xlfn.XLOOKUP(B252&amp;"", 'Registro EMO'!$C$13:$C$4248&amp;"", 'Registro EMO'!$I$13:$I$4248, "NO", 0, -1),
    IF(_xlpm.resultado=0, "NO", _xlpm.resultado)
)</f>
        <v>NO</v>
      </c>
      <c r="Q252" s="11" t="str">
        <f t="shared" ca="1" si="18"/>
        <v>Vigente</v>
      </c>
      <c r="R252" s="96" t="s">
        <v>1312</v>
      </c>
      <c r="S252" s="11" t="s">
        <v>1232</v>
      </c>
      <c r="T252" s="11" t="str">
        <f t="shared" si="20"/>
        <v>NO</v>
      </c>
      <c r="U252" s="11"/>
      <c r="V252" s="146" t="s">
        <v>126</v>
      </c>
      <c r="W252" s="29"/>
      <c r="X252" s="129"/>
      <c r="Y252" s="11"/>
      <c r="Z252" s="11"/>
      <c r="AA252" s="11"/>
      <c r="AB252" s="11"/>
      <c r="AC252" s="11"/>
      <c r="AD252" s="11"/>
      <c r="AE252" s="11"/>
      <c r="AF252" s="11"/>
      <c r="AG252" s="98"/>
      <c r="AH252" s="11" t="s">
        <v>32</v>
      </c>
    </row>
    <row r="253" spans="1:34" x14ac:dyDescent="0.3">
      <c r="A253" s="7" t="str">
        <f t="shared" si="15"/>
        <v>TR-1252</v>
      </c>
      <c r="B253" s="11" t="s">
        <v>1022</v>
      </c>
      <c r="C253" s="141" t="s">
        <v>821</v>
      </c>
      <c r="D253" s="98">
        <v>29927</v>
      </c>
      <c r="E253" s="111">
        <f t="shared" ca="1" si="16"/>
        <v>44</v>
      </c>
      <c r="F253" s="132" t="s">
        <v>762</v>
      </c>
      <c r="G253" s="11" t="s">
        <v>253</v>
      </c>
      <c r="H253" s="140" t="s">
        <v>1218</v>
      </c>
      <c r="I253" s="140" t="s">
        <v>1221</v>
      </c>
      <c r="J253" s="132"/>
      <c r="K253" s="11"/>
      <c r="L253" s="142">
        <v>44013</v>
      </c>
      <c r="M253" s="96" t="str" cm="1">
        <f t="array" ref="M253">_xlfn.XLOOKUP(B253&amp;"", 'Registro EMO'!$C$13:$C$4248&amp;"", 'Registro EMO'!$F$13:$F$4248, "Sin registro", 0, -1)</f>
        <v>31/05/2026</v>
      </c>
      <c r="N253" s="11" t="str" cm="1">
        <f t="array" ref="N253">_xlfn.XLOOKUP(B253&amp;"", 'Registro EMO'!$C$13:$C$4248&amp;"", 'Registro EMO'!$E$13:$E$4248, "Sin registro", 0, -1)</f>
        <v>Pre-Ocupacional</v>
      </c>
      <c r="O253" s="11" t="str">
        <f t="shared" si="17"/>
        <v>NO</v>
      </c>
      <c r="P253" s="130" t="str" cm="1">
        <f t="array" ref="P253">_xlfn.LET(
    _xlpm.resultado, _xlfn.XLOOKUP(B253&amp;"", 'Registro EMO'!$C$13:$C$4248&amp;"", 'Registro EMO'!$I$13:$I$4248, "NO", 0, -1),
    IF(_xlpm.resultado=0, "NO", _xlpm.resultado)
)</f>
        <v>NO</v>
      </c>
      <c r="Q253" s="11" t="str">
        <f t="shared" ca="1" si="18"/>
        <v>Vigente</v>
      </c>
      <c r="R253" s="96" t="s">
        <v>1313</v>
      </c>
      <c r="S253" s="11" t="s">
        <v>1232</v>
      </c>
      <c r="T253" s="11" t="str">
        <f t="shared" si="20"/>
        <v>NO</v>
      </c>
      <c r="U253" s="11"/>
      <c r="V253" s="146" t="s">
        <v>126</v>
      </c>
      <c r="W253" s="29"/>
      <c r="X253" s="129"/>
      <c r="Y253" s="11"/>
      <c r="Z253" s="11"/>
      <c r="AA253" s="11"/>
      <c r="AB253" s="11"/>
      <c r="AC253" s="11"/>
      <c r="AD253" s="11"/>
      <c r="AE253" s="11"/>
      <c r="AF253" s="11"/>
      <c r="AG253" s="98"/>
      <c r="AH253" s="11" t="s">
        <v>32</v>
      </c>
    </row>
    <row r="254" spans="1:34" x14ac:dyDescent="0.3">
      <c r="A254" s="7" t="str">
        <f t="shared" si="15"/>
        <v>TR-1253</v>
      </c>
      <c r="B254" s="11" t="s">
        <v>1023</v>
      </c>
      <c r="C254" s="141" t="s">
        <v>822</v>
      </c>
      <c r="D254" s="98">
        <v>33873</v>
      </c>
      <c r="E254" s="111">
        <f t="shared" ca="1" si="16"/>
        <v>33</v>
      </c>
      <c r="F254" s="132" t="s">
        <v>762</v>
      </c>
      <c r="G254" s="11" t="s">
        <v>253</v>
      </c>
      <c r="H254" s="140" t="s">
        <v>752</v>
      </c>
      <c r="I254" s="140" t="s">
        <v>753</v>
      </c>
      <c r="J254" s="132"/>
      <c r="K254" s="11"/>
      <c r="L254" s="142">
        <v>45323</v>
      </c>
      <c r="M254" s="96" t="str" cm="1">
        <f t="array" ref="M254">_xlfn.XLOOKUP(B254&amp;"", 'Registro EMO'!$C$13:$C$4248&amp;"", 'Registro EMO'!$F$13:$F$4248, "Sin registro", 0, -1)</f>
        <v>Sin registro</v>
      </c>
      <c r="N254" s="11" t="str" cm="1">
        <f t="array" ref="N254">_xlfn.XLOOKUP(B254&amp;"", 'Registro EMO'!$C$13:$C$4248&amp;"", 'Registro EMO'!$E$13:$E$4248, "Sin registro", 0, -1)</f>
        <v>Sin registro</v>
      </c>
      <c r="O254" s="11" t="str">
        <f t="shared" si="17"/>
        <v>NO</v>
      </c>
      <c r="P254" s="130" t="str" cm="1">
        <f t="array" ref="P254">_xlfn.LET(
    _xlpm.resultado, _xlfn.XLOOKUP(B254&amp;"", 'Registro EMO'!$C$13:$C$4248&amp;"", 'Registro EMO'!$I$13:$I$4248, "NO", 0, -1),
    IF(_xlpm.resultado=0, "NO", _xlpm.resultado)
)</f>
        <v>NO</v>
      </c>
      <c r="Q254" s="11" t="str">
        <f t="shared" ca="1" si="18"/>
        <v>Pendiente</v>
      </c>
      <c r="R254" s="96"/>
      <c r="S254" s="11"/>
      <c r="T254" s="11" t="str">
        <f t="shared" si="20"/>
        <v/>
      </c>
      <c r="U254" s="11"/>
      <c r="V254" s="146"/>
      <c r="W254" s="29"/>
      <c r="X254" s="129"/>
      <c r="Y254" s="11"/>
      <c r="Z254" s="11"/>
      <c r="AA254" s="11"/>
      <c r="AB254" s="11"/>
      <c r="AC254" s="11"/>
      <c r="AD254" s="11"/>
      <c r="AE254" s="11"/>
      <c r="AF254" s="11"/>
      <c r="AG254" s="98"/>
      <c r="AH254" s="11"/>
    </row>
    <row r="255" spans="1:34" x14ac:dyDescent="0.3">
      <c r="A255" s="7" t="str">
        <f t="shared" si="15"/>
        <v>TR-1254</v>
      </c>
      <c r="B255" s="11" t="s">
        <v>1024</v>
      </c>
      <c r="C255" s="141" t="s">
        <v>823</v>
      </c>
      <c r="D255" s="98">
        <v>31981</v>
      </c>
      <c r="E255" s="111">
        <f t="shared" ca="1" si="16"/>
        <v>38</v>
      </c>
      <c r="F255" s="132" t="s">
        <v>743</v>
      </c>
      <c r="G255" s="11" t="s">
        <v>253</v>
      </c>
      <c r="H255" s="140" t="s">
        <v>752</v>
      </c>
      <c r="I255" s="140" t="s">
        <v>753</v>
      </c>
      <c r="J255" s="132"/>
      <c r="K255" s="11"/>
      <c r="L255" s="142">
        <v>43891</v>
      </c>
      <c r="M255" s="96" t="str" cm="1">
        <f t="array" ref="M255">_xlfn.XLOOKUP(B255&amp;"", 'Registro EMO'!$C$13:$C$4248&amp;"", 'Registro EMO'!$F$13:$F$4248, "Sin registro", 0, -1)</f>
        <v>Sin registro</v>
      </c>
      <c r="N255" s="11" t="str" cm="1">
        <f t="array" ref="N255">_xlfn.XLOOKUP(B255&amp;"", 'Registro EMO'!$C$13:$C$4248&amp;"", 'Registro EMO'!$E$13:$E$4248, "Sin registro", 0, -1)</f>
        <v>Sin registro</v>
      </c>
      <c r="O255" s="11" t="str">
        <f t="shared" si="17"/>
        <v>NO</v>
      </c>
      <c r="P255" s="130" t="str" cm="1">
        <f t="array" ref="P255">_xlfn.LET(
    _xlpm.resultado, _xlfn.XLOOKUP(B255&amp;"", 'Registro EMO'!$C$13:$C$4248&amp;"", 'Registro EMO'!$I$13:$I$4248, "NO", 0, -1),
    IF(_xlpm.resultado=0, "NO", _xlpm.resultado)
)</f>
        <v>NO</v>
      </c>
      <c r="Q255" s="11" t="str">
        <f t="shared" ca="1" si="18"/>
        <v>Pendiente</v>
      </c>
      <c r="R255" s="96"/>
      <c r="S255" s="11"/>
      <c r="T255" s="11" t="str">
        <f t="shared" si="20"/>
        <v/>
      </c>
      <c r="U255" s="11"/>
      <c r="V255" s="146"/>
      <c r="W255" s="29"/>
      <c r="X255" s="129"/>
      <c r="Y255" s="11"/>
      <c r="Z255" s="11"/>
      <c r="AA255" s="11"/>
      <c r="AB255" s="11"/>
      <c r="AC255" s="11"/>
      <c r="AD255" s="11"/>
      <c r="AE255" s="11"/>
      <c r="AF255" s="11"/>
      <c r="AG255" s="98"/>
      <c r="AH255" s="11"/>
    </row>
    <row r="256" spans="1:34" x14ac:dyDescent="0.3">
      <c r="A256" s="7" t="str">
        <f t="shared" si="15"/>
        <v>TR-1255</v>
      </c>
      <c r="B256" s="11" t="s">
        <v>1025</v>
      </c>
      <c r="C256" s="141" t="s">
        <v>824</v>
      </c>
      <c r="D256" s="98">
        <v>29862</v>
      </c>
      <c r="E256" s="111">
        <f t="shared" ca="1" si="16"/>
        <v>44</v>
      </c>
      <c r="F256" s="132" t="s">
        <v>762</v>
      </c>
      <c r="G256" s="11" t="s">
        <v>253</v>
      </c>
      <c r="H256" s="140" t="s">
        <v>1218</v>
      </c>
      <c r="I256" s="140" t="s">
        <v>1220</v>
      </c>
      <c r="J256" s="132"/>
      <c r="K256" s="11"/>
      <c r="L256" s="142">
        <v>44013</v>
      </c>
      <c r="M256" s="96" t="str" cm="1">
        <f t="array" ref="M256">_xlfn.XLOOKUP(B256&amp;"", 'Registro EMO'!$C$13:$C$4248&amp;"", 'Registro EMO'!$F$13:$F$4248, "Sin registro", 0, -1)</f>
        <v>25/05/2026</v>
      </c>
      <c r="N256" s="11" t="str" cm="1">
        <f t="array" ref="N256">_xlfn.XLOOKUP(B256&amp;"", 'Registro EMO'!$C$13:$C$4248&amp;"", 'Registro EMO'!$E$13:$E$4248, "Sin registro", 0, -1)</f>
        <v>Pre-Ocupacional</v>
      </c>
      <c r="O256" s="11" t="str">
        <f t="shared" si="17"/>
        <v>NO</v>
      </c>
      <c r="P256" s="130" t="str" cm="1">
        <f t="array" ref="P256">_xlfn.LET(
    _xlpm.resultado, _xlfn.XLOOKUP(B256&amp;"", 'Registro EMO'!$C$13:$C$4248&amp;"", 'Registro EMO'!$I$13:$I$4248, "NO", 0, -1),
    IF(_xlpm.resultado=0, "NO", _xlpm.resultado)
)</f>
        <v>NO</v>
      </c>
      <c r="Q256" s="11" t="str">
        <f t="shared" ca="1" si="18"/>
        <v>Vigente</v>
      </c>
      <c r="R256" s="96" t="s">
        <v>1314</v>
      </c>
      <c r="S256" s="11" t="s">
        <v>1232</v>
      </c>
      <c r="T256" s="11" t="str">
        <f t="shared" si="20"/>
        <v>NO</v>
      </c>
      <c r="U256" s="11"/>
      <c r="V256" s="146" t="s">
        <v>126</v>
      </c>
      <c r="W256" s="29"/>
      <c r="X256" s="129"/>
      <c r="Y256" s="11"/>
      <c r="Z256" s="11"/>
      <c r="AA256" s="11"/>
      <c r="AB256" s="11"/>
      <c r="AC256" s="11"/>
      <c r="AD256" s="11"/>
      <c r="AE256" s="11"/>
      <c r="AF256" s="11"/>
      <c r="AG256" s="98"/>
      <c r="AH256" s="11" t="s">
        <v>32</v>
      </c>
    </row>
    <row r="257" spans="1:34" x14ac:dyDescent="0.3">
      <c r="A257" s="7" t="str">
        <f t="shared" si="15"/>
        <v>TR-1256</v>
      </c>
      <c r="B257" s="11" t="s">
        <v>1026</v>
      </c>
      <c r="C257" s="141" t="s">
        <v>825</v>
      </c>
      <c r="D257" s="98">
        <v>35592</v>
      </c>
      <c r="E257" s="111">
        <f t="shared" ca="1" si="16"/>
        <v>28</v>
      </c>
      <c r="F257" s="132" t="s">
        <v>743</v>
      </c>
      <c r="G257" s="11" t="s">
        <v>253</v>
      </c>
      <c r="H257" s="140" t="s">
        <v>1218</v>
      </c>
      <c r="I257" s="140" t="s">
        <v>1221</v>
      </c>
      <c r="J257" s="132"/>
      <c r="K257" s="11"/>
      <c r="L257" s="142">
        <v>45822</v>
      </c>
      <c r="M257" s="96" t="str" cm="1">
        <f t="array" ref="M257">_xlfn.XLOOKUP(B257&amp;"", 'Registro EMO'!$C$13:$C$4248&amp;"", 'Registro EMO'!$F$13:$F$4248, "Sin registro", 0, -1)</f>
        <v>Sin registro</v>
      </c>
      <c r="N257" s="11" t="str" cm="1">
        <f t="array" ref="N257">_xlfn.XLOOKUP(B257&amp;"", 'Registro EMO'!$C$13:$C$4248&amp;"", 'Registro EMO'!$E$13:$E$4248, "Sin registro", 0, -1)</f>
        <v>Sin registro</v>
      </c>
      <c r="O257" s="11" t="str">
        <f t="shared" si="17"/>
        <v>NO</v>
      </c>
      <c r="P257" s="130" t="str" cm="1">
        <f t="array" ref="P257">_xlfn.LET(
    _xlpm.resultado, _xlfn.XLOOKUP(B257&amp;"", 'Registro EMO'!$C$13:$C$4248&amp;"", 'Registro EMO'!$I$13:$I$4248, "NO", 0, -1),
    IF(_xlpm.resultado=0, "NO", _xlpm.resultado)
)</f>
        <v>NO</v>
      </c>
      <c r="Q257" s="11" t="str">
        <f t="shared" ca="1" si="18"/>
        <v>Pendiente</v>
      </c>
      <c r="R257" s="96"/>
      <c r="S257" s="11"/>
      <c r="T257" s="11" t="str">
        <f t="shared" si="20"/>
        <v/>
      </c>
      <c r="U257" s="11"/>
      <c r="V257" s="146"/>
      <c r="W257" s="29"/>
      <c r="X257" s="129"/>
      <c r="Y257" s="11"/>
      <c r="Z257" s="11"/>
      <c r="AA257" s="11"/>
      <c r="AB257" s="11"/>
      <c r="AC257" s="11"/>
      <c r="AD257" s="11"/>
      <c r="AE257" s="11"/>
      <c r="AF257" s="11"/>
      <c r="AG257" s="98"/>
      <c r="AH257" s="11"/>
    </row>
    <row r="258" spans="1:34" x14ac:dyDescent="0.3">
      <c r="A258" s="7" t="str">
        <f t="shared" ref="A258:A321" si="21">IF(B258&lt;&gt;"", "TR-" &amp; TEXT(1000 + ROW(A258) - 1, "0000"), "")</f>
        <v>TR-1257</v>
      </c>
      <c r="B258" s="11" t="s">
        <v>1027</v>
      </c>
      <c r="C258" s="141" t="s">
        <v>826</v>
      </c>
      <c r="D258" s="98">
        <v>35789</v>
      </c>
      <c r="E258" s="111">
        <f t="shared" ref="E258:E321" ca="1" si="22">IF(D258&lt;&gt;"", DATEDIF(D258, TODAY(), "y"), "")</f>
        <v>28</v>
      </c>
      <c r="F258" s="132" t="s">
        <v>743</v>
      </c>
      <c r="G258" s="11" t="s">
        <v>253</v>
      </c>
      <c r="H258" s="140" t="s">
        <v>1218</v>
      </c>
      <c r="I258" s="140" t="s">
        <v>1221</v>
      </c>
      <c r="J258" s="132"/>
      <c r="K258" s="11"/>
      <c r="L258" s="142">
        <v>46054</v>
      </c>
      <c r="M258" s="96" t="str" cm="1">
        <f t="array" ref="M258">_xlfn.XLOOKUP(B258&amp;"", 'Registro EMO'!$C$13:$C$4248&amp;"", 'Registro EMO'!$F$13:$F$4248, "Sin registro", 0, -1)</f>
        <v>Sin registro</v>
      </c>
      <c r="N258" s="11" t="str" cm="1">
        <f t="array" ref="N258">_xlfn.XLOOKUP(B258&amp;"", 'Registro EMO'!$C$13:$C$4248&amp;"", 'Registro EMO'!$E$13:$E$4248, "Sin registro", 0, -1)</f>
        <v>Sin registro</v>
      </c>
      <c r="O258" s="11" t="str">
        <f t="shared" ref="O258:O321" si="23">IF(P258="NO", "NO", "SI")</f>
        <v>NO</v>
      </c>
      <c r="P258" s="130" t="str" cm="1">
        <f t="array" ref="P258">_xlfn.LET(
    _xlpm.resultado, _xlfn.XLOOKUP(B258&amp;"", 'Registro EMO'!$C$13:$C$4248&amp;"", 'Registro EMO'!$I$13:$I$4248, "NO", 0, -1),
    IF(_xlpm.resultado=0, "NO", _xlpm.resultado)
)</f>
        <v>NO</v>
      </c>
      <c r="Q258" s="11" t="str">
        <f t="shared" ref="Q258:Q321" ca="1" si="24">IF(M258="Sin registro", "Pendiente", IF(EDATE(M258, IF(K258="Oficina", 24, 12)) &gt;= TODAY(), "Vigente", "Vencido"))</f>
        <v>Pendiente</v>
      </c>
      <c r="R258" s="96"/>
      <c r="S258" s="11"/>
      <c r="T258" s="11" t="str">
        <f t="shared" ref="T258:T321" si="25">IF(R258="", "", IF(U258="", "NO", "SI"))</f>
        <v/>
      </c>
      <c r="U258" s="11"/>
      <c r="V258" s="146"/>
      <c r="W258" s="29"/>
      <c r="X258" s="129"/>
      <c r="Y258" s="11"/>
      <c r="Z258" s="11"/>
      <c r="AA258" s="11"/>
      <c r="AB258" s="11"/>
      <c r="AC258" s="11"/>
      <c r="AD258" s="11"/>
      <c r="AE258" s="11"/>
      <c r="AF258" s="11"/>
      <c r="AG258" s="98"/>
      <c r="AH258" s="11"/>
    </row>
    <row r="259" spans="1:34" x14ac:dyDescent="0.3">
      <c r="A259" s="7" t="str">
        <f t="shared" si="21"/>
        <v>TR-1258</v>
      </c>
      <c r="B259" s="11" t="s">
        <v>1028</v>
      </c>
      <c r="C259" s="141" t="s">
        <v>827</v>
      </c>
      <c r="D259" s="98">
        <v>38139</v>
      </c>
      <c r="E259" s="111">
        <f t="shared" ca="1" si="22"/>
        <v>21</v>
      </c>
      <c r="F259" s="132" t="s">
        <v>762</v>
      </c>
      <c r="G259" s="11" t="s">
        <v>253</v>
      </c>
      <c r="H259" s="140" t="s">
        <v>752</v>
      </c>
      <c r="I259" s="140" t="s">
        <v>753</v>
      </c>
      <c r="J259" s="132"/>
      <c r="K259" s="11"/>
      <c r="L259" s="142">
        <v>46037</v>
      </c>
      <c r="M259" s="96" t="str" cm="1">
        <f t="array" ref="M259">_xlfn.XLOOKUP(B259&amp;"", 'Registro EMO'!$C$13:$C$4248&amp;"", 'Registro EMO'!$F$13:$F$4248, "Sin registro", 0, -1)</f>
        <v>Sin registro</v>
      </c>
      <c r="N259" s="11" t="str" cm="1">
        <f t="array" ref="N259">_xlfn.XLOOKUP(B259&amp;"", 'Registro EMO'!$C$13:$C$4248&amp;"", 'Registro EMO'!$E$13:$E$4248, "Sin registro", 0, -1)</f>
        <v>Sin registro</v>
      </c>
      <c r="O259" s="11" t="str">
        <f t="shared" si="23"/>
        <v>NO</v>
      </c>
      <c r="P259" s="130" t="str" cm="1">
        <f t="array" ref="P259">_xlfn.LET(
    _xlpm.resultado, _xlfn.XLOOKUP(B259&amp;"", 'Registro EMO'!$C$13:$C$4248&amp;"", 'Registro EMO'!$I$13:$I$4248, "NO", 0, -1),
    IF(_xlpm.resultado=0, "NO", _xlpm.resultado)
)</f>
        <v>NO</v>
      </c>
      <c r="Q259" s="11" t="str">
        <f t="shared" ca="1" si="24"/>
        <v>Pendiente</v>
      </c>
      <c r="R259" s="96"/>
      <c r="S259" s="11"/>
      <c r="T259" s="11" t="str">
        <f t="shared" si="25"/>
        <v/>
      </c>
      <c r="U259" s="11"/>
      <c r="V259" s="146"/>
      <c r="W259" s="29"/>
      <c r="X259" s="129"/>
      <c r="Y259" s="11"/>
      <c r="Z259" s="11"/>
      <c r="AA259" s="11"/>
      <c r="AB259" s="11"/>
      <c r="AC259" s="11"/>
      <c r="AD259" s="11"/>
      <c r="AE259" s="11"/>
      <c r="AF259" s="11"/>
      <c r="AG259" s="98"/>
      <c r="AH259" s="11"/>
    </row>
    <row r="260" spans="1:34" x14ac:dyDescent="0.3">
      <c r="A260" s="7" t="str">
        <f t="shared" si="21"/>
        <v>TR-1259</v>
      </c>
      <c r="B260" s="11" t="s">
        <v>1029</v>
      </c>
      <c r="C260" s="141" t="s">
        <v>828</v>
      </c>
      <c r="D260" s="98">
        <v>34005</v>
      </c>
      <c r="E260" s="111">
        <f t="shared" ca="1" si="22"/>
        <v>33</v>
      </c>
      <c r="F260" s="132" t="s">
        <v>743</v>
      </c>
      <c r="G260" s="11" t="s">
        <v>253</v>
      </c>
      <c r="H260" s="140" t="s">
        <v>1218</v>
      </c>
      <c r="I260" s="140" t="s">
        <v>1221</v>
      </c>
      <c r="J260" s="132"/>
      <c r="K260" s="11"/>
      <c r="L260" s="142">
        <v>45931</v>
      </c>
      <c r="M260" s="96" t="str" cm="1">
        <f t="array" ref="M260">_xlfn.XLOOKUP(B260&amp;"", 'Registro EMO'!$C$13:$C$4248&amp;"", 'Registro EMO'!$F$13:$F$4248, "Sin registro", 0, -1)</f>
        <v>Sin registro</v>
      </c>
      <c r="N260" s="11" t="str" cm="1">
        <f t="array" ref="N260">_xlfn.XLOOKUP(B260&amp;"", 'Registro EMO'!$C$13:$C$4248&amp;"", 'Registro EMO'!$E$13:$E$4248, "Sin registro", 0, -1)</f>
        <v>Sin registro</v>
      </c>
      <c r="O260" s="11" t="str">
        <f t="shared" si="23"/>
        <v>NO</v>
      </c>
      <c r="P260" s="130" t="str" cm="1">
        <f t="array" ref="P260">_xlfn.LET(
    _xlpm.resultado, _xlfn.XLOOKUP(B260&amp;"", 'Registro EMO'!$C$13:$C$4248&amp;"", 'Registro EMO'!$I$13:$I$4248, "NO", 0, -1),
    IF(_xlpm.resultado=0, "NO", _xlpm.resultado)
)</f>
        <v>NO</v>
      </c>
      <c r="Q260" s="11" t="str">
        <f t="shared" ca="1" si="24"/>
        <v>Pendiente</v>
      </c>
      <c r="R260" s="96"/>
      <c r="S260" s="11"/>
      <c r="T260" s="11" t="str">
        <f t="shared" si="25"/>
        <v/>
      </c>
      <c r="U260" s="11"/>
      <c r="V260" s="146"/>
      <c r="W260" s="29"/>
      <c r="X260" s="129"/>
      <c r="Y260" s="11"/>
      <c r="Z260" s="11"/>
      <c r="AA260" s="11"/>
      <c r="AB260" s="11"/>
      <c r="AC260" s="11"/>
      <c r="AD260" s="11"/>
      <c r="AE260" s="11"/>
      <c r="AF260" s="11"/>
      <c r="AG260" s="98"/>
      <c r="AH260" s="11"/>
    </row>
    <row r="261" spans="1:34" x14ac:dyDescent="0.3">
      <c r="A261" s="7" t="str">
        <f t="shared" si="21"/>
        <v>TR-1260</v>
      </c>
      <c r="B261" s="11" t="s">
        <v>1030</v>
      </c>
      <c r="C261" s="141" t="s">
        <v>829</v>
      </c>
      <c r="D261" s="98">
        <v>27257</v>
      </c>
      <c r="E261" s="111">
        <f t="shared" ca="1" si="22"/>
        <v>51</v>
      </c>
      <c r="F261" s="132" t="s">
        <v>743</v>
      </c>
      <c r="G261" s="11" t="s">
        <v>253</v>
      </c>
      <c r="H261" s="140" t="s">
        <v>1218</v>
      </c>
      <c r="I261" s="140" t="s">
        <v>1219</v>
      </c>
      <c r="J261" s="132"/>
      <c r="K261" s="11"/>
      <c r="L261" s="142">
        <v>45825</v>
      </c>
      <c r="M261" s="96" t="str" cm="1">
        <f t="array" ref="M261">_xlfn.XLOOKUP(B261&amp;"", 'Registro EMO'!$C$13:$C$4248&amp;"", 'Registro EMO'!$F$13:$F$4248, "Sin registro", 0, -1)</f>
        <v>23/02/2026</v>
      </c>
      <c r="N261" s="11" t="str" cm="1">
        <f t="array" ref="N261">_xlfn.XLOOKUP(B261&amp;"", 'Registro EMO'!$C$13:$C$4248&amp;"", 'Registro EMO'!$E$13:$E$4248, "Sin registro", 0, -1)</f>
        <v>Pre-Ocupacional</v>
      </c>
      <c r="O261" s="11" t="str">
        <f t="shared" si="23"/>
        <v>NO</v>
      </c>
      <c r="P261" s="130" t="str" cm="1">
        <f t="array" ref="P261">_xlfn.LET(
    _xlpm.resultado, _xlfn.XLOOKUP(B261&amp;"", 'Registro EMO'!$C$13:$C$4248&amp;"", 'Registro EMO'!$I$13:$I$4248, "NO", 0, -1),
    IF(_xlpm.resultado=0, "NO", _xlpm.resultado)
)</f>
        <v>NO</v>
      </c>
      <c r="Q261" s="11" t="str">
        <f t="shared" ca="1" si="24"/>
        <v>Vigente</v>
      </c>
      <c r="R261" s="96" t="s">
        <v>1315</v>
      </c>
      <c r="S261" s="11" t="s">
        <v>1232</v>
      </c>
      <c r="T261" s="11" t="str">
        <f t="shared" si="25"/>
        <v>NO</v>
      </c>
      <c r="U261" s="11"/>
      <c r="V261" s="146" t="s">
        <v>126</v>
      </c>
      <c r="W261" s="29"/>
      <c r="X261" s="129"/>
      <c r="Y261" s="11"/>
      <c r="Z261" s="11"/>
      <c r="AA261" s="11"/>
      <c r="AB261" s="11"/>
      <c r="AC261" s="11"/>
      <c r="AD261" s="11"/>
      <c r="AE261" s="11"/>
      <c r="AF261" s="11"/>
      <c r="AG261" s="98"/>
      <c r="AH261" s="11" t="s">
        <v>32</v>
      </c>
    </row>
    <row r="262" spans="1:34" x14ac:dyDescent="0.3">
      <c r="A262" s="7" t="str">
        <f t="shared" si="21"/>
        <v>TR-1261</v>
      </c>
      <c r="B262" s="11" t="s">
        <v>1031</v>
      </c>
      <c r="C262" s="141" t="s">
        <v>830</v>
      </c>
      <c r="D262" s="98">
        <v>37123</v>
      </c>
      <c r="E262" s="111">
        <f t="shared" ca="1" si="22"/>
        <v>24</v>
      </c>
      <c r="F262" s="132" t="s">
        <v>762</v>
      </c>
      <c r="G262" s="11" t="s">
        <v>253</v>
      </c>
      <c r="H262" s="140" t="s">
        <v>1218</v>
      </c>
      <c r="I262" s="140" t="s">
        <v>1221</v>
      </c>
      <c r="J262" s="132"/>
      <c r="K262" s="11"/>
      <c r="L262" s="142">
        <v>45870</v>
      </c>
      <c r="M262" s="96" t="str" cm="1">
        <f t="array" ref="M262">_xlfn.XLOOKUP(B262&amp;"", 'Registro EMO'!$C$13:$C$4248&amp;"", 'Registro EMO'!$F$13:$F$4248, "Sin registro", 0, -1)</f>
        <v>Sin registro</v>
      </c>
      <c r="N262" s="11" t="str" cm="1">
        <f t="array" ref="N262">_xlfn.XLOOKUP(B262&amp;"", 'Registro EMO'!$C$13:$C$4248&amp;"", 'Registro EMO'!$E$13:$E$4248, "Sin registro", 0, -1)</f>
        <v>Sin registro</v>
      </c>
      <c r="O262" s="11" t="str">
        <f t="shared" si="23"/>
        <v>NO</v>
      </c>
      <c r="P262" s="130" t="str" cm="1">
        <f t="array" ref="P262">_xlfn.LET(
    _xlpm.resultado, _xlfn.XLOOKUP(B262&amp;"", 'Registro EMO'!$C$13:$C$4248&amp;"", 'Registro EMO'!$I$13:$I$4248, "NO", 0, -1),
    IF(_xlpm.resultado=0, "NO", _xlpm.resultado)
)</f>
        <v>NO</v>
      </c>
      <c r="Q262" s="11" t="str">
        <f t="shared" ca="1" si="24"/>
        <v>Pendiente</v>
      </c>
      <c r="R262" s="96"/>
      <c r="S262" s="11"/>
      <c r="T262" s="11" t="str">
        <f t="shared" si="25"/>
        <v/>
      </c>
      <c r="U262" s="11"/>
      <c r="V262" s="146"/>
      <c r="W262" s="29"/>
      <c r="X262" s="129"/>
      <c r="Y262" s="11"/>
      <c r="Z262" s="11"/>
      <c r="AA262" s="11"/>
      <c r="AB262" s="11"/>
      <c r="AC262" s="11"/>
      <c r="AD262" s="11"/>
      <c r="AE262" s="11"/>
      <c r="AF262" s="11"/>
      <c r="AG262" s="98"/>
      <c r="AH262" s="11"/>
    </row>
    <row r="263" spans="1:34" x14ac:dyDescent="0.3">
      <c r="A263" s="7" t="str">
        <f t="shared" si="21"/>
        <v>TR-1262</v>
      </c>
      <c r="B263" s="11" t="s">
        <v>1032</v>
      </c>
      <c r="C263" s="141" t="s">
        <v>831</v>
      </c>
      <c r="D263" s="98">
        <v>26246</v>
      </c>
      <c r="E263" s="111">
        <f t="shared" ca="1" si="22"/>
        <v>54</v>
      </c>
      <c r="F263" s="132" t="s">
        <v>743</v>
      </c>
      <c r="G263" s="11" t="s">
        <v>253</v>
      </c>
      <c r="H263" s="140" t="s">
        <v>1218</v>
      </c>
      <c r="I263" s="140" t="s">
        <v>1221</v>
      </c>
      <c r="J263" s="132"/>
      <c r="K263" s="11"/>
      <c r="L263" s="142">
        <v>44044</v>
      </c>
      <c r="M263" s="96" t="str" cm="1">
        <f t="array" ref="M263">_xlfn.XLOOKUP(B263&amp;"", 'Registro EMO'!$C$13:$C$4248&amp;"", 'Registro EMO'!$F$13:$F$4248, "Sin registro", 0, -1)</f>
        <v>27/04/2026</v>
      </c>
      <c r="N263" s="11" t="str" cm="1">
        <f t="array" ref="N263">_xlfn.XLOOKUP(B263&amp;"", 'Registro EMO'!$C$13:$C$4248&amp;"", 'Registro EMO'!$E$13:$E$4248, "Sin registro", 0, -1)</f>
        <v>Pre-Ocupacional</v>
      </c>
      <c r="O263" s="11" t="str">
        <f t="shared" si="23"/>
        <v>NO</v>
      </c>
      <c r="P263" s="130" t="str" cm="1">
        <f t="array" ref="P263">_xlfn.LET(
    _xlpm.resultado, _xlfn.XLOOKUP(B263&amp;"", 'Registro EMO'!$C$13:$C$4248&amp;"", 'Registro EMO'!$I$13:$I$4248, "NO", 0, -1),
    IF(_xlpm.resultado=0, "NO", _xlpm.resultado)
)</f>
        <v>NO</v>
      </c>
      <c r="Q263" s="11" t="str">
        <f t="shared" ca="1" si="24"/>
        <v>Vigente</v>
      </c>
      <c r="R263" s="96"/>
      <c r="S263" s="11"/>
      <c r="T263" s="11"/>
      <c r="U263" s="11"/>
      <c r="V263" s="11" t="s">
        <v>796</v>
      </c>
      <c r="W263" s="29"/>
      <c r="X263" s="129"/>
      <c r="Y263" s="11"/>
      <c r="Z263" s="11"/>
      <c r="AA263" s="11"/>
      <c r="AB263" s="11"/>
      <c r="AC263" s="11"/>
      <c r="AD263" s="11"/>
      <c r="AE263" s="11"/>
      <c r="AF263" s="11"/>
      <c r="AG263" s="98"/>
      <c r="AH263" s="11" t="s">
        <v>32</v>
      </c>
    </row>
    <row r="264" spans="1:34" x14ac:dyDescent="0.3">
      <c r="A264" s="7" t="str">
        <f t="shared" si="21"/>
        <v>TR-1263</v>
      </c>
      <c r="B264" s="11" t="s">
        <v>1033</v>
      </c>
      <c r="C264" s="141" t="s">
        <v>832</v>
      </c>
      <c r="D264" s="98">
        <v>38955</v>
      </c>
      <c r="E264" s="111">
        <f t="shared" ca="1" si="22"/>
        <v>19</v>
      </c>
      <c r="F264" s="132" t="s">
        <v>762</v>
      </c>
      <c r="G264" s="11" t="s">
        <v>253</v>
      </c>
      <c r="H264" s="140" t="s">
        <v>1218</v>
      </c>
      <c r="I264" s="140" t="s">
        <v>1221</v>
      </c>
      <c r="J264" s="132"/>
      <c r="K264" s="11"/>
      <c r="L264" s="142">
        <v>46054</v>
      </c>
      <c r="M264" s="96" t="str" cm="1">
        <f t="array" ref="M264">_xlfn.XLOOKUP(B264&amp;"", 'Registro EMO'!$C$13:$C$4248&amp;"", 'Registro EMO'!$F$13:$F$4248, "Sin registro", 0, -1)</f>
        <v>Sin registro</v>
      </c>
      <c r="N264" s="11" t="str" cm="1">
        <f t="array" ref="N264">_xlfn.XLOOKUP(B264&amp;"", 'Registro EMO'!$C$13:$C$4248&amp;"", 'Registro EMO'!$E$13:$E$4248, "Sin registro", 0, -1)</f>
        <v>Sin registro</v>
      </c>
      <c r="O264" s="11" t="str">
        <f t="shared" si="23"/>
        <v>NO</v>
      </c>
      <c r="P264" s="130" t="str" cm="1">
        <f t="array" ref="P264">_xlfn.LET(
    _xlpm.resultado, _xlfn.XLOOKUP(B264&amp;"", 'Registro EMO'!$C$13:$C$4248&amp;"", 'Registro EMO'!$I$13:$I$4248, "NO", 0, -1),
    IF(_xlpm.resultado=0, "NO", _xlpm.resultado)
)</f>
        <v>NO</v>
      </c>
      <c r="Q264" s="11" t="str">
        <f t="shared" ca="1" si="24"/>
        <v>Pendiente</v>
      </c>
      <c r="R264" s="96"/>
      <c r="S264" s="11"/>
      <c r="T264" s="11" t="str">
        <f t="shared" si="25"/>
        <v/>
      </c>
      <c r="U264" s="11"/>
      <c r="V264" s="146"/>
      <c r="W264" s="29"/>
      <c r="X264" s="129"/>
      <c r="Y264" s="11"/>
      <c r="Z264" s="11"/>
      <c r="AA264" s="11"/>
      <c r="AB264" s="11"/>
      <c r="AC264" s="11"/>
      <c r="AD264" s="11"/>
      <c r="AE264" s="11"/>
      <c r="AF264" s="11"/>
      <c r="AG264" s="98"/>
      <c r="AH264" s="11"/>
    </row>
    <row r="265" spans="1:34" x14ac:dyDescent="0.3">
      <c r="A265" s="7" t="str">
        <f t="shared" si="21"/>
        <v>TR-1264</v>
      </c>
      <c r="B265" s="11" t="s">
        <v>1034</v>
      </c>
      <c r="C265" s="141" t="s">
        <v>833</v>
      </c>
      <c r="D265" s="98">
        <v>29333</v>
      </c>
      <c r="E265" s="111">
        <f t="shared" ca="1" si="22"/>
        <v>45</v>
      </c>
      <c r="F265" s="132" t="s">
        <v>762</v>
      </c>
      <c r="G265" s="11" t="s">
        <v>253</v>
      </c>
      <c r="H265" s="140" t="s">
        <v>1218</v>
      </c>
      <c r="I265" s="140" t="s">
        <v>1221</v>
      </c>
      <c r="J265" s="132"/>
      <c r="K265" s="11"/>
      <c r="L265" s="142">
        <v>45922</v>
      </c>
      <c r="M265" s="96" t="str" cm="1">
        <f t="array" ref="M265">_xlfn.XLOOKUP(B265&amp;"", 'Registro EMO'!$C$13:$C$4248&amp;"", 'Registro EMO'!$F$13:$F$4248, "Sin registro", 0, -1)</f>
        <v>Sin registro</v>
      </c>
      <c r="N265" s="11" t="str" cm="1">
        <f t="array" ref="N265">_xlfn.XLOOKUP(B265&amp;"", 'Registro EMO'!$C$13:$C$4248&amp;"", 'Registro EMO'!$E$13:$E$4248, "Sin registro", 0, -1)</f>
        <v>Sin registro</v>
      </c>
      <c r="O265" s="11" t="str">
        <f t="shared" si="23"/>
        <v>NO</v>
      </c>
      <c r="P265" s="130" t="str" cm="1">
        <f t="array" ref="P265">_xlfn.LET(
    _xlpm.resultado, _xlfn.XLOOKUP(B265&amp;"", 'Registro EMO'!$C$13:$C$4248&amp;"", 'Registro EMO'!$I$13:$I$4248, "NO", 0, -1),
    IF(_xlpm.resultado=0, "NO", _xlpm.resultado)
)</f>
        <v>NO</v>
      </c>
      <c r="Q265" s="11" t="str">
        <f t="shared" ca="1" si="24"/>
        <v>Pendiente</v>
      </c>
      <c r="R265" s="96"/>
      <c r="S265" s="11"/>
      <c r="T265" s="11" t="str">
        <f t="shared" si="25"/>
        <v/>
      </c>
      <c r="U265" s="11"/>
      <c r="V265" s="146"/>
      <c r="W265" s="29"/>
      <c r="X265" s="129"/>
      <c r="Y265" s="11"/>
      <c r="Z265" s="11"/>
      <c r="AA265" s="11"/>
      <c r="AB265" s="11"/>
      <c r="AC265" s="11"/>
      <c r="AD265" s="11"/>
      <c r="AE265" s="11"/>
      <c r="AF265" s="11"/>
      <c r="AG265" s="98"/>
      <c r="AH265" s="11"/>
    </row>
    <row r="266" spans="1:34" x14ac:dyDescent="0.3">
      <c r="A266" s="7" t="str">
        <f t="shared" si="21"/>
        <v>TR-1265</v>
      </c>
      <c r="B266" s="11" t="s">
        <v>1035</v>
      </c>
      <c r="C266" s="141" t="s">
        <v>834</v>
      </c>
      <c r="D266" s="98">
        <v>37219</v>
      </c>
      <c r="E266" s="111">
        <f t="shared" ca="1" si="22"/>
        <v>24</v>
      </c>
      <c r="F266" s="132" t="s">
        <v>762</v>
      </c>
      <c r="G266" s="11" t="s">
        <v>253</v>
      </c>
      <c r="H266" s="140" t="s">
        <v>1218</v>
      </c>
      <c r="I266" s="140" t="s">
        <v>1221</v>
      </c>
      <c r="J266" s="132"/>
      <c r="K266" s="11"/>
      <c r="L266" s="142">
        <v>44911</v>
      </c>
      <c r="M266" s="96" t="str" cm="1">
        <f t="array" ref="M266">_xlfn.XLOOKUP(B266&amp;"", 'Registro EMO'!$C$13:$C$4248&amp;"", 'Registro EMO'!$F$13:$F$4248, "Sin registro", 0, -1)</f>
        <v>13/03/2026</v>
      </c>
      <c r="N266" s="11" t="str" cm="1">
        <f t="array" ref="N266">_xlfn.XLOOKUP(B266&amp;"", 'Registro EMO'!$C$13:$C$4248&amp;"", 'Registro EMO'!$E$13:$E$4248, "Sin registro", 0, -1)</f>
        <v>Pre-Ocupacional</v>
      </c>
      <c r="O266" s="11" t="str">
        <f t="shared" si="23"/>
        <v>NO</v>
      </c>
      <c r="P266" s="130" t="str" cm="1">
        <f t="array" ref="P266">_xlfn.LET(
    _xlpm.resultado, _xlfn.XLOOKUP(B266&amp;"", 'Registro EMO'!$C$13:$C$4248&amp;"", 'Registro EMO'!$I$13:$I$4248, "NO", 0, -1),
    IF(_xlpm.resultado=0, "NO", _xlpm.resultado)
)</f>
        <v>NO</v>
      </c>
      <c r="Q266" s="11" t="str">
        <f t="shared" ca="1" si="24"/>
        <v>Vigente</v>
      </c>
      <c r="R266" s="96" t="s">
        <v>1316</v>
      </c>
      <c r="S266" s="11" t="s">
        <v>1232</v>
      </c>
      <c r="T266" s="11" t="str">
        <f t="shared" si="25"/>
        <v>NO</v>
      </c>
      <c r="U266" s="11"/>
      <c r="V266" s="146" t="s">
        <v>126</v>
      </c>
      <c r="W266" s="29"/>
      <c r="X266" s="129"/>
      <c r="Y266" s="11"/>
      <c r="Z266" s="11"/>
      <c r="AA266" s="11"/>
      <c r="AB266" s="11"/>
      <c r="AC266" s="11"/>
      <c r="AD266" s="11"/>
      <c r="AE266" s="11"/>
      <c r="AF266" s="11"/>
      <c r="AG266" s="98"/>
      <c r="AH266" s="11" t="s">
        <v>32</v>
      </c>
    </row>
    <row r="267" spans="1:34" x14ac:dyDescent="0.3">
      <c r="A267" s="7" t="str">
        <f t="shared" si="21"/>
        <v>TR-1266</v>
      </c>
      <c r="B267" s="11" t="s">
        <v>1036</v>
      </c>
      <c r="C267" s="141" t="s">
        <v>835</v>
      </c>
      <c r="D267" s="98">
        <v>35451</v>
      </c>
      <c r="E267" s="111">
        <f t="shared" ca="1" si="22"/>
        <v>29</v>
      </c>
      <c r="F267" s="132" t="s">
        <v>762</v>
      </c>
      <c r="G267" s="11" t="s">
        <v>253</v>
      </c>
      <c r="H267" s="140" t="s">
        <v>752</v>
      </c>
      <c r="I267" s="140" t="s">
        <v>753</v>
      </c>
      <c r="J267" s="132"/>
      <c r="K267" s="11"/>
      <c r="L267" s="142">
        <v>45154</v>
      </c>
      <c r="M267" s="96" t="str" cm="1">
        <f t="array" ref="M267">_xlfn.XLOOKUP(B267&amp;"", 'Registro EMO'!$C$13:$C$4248&amp;"", 'Registro EMO'!$F$13:$F$4248, "Sin registro", 0, -1)</f>
        <v>Sin registro</v>
      </c>
      <c r="N267" s="11" t="str" cm="1">
        <f t="array" ref="N267">_xlfn.XLOOKUP(B267&amp;"", 'Registro EMO'!$C$13:$C$4248&amp;"", 'Registro EMO'!$E$13:$E$4248, "Sin registro", 0, -1)</f>
        <v>Sin registro</v>
      </c>
      <c r="O267" s="11" t="str">
        <f t="shared" si="23"/>
        <v>NO</v>
      </c>
      <c r="P267" s="130" t="str" cm="1">
        <f t="array" ref="P267">_xlfn.LET(
    _xlpm.resultado, _xlfn.XLOOKUP(B267&amp;"", 'Registro EMO'!$C$13:$C$4248&amp;"", 'Registro EMO'!$I$13:$I$4248, "NO", 0, -1),
    IF(_xlpm.resultado=0, "NO", _xlpm.resultado)
)</f>
        <v>NO</v>
      </c>
      <c r="Q267" s="11" t="str">
        <f t="shared" ca="1" si="24"/>
        <v>Pendiente</v>
      </c>
      <c r="R267" s="96"/>
      <c r="S267" s="11"/>
      <c r="T267" s="11" t="str">
        <f t="shared" si="25"/>
        <v/>
      </c>
      <c r="U267" s="11"/>
      <c r="V267" s="146"/>
      <c r="W267" s="29"/>
      <c r="X267" s="129"/>
      <c r="Y267" s="11"/>
      <c r="Z267" s="11"/>
      <c r="AA267" s="11"/>
      <c r="AB267" s="11"/>
      <c r="AC267" s="11"/>
      <c r="AD267" s="11"/>
      <c r="AE267" s="11"/>
      <c r="AF267" s="11"/>
      <c r="AG267" s="98"/>
      <c r="AH267" s="11"/>
    </row>
    <row r="268" spans="1:34" x14ac:dyDescent="0.3">
      <c r="A268" s="7" t="str">
        <f t="shared" si="21"/>
        <v>TR-1267</v>
      </c>
      <c r="B268" s="11" t="s">
        <v>1037</v>
      </c>
      <c r="C268" s="141" t="s">
        <v>836</v>
      </c>
      <c r="D268" s="98">
        <v>24528</v>
      </c>
      <c r="E268" s="111">
        <f t="shared" ca="1" si="22"/>
        <v>59</v>
      </c>
      <c r="F268" s="132" t="s">
        <v>743</v>
      </c>
      <c r="G268" s="11" t="s">
        <v>253</v>
      </c>
      <c r="H268" s="140" t="s">
        <v>1218</v>
      </c>
      <c r="I268" s="140" t="s">
        <v>1222</v>
      </c>
      <c r="J268" s="132"/>
      <c r="K268" s="11"/>
      <c r="L268" s="142">
        <v>45874</v>
      </c>
      <c r="M268" s="96" t="str" cm="1">
        <f t="array" ref="M268">_xlfn.XLOOKUP(B268&amp;"", 'Registro EMO'!$C$13:$C$4248&amp;"", 'Registro EMO'!$F$13:$F$4248, "Sin registro", 0, -1)</f>
        <v>Sin registro</v>
      </c>
      <c r="N268" s="11" t="str" cm="1">
        <f t="array" ref="N268">_xlfn.XLOOKUP(B268&amp;"", 'Registro EMO'!$C$13:$C$4248&amp;"", 'Registro EMO'!$E$13:$E$4248, "Sin registro", 0, -1)</f>
        <v>Sin registro</v>
      </c>
      <c r="O268" s="11" t="str">
        <f t="shared" si="23"/>
        <v>NO</v>
      </c>
      <c r="P268" s="130" t="str" cm="1">
        <f t="array" ref="P268">_xlfn.LET(
    _xlpm.resultado, _xlfn.XLOOKUP(B268&amp;"", 'Registro EMO'!$C$13:$C$4248&amp;"", 'Registro EMO'!$I$13:$I$4248, "NO", 0, -1),
    IF(_xlpm.resultado=0, "NO", _xlpm.resultado)
)</f>
        <v>NO</v>
      </c>
      <c r="Q268" s="11" t="str">
        <f t="shared" ca="1" si="24"/>
        <v>Pendiente</v>
      </c>
      <c r="R268" s="96">
        <v>46334</v>
      </c>
      <c r="S268" s="11" t="s">
        <v>1232</v>
      </c>
      <c r="T268" s="11" t="str">
        <f t="shared" si="25"/>
        <v>NO</v>
      </c>
      <c r="U268" s="11"/>
      <c r="V268" s="146" t="s">
        <v>126</v>
      </c>
      <c r="W268" s="29"/>
      <c r="X268" s="129"/>
      <c r="Y268" s="11"/>
      <c r="Z268" s="11"/>
      <c r="AA268" s="11"/>
      <c r="AB268" s="11"/>
      <c r="AC268" s="11"/>
      <c r="AD268" s="11"/>
      <c r="AE268" s="11"/>
      <c r="AF268" s="11"/>
      <c r="AG268" s="98"/>
      <c r="AH268" s="11" t="s">
        <v>32</v>
      </c>
    </row>
    <row r="269" spans="1:34" x14ac:dyDescent="0.3">
      <c r="A269" s="7" t="str">
        <f t="shared" si="21"/>
        <v>TR-1268</v>
      </c>
      <c r="B269" s="11" t="s">
        <v>1038</v>
      </c>
      <c r="C269" s="141" t="s">
        <v>837</v>
      </c>
      <c r="D269" s="98">
        <v>33264</v>
      </c>
      <c r="E269" s="111">
        <f t="shared" ca="1" si="22"/>
        <v>35</v>
      </c>
      <c r="F269" s="132" t="s">
        <v>743</v>
      </c>
      <c r="G269" s="11" t="s">
        <v>253</v>
      </c>
      <c r="H269" s="140" t="s">
        <v>1218</v>
      </c>
      <c r="I269" s="140" t="s">
        <v>1221</v>
      </c>
      <c r="J269" s="132"/>
      <c r="K269" s="11"/>
      <c r="L269" s="142">
        <v>45545</v>
      </c>
      <c r="M269" s="96" t="str" cm="1">
        <f t="array" ref="M269">_xlfn.XLOOKUP(B269&amp;"", 'Registro EMO'!$C$13:$C$4248&amp;"", 'Registro EMO'!$F$13:$F$4248, "Sin registro", 0, -1)</f>
        <v>14/10/2026</v>
      </c>
      <c r="N269" s="11" t="str" cm="1">
        <f t="array" ref="N269">_xlfn.XLOOKUP(B269&amp;"", 'Registro EMO'!$C$13:$C$4248&amp;"", 'Registro EMO'!$E$13:$E$4248, "Sin registro", 0, -1)</f>
        <v>Pre-Ocupacional</v>
      </c>
      <c r="O269" s="11" t="str">
        <f t="shared" si="23"/>
        <v>NO</v>
      </c>
      <c r="P269" s="130" t="str" cm="1">
        <f t="array" ref="P269">_xlfn.LET(
    _xlpm.resultado, _xlfn.XLOOKUP(B269&amp;"", 'Registro EMO'!$C$13:$C$4248&amp;"", 'Registro EMO'!$I$13:$I$4248, "NO", 0, -1),
    IF(_xlpm.resultado=0, "NO", _xlpm.resultado)
)</f>
        <v>NO</v>
      </c>
      <c r="Q269" s="11" t="str">
        <f t="shared" ca="1" si="24"/>
        <v>Vigente</v>
      </c>
      <c r="R269" s="96" t="s">
        <v>1317</v>
      </c>
      <c r="S269" s="11" t="s">
        <v>1232</v>
      </c>
      <c r="T269" s="11" t="str">
        <f t="shared" si="25"/>
        <v>NO</v>
      </c>
      <c r="U269" s="11"/>
      <c r="V269" s="146" t="s">
        <v>126</v>
      </c>
      <c r="W269" s="29"/>
      <c r="X269" s="129"/>
      <c r="Y269" s="11"/>
      <c r="Z269" s="11"/>
      <c r="AA269" s="11"/>
      <c r="AB269" s="11"/>
      <c r="AC269" s="11"/>
      <c r="AD269" s="11"/>
      <c r="AE269" s="11"/>
      <c r="AF269" s="11"/>
      <c r="AG269" s="98"/>
      <c r="AH269" s="11" t="s">
        <v>32</v>
      </c>
    </row>
    <row r="270" spans="1:34" x14ac:dyDescent="0.3">
      <c r="A270" s="7" t="str">
        <f t="shared" si="21"/>
        <v>TR-1269</v>
      </c>
      <c r="B270" s="11" t="s">
        <v>1039</v>
      </c>
      <c r="C270" s="141" t="s">
        <v>838</v>
      </c>
      <c r="D270" s="98">
        <v>37066</v>
      </c>
      <c r="E270" s="111">
        <f t="shared" ca="1" si="22"/>
        <v>24</v>
      </c>
      <c r="F270" s="132" t="s">
        <v>743</v>
      </c>
      <c r="G270" s="11" t="s">
        <v>253</v>
      </c>
      <c r="H270" s="140" t="s">
        <v>1218</v>
      </c>
      <c r="I270" s="140" t="s">
        <v>1220</v>
      </c>
      <c r="J270" s="132"/>
      <c r="K270" s="11"/>
      <c r="L270" s="142">
        <v>45385</v>
      </c>
      <c r="M270" s="96" t="str" cm="1">
        <f t="array" ref="M270">_xlfn.XLOOKUP(B270&amp;"", 'Registro EMO'!$C$13:$C$4248&amp;"", 'Registro EMO'!$F$13:$F$4248, "Sin registro", 0, -1)</f>
        <v>26/04/2026</v>
      </c>
      <c r="N270" s="11" t="str" cm="1">
        <f t="array" ref="N270">_xlfn.XLOOKUP(B270&amp;"", 'Registro EMO'!$C$13:$C$4248&amp;"", 'Registro EMO'!$E$13:$E$4248, "Sin registro", 0, -1)</f>
        <v>Pre-Ocupacional</v>
      </c>
      <c r="O270" s="11" t="str">
        <f t="shared" si="23"/>
        <v>NO</v>
      </c>
      <c r="P270" s="130" t="str" cm="1">
        <f t="array" ref="P270">_xlfn.LET(
    _xlpm.resultado, _xlfn.XLOOKUP(B270&amp;"", 'Registro EMO'!$C$13:$C$4248&amp;"", 'Registro EMO'!$I$13:$I$4248, "NO", 0, -1),
    IF(_xlpm.resultado=0, "NO", _xlpm.resultado)
)</f>
        <v>NO</v>
      </c>
      <c r="Q270" s="11" t="str">
        <f t="shared" ca="1" si="24"/>
        <v>Vigente</v>
      </c>
      <c r="R270" s="96"/>
      <c r="S270" s="11"/>
      <c r="T270" s="11"/>
      <c r="U270" s="11"/>
      <c r="V270" s="11" t="s">
        <v>796</v>
      </c>
      <c r="W270" s="29"/>
      <c r="X270" s="129"/>
      <c r="Y270" s="11"/>
      <c r="Z270" s="11"/>
      <c r="AA270" s="11"/>
      <c r="AB270" s="11"/>
      <c r="AC270" s="11"/>
      <c r="AD270" s="11"/>
      <c r="AE270" s="11"/>
      <c r="AF270" s="11"/>
      <c r="AG270" s="98"/>
      <c r="AH270" s="11" t="s">
        <v>32</v>
      </c>
    </row>
    <row r="271" spans="1:34" x14ac:dyDescent="0.3">
      <c r="A271" s="7" t="str">
        <f t="shared" si="21"/>
        <v>TR-1270</v>
      </c>
      <c r="B271" s="11" t="s">
        <v>1040</v>
      </c>
      <c r="C271" s="141" t="s">
        <v>839</v>
      </c>
      <c r="D271" s="98">
        <v>32988</v>
      </c>
      <c r="E271" s="111">
        <f t="shared" ca="1" si="22"/>
        <v>35</v>
      </c>
      <c r="F271" s="132" t="s">
        <v>743</v>
      </c>
      <c r="G271" s="11" t="s">
        <v>253</v>
      </c>
      <c r="H271" s="140" t="s">
        <v>1218</v>
      </c>
      <c r="I271" s="140" t="s">
        <v>1221</v>
      </c>
      <c r="J271" s="132"/>
      <c r="K271" s="11"/>
      <c r="L271" s="142">
        <v>45182</v>
      </c>
      <c r="M271" s="96" t="str" cm="1">
        <f t="array" ref="M271">_xlfn.XLOOKUP(B271&amp;"", 'Registro EMO'!$C$13:$C$4248&amp;"", 'Registro EMO'!$F$13:$F$4248, "Sin registro", 0, -1)</f>
        <v>30/10/2026</v>
      </c>
      <c r="N271" s="11" t="str" cm="1">
        <f t="array" ref="N271">_xlfn.XLOOKUP(B271&amp;"", 'Registro EMO'!$C$13:$C$4248&amp;"", 'Registro EMO'!$E$13:$E$4248, "Sin registro", 0, -1)</f>
        <v>Pre-Ocupacional</v>
      </c>
      <c r="O271" s="11" t="str">
        <f t="shared" si="23"/>
        <v>NO</v>
      </c>
      <c r="P271" s="130" t="str" cm="1">
        <f t="array" ref="P271">_xlfn.LET(
    _xlpm.resultado, _xlfn.XLOOKUP(B271&amp;"", 'Registro EMO'!$C$13:$C$4248&amp;"", 'Registro EMO'!$I$13:$I$4248, "NO", 0, -1),
    IF(_xlpm.resultado=0, "NO", _xlpm.resultado)
)</f>
        <v>NO</v>
      </c>
      <c r="Q271" s="11" t="str">
        <f t="shared" ca="1" si="24"/>
        <v>Vigente</v>
      </c>
      <c r="R271" s="96" t="s">
        <v>1318</v>
      </c>
      <c r="S271" s="11" t="s">
        <v>1232</v>
      </c>
      <c r="T271" s="11" t="str">
        <f t="shared" si="25"/>
        <v>NO</v>
      </c>
      <c r="U271" s="11"/>
      <c r="V271" s="146" t="s">
        <v>126</v>
      </c>
      <c r="W271" s="29"/>
      <c r="X271" s="129"/>
      <c r="Y271" s="11"/>
      <c r="Z271" s="11"/>
      <c r="AA271" s="11"/>
      <c r="AB271" s="11"/>
      <c r="AC271" s="11"/>
      <c r="AD271" s="11"/>
      <c r="AE271" s="11"/>
      <c r="AF271" s="11"/>
      <c r="AG271" s="98"/>
      <c r="AH271" s="11" t="s">
        <v>32</v>
      </c>
    </row>
    <row r="272" spans="1:34" x14ac:dyDescent="0.3">
      <c r="A272" s="7" t="str">
        <f t="shared" si="21"/>
        <v>TR-1271</v>
      </c>
      <c r="B272" s="11" t="s">
        <v>1041</v>
      </c>
      <c r="C272" s="141" t="s">
        <v>840</v>
      </c>
      <c r="D272" s="98">
        <v>34121</v>
      </c>
      <c r="E272" s="111">
        <f t="shared" ca="1" si="22"/>
        <v>32</v>
      </c>
      <c r="F272" s="132" t="s">
        <v>743</v>
      </c>
      <c r="G272" s="11" t="s">
        <v>253</v>
      </c>
      <c r="H272" s="140" t="s">
        <v>1218</v>
      </c>
      <c r="I272" s="140" t="s">
        <v>1221</v>
      </c>
      <c r="J272" s="132"/>
      <c r="K272" s="11"/>
      <c r="L272" s="142">
        <v>46054</v>
      </c>
      <c r="M272" s="96" t="str" cm="1">
        <f t="array" ref="M272">_xlfn.XLOOKUP(B272&amp;"", 'Registro EMO'!$C$13:$C$4248&amp;"", 'Registro EMO'!$F$13:$F$4248, "Sin registro", 0, -1)</f>
        <v>Sin registro</v>
      </c>
      <c r="N272" s="11" t="str" cm="1">
        <f t="array" ref="N272">_xlfn.XLOOKUP(B272&amp;"", 'Registro EMO'!$C$13:$C$4248&amp;"", 'Registro EMO'!$E$13:$E$4248, "Sin registro", 0, -1)</f>
        <v>Sin registro</v>
      </c>
      <c r="O272" s="11" t="str">
        <f t="shared" si="23"/>
        <v>NO</v>
      </c>
      <c r="P272" s="130" t="str" cm="1">
        <f t="array" ref="P272">_xlfn.LET(
    _xlpm.resultado, _xlfn.XLOOKUP(B272&amp;"", 'Registro EMO'!$C$13:$C$4248&amp;"", 'Registro EMO'!$I$13:$I$4248, "NO", 0, -1),
    IF(_xlpm.resultado=0, "NO", _xlpm.resultado)
)</f>
        <v>NO</v>
      </c>
      <c r="Q272" s="11" t="str">
        <f t="shared" ca="1" si="24"/>
        <v>Pendiente</v>
      </c>
      <c r="R272" s="96"/>
      <c r="S272" s="11"/>
      <c r="T272" s="11" t="str">
        <f t="shared" si="25"/>
        <v/>
      </c>
      <c r="U272" s="11"/>
      <c r="V272" s="146"/>
      <c r="W272" s="29"/>
      <c r="X272" s="129"/>
      <c r="Y272" s="11"/>
      <c r="Z272" s="11"/>
      <c r="AA272" s="11"/>
      <c r="AB272" s="11"/>
      <c r="AC272" s="11"/>
      <c r="AD272" s="11"/>
      <c r="AE272" s="11"/>
      <c r="AF272" s="11"/>
      <c r="AG272" s="98"/>
      <c r="AH272" s="11"/>
    </row>
    <row r="273" spans="1:34" x14ac:dyDescent="0.3">
      <c r="A273" s="7" t="str">
        <f t="shared" si="21"/>
        <v>TR-1272</v>
      </c>
      <c r="B273" s="11" t="s">
        <v>1042</v>
      </c>
      <c r="C273" s="141" t="s">
        <v>841</v>
      </c>
      <c r="D273" s="98">
        <v>36478</v>
      </c>
      <c r="E273" s="111">
        <f t="shared" ca="1" si="22"/>
        <v>26</v>
      </c>
      <c r="F273" s="132" t="s">
        <v>743</v>
      </c>
      <c r="G273" s="11" t="s">
        <v>253</v>
      </c>
      <c r="H273" s="140" t="s">
        <v>1218</v>
      </c>
      <c r="I273" s="140" t="s">
        <v>1221</v>
      </c>
      <c r="J273" s="132"/>
      <c r="K273" s="11"/>
      <c r="L273" s="142">
        <v>45323</v>
      </c>
      <c r="M273" s="96" cm="1">
        <f t="array" ref="M273">_xlfn.XLOOKUP(B273&amp;"", 'Registro EMO'!$C$13:$C$4248&amp;"", 'Registro EMO'!$F$13:$F$4248, "Sin registro", 0, -1)</f>
        <v>46269</v>
      </c>
      <c r="N273" s="11" t="str" cm="1">
        <f t="array" ref="N273">_xlfn.XLOOKUP(B273&amp;"", 'Registro EMO'!$C$13:$C$4248&amp;"", 'Registro EMO'!$E$13:$E$4248, "Sin registro", 0, -1)</f>
        <v>Pre-Ocupacional</v>
      </c>
      <c r="O273" s="11" t="str">
        <f t="shared" si="23"/>
        <v>NO</v>
      </c>
      <c r="P273" s="130" t="str" cm="1">
        <f t="array" ref="P273">_xlfn.LET(
    _xlpm.resultado, _xlfn.XLOOKUP(B273&amp;"", 'Registro EMO'!$C$13:$C$4248&amp;"", 'Registro EMO'!$I$13:$I$4248, "NO", 0, -1),
    IF(_xlpm.resultado=0, "NO", _xlpm.resultado)
)</f>
        <v>NO</v>
      </c>
      <c r="Q273" s="11" t="str">
        <f t="shared" ca="1" si="24"/>
        <v>Vigente</v>
      </c>
      <c r="R273" s="96"/>
      <c r="S273" s="11"/>
      <c r="T273" s="11"/>
      <c r="U273" s="11"/>
      <c r="V273" s="11" t="s">
        <v>796</v>
      </c>
      <c r="W273" s="29"/>
      <c r="X273" s="129"/>
      <c r="Y273" s="11"/>
      <c r="Z273" s="11"/>
      <c r="AA273" s="11"/>
      <c r="AB273" s="11"/>
      <c r="AC273" s="11"/>
      <c r="AD273" s="11"/>
      <c r="AE273" s="11"/>
      <c r="AF273" s="11"/>
      <c r="AG273" s="98"/>
      <c r="AH273" s="11" t="s">
        <v>32</v>
      </c>
    </row>
    <row r="274" spans="1:34" x14ac:dyDescent="0.3">
      <c r="A274" s="7" t="str">
        <f t="shared" si="21"/>
        <v>TR-1273</v>
      </c>
      <c r="B274" s="11" t="s">
        <v>1043</v>
      </c>
      <c r="C274" s="141" t="s">
        <v>842</v>
      </c>
      <c r="D274" s="98">
        <v>36875</v>
      </c>
      <c r="E274" s="111">
        <f t="shared" ca="1" si="22"/>
        <v>25</v>
      </c>
      <c r="F274" s="132" t="s">
        <v>762</v>
      </c>
      <c r="G274" s="11" t="s">
        <v>253</v>
      </c>
      <c r="H274" s="140" t="s">
        <v>1218</v>
      </c>
      <c r="I274" s="140" t="s">
        <v>1221</v>
      </c>
      <c r="J274" s="132"/>
      <c r="K274" s="11"/>
      <c r="L274" s="142">
        <v>46062</v>
      </c>
      <c r="M274" s="96" t="str" cm="1">
        <f t="array" ref="M274">_xlfn.XLOOKUP(B274&amp;"", 'Registro EMO'!$C$13:$C$4248&amp;"", 'Registro EMO'!$F$13:$F$4248, "Sin registro", 0, -1)</f>
        <v>Sin registro</v>
      </c>
      <c r="N274" s="11" t="str" cm="1">
        <f t="array" ref="N274">_xlfn.XLOOKUP(B274&amp;"", 'Registro EMO'!$C$13:$C$4248&amp;"", 'Registro EMO'!$E$13:$E$4248, "Sin registro", 0, -1)</f>
        <v>Sin registro</v>
      </c>
      <c r="O274" s="11" t="str">
        <f t="shared" si="23"/>
        <v>NO</v>
      </c>
      <c r="P274" s="130" t="str" cm="1">
        <f t="array" ref="P274">_xlfn.LET(
    _xlpm.resultado, _xlfn.XLOOKUP(B274&amp;"", 'Registro EMO'!$C$13:$C$4248&amp;"", 'Registro EMO'!$I$13:$I$4248, "NO", 0, -1),
    IF(_xlpm.resultado=0, "NO", _xlpm.resultado)
)</f>
        <v>NO</v>
      </c>
      <c r="Q274" s="11" t="str">
        <f t="shared" ca="1" si="24"/>
        <v>Pendiente</v>
      </c>
      <c r="R274" s="96"/>
      <c r="S274" s="11"/>
      <c r="T274" s="11" t="str">
        <f t="shared" si="25"/>
        <v/>
      </c>
      <c r="U274" s="11"/>
      <c r="V274" s="146"/>
      <c r="W274" s="29"/>
      <c r="X274" s="129"/>
      <c r="Y274" s="11"/>
      <c r="Z274" s="11"/>
      <c r="AA274" s="11"/>
      <c r="AB274" s="11"/>
      <c r="AC274" s="11"/>
      <c r="AD274" s="11"/>
      <c r="AE274" s="11"/>
      <c r="AF274" s="11"/>
      <c r="AG274" s="98"/>
      <c r="AH274" s="11"/>
    </row>
    <row r="275" spans="1:34" x14ac:dyDescent="0.3">
      <c r="A275" s="7" t="str">
        <f t="shared" si="21"/>
        <v>TR-1274</v>
      </c>
      <c r="B275" s="11" t="s">
        <v>1044</v>
      </c>
      <c r="C275" s="141" t="s">
        <v>843</v>
      </c>
      <c r="D275" s="98">
        <v>32105</v>
      </c>
      <c r="E275" s="111">
        <f t="shared" ca="1" si="22"/>
        <v>38</v>
      </c>
      <c r="F275" s="132" t="s">
        <v>743</v>
      </c>
      <c r="G275" s="11" t="s">
        <v>253</v>
      </c>
      <c r="H275" s="140" t="s">
        <v>1218</v>
      </c>
      <c r="I275" s="140" t="s">
        <v>1219</v>
      </c>
      <c r="J275" s="132"/>
      <c r="K275" s="11"/>
      <c r="L275" s="142">
        <v>45261</v>
      </c>
      <c r="M275" s="96" t="str" cm="1">
        <f t="array" ref="M275">_xlfn.XLOOKUP(B275&amp;"", 'Registro EMO'!$C$13:$C$4248&amp;"", 'Registro EMO'!$F$13:$F$4248, "Sin registro", 0, -1)</f>
        <v>20/11/2026</v>
      </c>
      <c r="N275" s="11" t="str" cm="1">
        <f t="array" ref="N275">_xlfn.XLOOKUP(B275&amp;"", 'Registro EMO'!$C$13:$C$4248&amp;"", 'Registro EMO'!$E$13:$E$4248, "Sin registro", 0, -1)</f>
        <v>Pre-Ocupacional</v>
      </c>
      <c r="O275" s="11" t="str">
        <f t="shared" si="23"/>
        <v>NO</v>
      </c>
      <c r="P275" s="130" t="str" cm="1">
        <f t="array" ref="P275">_xlfn.LET(
    _xlpm.resultado, _xlfn.XLOOKUP(B275&amp;"", 'Registro EMO'!$C$13:$C$4248&amp;"", 'Registro EMO'!$I$13:$I$4248, "NO", 0, -1),
    IF(_xlpm.resultado=0, "NO", _xlpm.resultado)
)</f>
        <v>NO</v>
      </c>
      <c r="Q275" s="11" t="str">
        <f t="shared" ca="1" si="24"/>
        <v>Vigente</v>
      </c>
      <c r="R275" s="96"/>
      <c r="S275" s="11"/>
      <c r="T275" s="11"/>
      <c r="U275" s="11"/>
      <c r="V275" s="11" t="s">
        <v>796</v>
      </c>
      <c r="W275" s="29"/>
      <c r="X275" s="129"/>
      <c r="Y275" s="11"/>
      <c r="Z275" s="11"/>
      <c r="AA275" s="11"/>
      <c r="AB275" s="11"/>
      <c r="AC275" s="11"/>
      <c r="AD275" s="11"/>
      <c r="AE275" s="11"/>
      <c r="AF275" s="11"/>
      <c r="AG275" s="98"/>
      <c r="AH275" s="11" t="s">
        <v>32</v>
      </c>
    </row>
    <row r="276" spans="1:34" x14ac:dyDescent="0.3">
      <c r="A276" s="7" t="str">
        <f t="shared" si="21"/>
        <v>TR-1275</v>
      </c>
      <c r="B276" s="11" t="s">
        <v>1045</v>
      </c>
      <c r="C276" s="141" t="s">
        <v>844</v>
      </c>
      <c r="D276" s="98">
        <v>32944</v>
      </c>
      <c r="E276" s="111">
        <f t="shared" ca="1" si="22"/>
        <v>36</v>
      </c>
      <c r="F276" s="132" t="s">
        <v>743</v>
      </c>
      <c r="G276" s="11" t="s">
        <v>253</v>
      </c>
      <c r="H276" s="140" t="s">
        <v>1218</v>
      </c>
      <c r="I276" s="140" t="s">
        <v>1221</v>
      </c>
      <c r="J276" s="132"/>
      <c r="K276" s="11"/>
      <c r="L276" s="142">
        <v>45839</v>
      </c>
      <c r="M276" s="96" t="str" cm="1">
        <f t="array" ref="M276">_xlfn.XLOOKUP(B276&amp;"", 'Registro EMO'!$C$13:$C$4248&amp;"", 'Registro EMO'!$F$13:$F$4248, "Sin registro", 0, -1)</f>
        <v>Sin registro</v>
      </c>
      <c r="N276" s="11" t="str" cm="1">
        <f t="array" ref="N276">_xlfn.XLOOKUP(B276&amp;"", 'Registro EMO'!$C$13:$C$4248&amp;"", 'Registro EMO'!$E$13:$E$4248, "Sin registro", 0, -1)</f>
        <v>Sin registro</v>
      </c>
      <c r="O276" s="11" t="str">
        <f t="shared" si="23"/>
        <v>NO</v>
      </c>
      <c r="P276" s="130" t="str" cm="1">
        <f t="array" ref="P276">_xlfn.LET(
    _xlpm.resultado, _xlfn.XLOOKUP(B276&amp;"", 'Registro EMO'!$C$13:$C$4248&amp;"", 'Registro EMO'!$I$13:$I$4248, "NO", 0, -1),
    IF(_xlpm.resultado=0, "NO", _xlpm.resultado)
)</f>
        <v>NO</v>
      </c>
      <c r="Q276" s="11" t="str">
        <f t="shared" ca="1" si="24"/>
        <v>Pendiente</v>
      </c>
      <c r="R276" s="96"/>
      <c r="S276" s="11"/>
      <c r="T276" s="11" t="str">
        <f t="shared" si="25"/>
        <v/>
      </c>
      <c r="U276" s="11"/>
      <c r="V276" s="146"/>
      <c r="W276" s="29"/>
      <c r="X276" s="129"/>
      <c r="Y276" s="11"/>
      <c r="Z276" s="11"/>
      <c r="AA276" s="11"/>
      <c r="AB276" s="11"/>
      <c r="AC276" s="11"/>
      <c r="AD276" s="11"/>
      <c r="AE276" s="11"/>
      <c r="AF276" s="11"/>
      <c r="AG276" s="98"/>
      <c r="AH276" s="11"/>
    </row>
    <row r="277" spans="1:34" x14ac:dyDescent="0.3">
      <c r="A277" s="7" t="str">
        <f t="shared" si="21"/>
        <v>TR-1276</v>
      </c>
      <c r="B277" s="11" t="s">
        <v>1046</v>
      </c>
      <c r="C277" s="141" t="s">
        <v>845</v>
      </c>
      <c r="D277" s="98">
        <v>35991</v>
      </c>
      <c r="E277" s="111">
        <f t="shared" ca="1" si="22"/>
        <v>27</v>
      </c>
      <c r="F277" s="132" t="s">
        <v>743</v>
      </c>
      <c r="G277" s="11" t="s">
        <v>253</v>
      </c>
      <c r="H277" s="140" t="s">
        <v>1218</v>
      </c>
      <c r="I277" s="140" t="s">
        <v>1220</v>
      </c>
      <c r="J277" s="132"/>
      <c r="K277" s="11"/>
      <c r="L277" s="142">
        <v>44652</v>
      </c>
      <c r="M277" s="96" t="str" cm="1">
        <f t="array" ref="M277">_xlfn.XLOOKUP(B277&amp;"", 'Registro EMO'!$C$13:$C$4248&amp;"", 'Registro EMO'!$F$13:$F$4248, "Sin registro", 0, -1)</f>
        <v>13/09/2026</v>
      </c>
      <c r="N277" s="11" t="str" cm="1">
        <f t="array" ref="N277">_xlfn.XLOOKUP(B277&amp;"", 'Registro EMO'!$C$13:$C$4248&amp;"", 'Registro EMO'!$E$13:$E$4248, "Sin registro", 0, -1)</f>
        <v>Pre-Ocupacional</v>
      </c>
      <c r="O277" s="11" t="str">
        <f t="shared" si="23"/>
        <v>NO</v>
      </c>
      <c r="P277" s="130" t="str" cm="1">
        <f t="array" ref="P277">_xlfn.LET(
    _xlpm.resultado, _xlfn.XLOOKUP(B277&amp;"", 'Registro EMO'!$C$13:$C$4248&amp;"", 'Registro EMO'!$I$13:$I$4248, "NO", 0, -1),
    IF(_xlpm.resultado=0, "NO", _xlpm.resultado)
)</f>
        <v>NO</v>
      </c>
      <c r="Q277" s="11" t="str">
        <f t="shared" ca="1" si="24"/>
        <v>Vigente</v>
      </c>
      <c r="R277" s="96"/>
      <c r="S277" s="11"/>
      <c r="T277" s="11"/>
      <c r="U277" s="11"/>
      <c r="V277" s="11" t="s">
        <v>796</v>
      </c>
      <c r="W277" s="29"/>
      <c r="X277" s="129"/>
      <c r="Y277" s="11"/>
      <c r="Z277" s="11"/>
      <c r="AA277" s="11"/>
      <c r="AB277" s="11"/>
      <c r="AC277" s="11"/>
      <c r="AD277" s="11"/>
      <c r="AE277" s="11"/>
      <c r="AF277" s="11"/>
      <c r="AG277" s="98"/>
      <c r="AH277" s="11" t="s">
        <v>32</v>
      </c>
    </row>
    <row r="278" spans="1:34" x14ac:dyDescent="0.3">
      <c r="A278" s="7" t="str">
        <f t="shared" si="21"/>
        <v>TR-1277</v>
      </c>
      <c r="B278" s="11" t="s">
        <v>1047</v>
      </c>
      <c r="C278" s="141" t="s">
        <v>846</v>
      </c>
      <c r="D278" s="98">
        <v>32830</v>
      </c>
      <c r="E278" s="111">
        <f t="shared" ca="1" si="22"/>
        <v>36</v>
      </c>
      <c r="F278" s="132" t="s">
        <v>743</v>
      </c>
      <c r="G278" s="11" t="s">
        <v>253</v>
      </c>
      <c r="H278" s="140" t="s">
        <v>1218</v>
      </c>
      <c r="I278" s="140" t="s">
        <v>1221</v>
      </c>
      <c r="J278" s="132"/>
      <c r="K278" s="11"/>
      <c r="L278" s="142">
        <v>45156</v>
      </c>
      <c r="M278" s="96" t="str" cm="1">
        <f t="array" ref="M278">_xlfn.XLOOKUP(B278&amp;"", 'Registro EMO'!$C$13:$C$4248&amp;"", 'Registro EMO'!$F$13:$F$4248, "Sin registro", 0, -1)</f>
        <v>16/10/2026</v>
      </c>
      <c r="N278" s="11" t="str" cm="1">
        <f t="array" ref="N278">_xlfn.XLOOKUP(B278&amp;"", 'Registro EMO'!$C$13:$C$4248&amp;"", 'Registro EMO'!$E$13:$E$4248, "Sin registro", 0, -1)</f>
        <v>Pre-Ocupacional</v>
      </c>
      <c r="O278" s="11" t="str">
        <f t="shared" si="23"/>
        <v>NO</v>
      </c>
      <c r="P278" s="130" t="str" cm="1">
        <f t="array" ref="P278">_xlfn.LET(
    _xlpm.resultado, _xlfn.XLOOKUP(B278&amp;"", 'Registro EMO'!$C$13:$C$4248&amp;"", 'Registro EMO'!$I$13:$I$4248, "NO", 0, -1),
    IF(_xlpm.resultado=0, "NO", _xlpm.resultado)
)</f>
        <v>NO</v>
      </c>
      <c r="Q278" s="11" t="str">
        <f t="shared" ca="1" si="24"/>
        <v>Vigente</v>
      </c>
      <c r="R278" s="96"/>
      <c r="S278" s="11"/>
      <c r="T278" s="11"/>
      <c r="U278" s="11"/>
      <c r="V278" s="11" t="s">
        <v>796</v>
      </c>
      <c r="W278" s="29"/>
      <c r="X278" s="129"/>
      <c r="Y278" s="11"/>
      <c r="Z278" s="11"/>
      <c r="AA278" s="11"/>
      <c r="AB278" s="11"/>
      <c r="AC278" s="11"/>
      <c r="AD278" s="11"/>
      <c r="AE278" s="11"/>
      <c r="AF278" s="11"/>
      <c r="AG278" s="98"/>
      <c r="AH278" s="11" t="s">
        <v>32</v>
      </c>
    </row>
    <row r="279" spans="1:34" x14ac:dyDescent="0.3">
      <c r="A279" s="7" t="str">
        <f t="shared" si="21"/>
        <v>TR-1278</v>
      </c>
      <c r="B279" s="11" t="s">
        <v>1048</v>
      </c>
      <c r="C279" s="141" t="s">
        <v>847</v>
      </c>
      <c r="D279" s="98">
        <v>35927</v>
      </c>
      <c r="E279" s="111">
        <f t="shared" ca="1" si="22"/>
        <v>27</v>
      </c>
      <c r="F279" s="132" t="s">
        <v>762</v>
      </c>
      <c r="G279" s="11" t="s">
        <v>253</v>
      </c>
      <c r="H279" s="140" t="s">
        <v>1218</v>
      </c>
      <c r="I279" s="140" t="s">
        <v>1221</v>
      </c>
      <c r="J279" s="132"/>
      <c r="K279" s="11"/>
      <c r="L279" s="142">
        <v>45017</v>
      </c>
      <c r="M279" s="96" t="str" cm="1">
        <f t="array" ref="M279">_xlfn.XLOOKUP(B279&amp;"", 'Registro EMO'!$C$13:$C$4248&amp;"", 'Registro EMO'!$F$13:$F$4248, "Sin registro", 0, -1)</f>
        <v>25/05/2026</v>
      </c>
      <c r="N279" s="11" t="str" cm="1">
        <f t="array" ref="N279">_xlfn.XLOOKUP(B279&amp;"", 'Registro EMO'!$C$13:$C$4248&amp;"", 'Registro EMO'!$E$13:$E$4248, "Sin registro", 0, -1)</f>
        <v>Pre-Ocupacional</v>
      </c>
      <c r="O279" s="11" t="str">
        <f t="shared" si="23"/>
        <v>NO</v>
      </c>
      <c r="P279" s="130" t="str" cm="1">
        <f t="array" ref="P279">_xlfn.LET(
    _xlpm.resultado, _xlfn.XLOOKUP(B279&amp;"", 'Registro EMO'!$C$13:$C$4248&amp;"", 'Registro EMO'!$I$13:$I$4248, "NO", 0, -1),
    IF(_xlpm.resultado=0, "NO", _xlpm.resultado)
)</f>
        <v>NO</v>
      </c>
      <c r="Q279" s="11" t="str">
        <f t="shared" ca="1" si="24"/>
        <v>Vigente</v>
      </c>
      <c r="R279" s="96" t="s">
        <v>1314</v>
      </c>
      <c r="S279" s="11" t="s">
        <v>1232</v>
      </c>
      <c r="T279" s="11" t="str">
        <f t="shared" si="25"/>
        <v>NO</v>
      </c>
      <c r="U279" s="11"/>
      <c r="V279" s="146" t="s">
        <v>126</v>
      </c>
      <c r="W279" s="29"/>
      <c r="X279" s="129"/>
      <c r="Y279" s="11"/>
      <c r="Z279" s="11"/>
      <c r="AA279" s="11"/>
      <c r="AB279" s="11"/>
      <c r="AC279" s="11"/>
      <c r="AD279" s="11"/>
      <c r="AE279" s="11"/>
      <c r="AF279" s="11"/>
      <c r="AG279" s="98"/>
      <c r="AH279" s="11" t="s">
        <v>32</v>
      </c>
    </row>
    <row r="280" spans="1:34" x14ac:dyDescent="0.3">
      <c r="A280" s="7" t="str">
        <f t="shared" si="21"/>
        <v>TR-1279</v>
      </c>
      <c r="B280" s="11" t="s">
        <v>1049</v>
      </c>
      <c r="C280" s="141" t="s">
        <v>848</v>
      </c>
      <c r="D280" s="98">
        <v>34274</v>
      </c>
      <c r="E280" s="111">
        <f t="shared" ca="1" si="22"/>
        <v>32</v>
      </c>
      <c r="F280" s="132" t="s">
        <v>743</v>
      </c>
      <c r="G280" s="11" t="s">
        <v>253</v>
      </c>
      <c r="H280" s="140" t="s">
        <v>1218</v>
      </c>
      <c r="I280" s="140" t="s">
        <v>1221</v>
      </c>
      <c r="J280" s="132"/>
      <c r="K280" s="11"/>
      <c r="L280" s="142">
        <v>45139</v>
      </c>
      <c r="M280" s="96" t="str" cm="1">
        <f t="array" ref="M280">_xlfn.XLOOKUP(B280&amp;"", 'Registro EMO'!$C$13:$C$4248&amp;"", 'Registro EMO'!$F$13:$F$4248, "Sin registro", 0, -1)</f>
        <v>18/07/2026</v>
      </c>
      <c r="N280" s="11" t="str" cm="1">
        <f t="array" ref="N280">_xlfn.XLOOKUP(B280&amp;"", 'Registro EMO'!$C$13:$C$4248&amp;"", 'Registro EMO'!$E$13:$E$4248, "Sin registro", 0, -1)</f>
        <v>Pre-Ocupacional</v>
      </c>
      <c r="O280" s="11" t="str">
        <f t="shared" si="23"/>
        <v>NO</v>
      </c>
      <c r="P280" s="130" t="str" cm="1">
        <f t="array" ref="P280">_xlfn.LET(
    _xlpm.resultado, _xlfn.XLOOKUP(B280&amp;"", 'Registro EMO'!$C$13:$C$4248&amp;"", 'Registro EMO'!$I$13:$I$4248, "NO", 0, -1),
    IF(_xlpm.resultado=0, "NO", _xlpm.resultado)
)</f>
        <v>NO</v>
      </c>
      <c r="Q280" s="11" t="str">
        <f t="shared" ca="1" si="24"/>
        <v>Vigente</v>
      </c>
      <c r="R280" s="96" t="s">
        <v>1319</v>
      </c>
      <c r="S280" s="11" t="s">
        <v>1232</v>
      </c>
      <c r="T280" s="11" t="str">
        <f t="shared" si="25"/>
        <v>NO</v>
      </c>
      <c r="U280" s="11"/>
      <c r="V280" s="146" t="s">
        <v>126</v>
      </c>
      <c r="W280" s="29"/>
      <c r="X280" s="129"/>
      <c r="Y280" s="11"/>
      <c r="Z280" s="11"/>
      <c r="AA280" s="11"/>
      <c r="AB280" s="11"/>
      <c r="AC280" s="11"/>
      <c r="AD280" s="11"/>
      <c r="AE280" s="11"/>
      <c r="AF280" s="11"/>
      <c r="AG280" s="98"/>
      <c r="AH280" s="11" t="s">
        <v>32</v>
      </c>
    </row>
    <row r="281" spans="1:34" x14ac:dyDescent="0.3">
      <c r="A281" s="7" t="str">
        <f t="shared" si="21"/>
        <v>TR-1280</v>
      </c>
      <c r="B281" s="11" t="s">
        <v>1050</v>
      </c>
      <c r="C281" s="141" t="s">
        <v>849</v>
      </c>
      <c r="D281" s="98">
        <v>34068</v>
      </c>
      <c r="E281" s="111">
        <f t="shared" ca="1" si="22"/>
        <v>32</v>
      </c>
      <c r="F281" s="132" t="s">
        <v>762</v>
      </c>
      <c r="G281" s="11" t="s">
        <v>253</v>
      </c>
      <c r="H281" s="140" t="s">
        <v>1218</v>
      </c>
      <c r="I281" s="140" t="s">
        <v>1221</v>
      </c>
      <c r="J281" s="132"/>
      <c r="K281" s="11"/>
      <c r="L281" s="142">
        <v>45743</v>
      </c>
      <c r="M281" s="96" t="str" cm="1">
        <f t="array" ref="M281">_xlfn.XLOOKUP(B281&amp;"", 'Registro EMO'!$C$13:$C$4248&amp;"", 'Registro EMO'!$F$13:$F$4248, "Sin registro", 0, -1)</f>
        <v>Sin registro</v>
      </c>
      <c r="N281" s="11" t="str" cm="1">
        <f t="array" ref="N281">_xlfn.XLOOKUP(B281&amp;"", 'Registro EMO'!$C$13:$C$4248&amp;"", 'Registro EMO'!$E$13:$E$4248, "Sin registro", 0, -1)</f>
        <v>Sin registro</v>
      </c>
      <c r="O281" s="11" t="str">
        <f t="shared" si="23"/>
        <v>NO</v>
      </c>
      <c r="P281" s="130" t="str" cm="1">
        <f t="array" ref="P281">_xlfn.LET(
    _xlpm.resultado, _xlfn.XLOOKUP(B281&amp;"", 'Registro EMO'!$C$13:$C$4248&amp;"", 'Registro EMO'!$I$13:$I$4248, "NO", 0, -1),
    IF(_xlpm.resultado=0, "NO", _xlpm.resultado)
)</f>
        <v>NO</v>
      </c>
      <c r="Q281" s="11" t="str">
        <f t="shared" ca="1" si="24"/>
        <v>Pendiente</v>
      </c>
      <c r="R281" s="96"/>
      <c r="S281" s="11"/>
      <c r="T281" s="11" t="str">
        <f t="shared" si="25"/>
        <v/>
      </c>
      <c r="U281" s="11"/>
      <c r="V281" s="146"/>
      <c r="W281" s="29"/>
      <c r="X281" s="129"/>
      <c r="Y281" s="11"/>
      <c r="Z281" s="11"/>
      <c r="AA281" s="11"/>
      <c r="AB281" s="11"/>
      <c r="AC281" s="11"/>
      <c r="AD281" s="11"/>
      <c r="AE281" s="11"/>
      <c r="AF281" s="11"/>
      <c r="AG281" s="98"/>
      <c r="AH281" s="11"/>
    </row>
    <row r="282" spans="1:34" x14ac:dyDescent="0.3">
      <c r="A282" s="7" t="str">
        <f t="shared" si="21"/>
        <v>TR-1281</v>
      </c>
      <c r="B282" s="11" t="s">
        <v>1051</v>
      </c>
      <c r="C282" s="141" t="s">
        <v>850</v>
      </c>
      <c r="D282" s="98">
        <v>25170</v>
      </c>
      <c r="E282" s="111">
        <f t="shared" ca="1" si="22"/>
        <v>57</v>
      </c>
      <c r="F282" s="132" t="s">
        <v>762</v>
      </c>
      <c r="G282" s="11" t="s">
        <v>253</v>
      </c>
      <c r="H282" s="140" t="s">
        <v>763</v>
      </c>
      <c r="I282" s="140" t="s">
        <v>764</v>
      </c>
      <c r="J282" s="132"/>
      <c r="K282" s="11"/>
      <c r="L282" s="142">
        <v>43983</v>
      </c>
      <c r="M282" s="96" t="str" cm="1">
        <f t="array" ref="M282">_xlfn.XLOOKUP(B282&amp;"", 'Registro EMO'!$C$13:$C$4248&amp;"", 'Registro EMO'!$F$13:$F$4248, "Sin registro", 0, -1)</f>
        <v>Sin registro</v>
      </c>
      <c r="N282" s="11" t="str" cm="1">
        <f t="array" ref="N282">_xlfn.XLOOKUP(B282&amp;"", 'Registro EMO'!$C$13:$C$4248&amp;"", 'Registro EMO'!$E$13:$E$4248, "Sin registro", 0, -1)</f>
        <v>Sin registro</v>
      </c>
      <c r="O282" s="11" t="str">
        <f t="shared" si="23"/>
        <v>NO</v>
      </c>
      <c r="P282" s="130" t="str" cm="1">
        <f t="array" ref="P282">_xlfn.LET(
    _xlpm.resultado, _xlfn.XLOOKUP(B282&amp;"", 'Registro EMO'!$C$13:$C$4248&amp;"", 'Registro EMO'!$I$13:$I$4248, "NO", 0, -1),
    IF(_xlpm.resultado=0, "NO", _xlpm.resultado)
)</f>
        <v>NO</v>
      </c>
      <c r="Q282" s="11" t="str">
        <f t="shared" ca="1" si="24"/>
        <v>Pendiente</v>
      </c>
      <c r="R282" s="96"/>
      <c r="S282" s="11"/>
      <c r="T282" s="11" t="str">
        <f t="shared" si="25"/>
        <v/>
      </c>
      <c r="U282" s="11"/>
      <c r="V282" s="146"/>
      <c r="W282" s="29"/>
      <c r="X282" s="129"/>
      <c r="Y282" s="11"/>
      <c r="Z282" s="11"/>
      <c r="AA282" s="11"/>
      <c r="AB282" s="11"/>
      <c r="AC282" s="11"/>
      <c r="AD282" s="11"/>
      <c r="AE282" s="11"/>
      <c r="AF282" s="11"/>
      <c r="AG282" s="98"/>
      <c r="AH282" s="11"/>
    </row>
    <row r="283" spans="1:34" x14ac:dyDescent="0.3">
      <c r="A283" s="7" t="str">
        <f t="shared" si="21"/>
        <v>TR-1282</v>
      </c>
      <c r="B283" s="11" t="s">
        <v>1052</v>
      </c>
      <c r="C283" s="141" t="s">
        <v>851</v>
      </c>
      <c r="D283" s="98">
        <v>34826</v>
      </c>
      <c r="E283" s="111">
        <f t="shared" ca="1" si="22"/>
        <v>30</v>
      </c>
      <c r="F283" s="132" t="s">
        <v>762</v>
      </c>
      <c r="G283" s="11" t="s">
        <v>253</v>
      </c>
      <c r="H283" s="140" t="s">
        <v>1218</v>
      </c>
      <c r="I283" s="140" t="s">
        <v>1221</v>
      </c>
      <c r="J283" s="132"/>
      <c r="K283" s="11"/>
      <c r="L283" s="142">
        <v>45200</v>
      </c>
      <c r="M283" s="96" t="str" cm="1">
        <f t="array" ref="M283">_xlfn.XLOOKUP(B283&amp;"", 'Registro EMO'!$C$13:$C$4248&amp;"", 'Registro EMO'!$F$13:$F$4248, "Sin registro", 0, -1)</f>
        <v>23/05/2026</v>
      </c>
      <c r="N283" s="11" t="str" cm="1">
        <f t="array" ref="N283">_xlfn.XLOOKUP(B283&amp;"", 'Registro EMO'!$C$13:$C$4248&amp;"", 'Registro EMO'!$E$13:$E$4248, "Sin registro", 0, -1)</f>
        <v>Pre-Ocupacional</v>
      </c>
      <c r="O283" s="11" t="str">
        <f t="shared" si="23"/>
        <v>NO</v>
      </c>
      <c r="P283" s="130" t="str" cm="1">
        <f t="array" ref="P283">_xlfn.LET(
    _xlpm.resultado, _xlfn.XLOOKUP(B283&amp;"", 'Registro EMO'!$C$13:$C$4248&amp;"", 'Registro EMO'!$I$13:$I$4248, "NO", 0, -1),
    IF(_xlpm.resultado=0, "NO", _xlpm.resultado)
)</f>
        <v>NO</v>
      </c>
      <c r="Q283" s="11" t="str">
        <f t="shared" ca="1" si="24"/>
        <v>Vigente</v>
      </c>
      <c r="R283" s="96"/>
      <c r="S283" s="11"/>
      <c r="T283" s="11"/>
      <c r="U283" s="11"/>
      <c r="V283" s="11" t="s">
        <v>796</v>
      </c>
      <c r="W283" s="29"/>
      <c r="X283" s="129"/>
      <c r="Y283" s="11"/>
      <c r="Z283" s="11"/>
      <c r="AA283" s="11"/>
      <c r="AB283" s="11"/>
      <c r="AC283" s="11"/>
      <c r="AD283" s="11"/>
      <c r="AE283" s="11"/>
      <c r="AF283" s="11"/>
      <c r="AG283" s="98"/>
      <c r="AH283" s="11" t="s">
        <v>32</v>
      </c>
    </row>
    <row r="284" spans="1:34" x14ac:dyDescent="0.3">
      <c r="A284" s="7" t="str">
        <f t="shared" si="21"/>
        <v>TR-1283</v>
      </c>
      <c r="B284" s="11" t="s">
        <v>1053</v>
      </c>
      <c r="C284" s="141" t="s">
        <v>852</v>
      </c>
      <c r="D284" s="98">
        <v>32251</v>
      </c>
      <c r="E284" s="111">
        <f t="shared" ca="1" si="22"/>
        <v>37</v>
      </c>
      <c r="F284" s="132" t="s">
        <v>743</v>
      </c>
      <c r="G284" s="11" t="s">
        <v>253</v>
      </c>
      <c r="H284" s="140" t="s">
        <v>1218</v>
      </c>
      <c r="I284" s="140" t="s">
        <v>1221</v>
      </c>
      <c r="J284" s="132"/>
      <c r="K284" s="11"/>
      <c r="L284" s="142">
        <v>45526</v>
      </c>
      <c r="M284" s="96" t="str" cm="1">
        <f t="array" ref="M284">_xlfn.XLOOKUP(B284&amp;"", 'Registro EMO'!$C$13:$C$4248&amp;"", 'Registro EMO'!$F$13:$F$4248, "Sin registro", 0, -1)</f>
        <v>18/11/2026</v>
      </c>
      <c r="N284" s="11" t="str" cm="1">
        <f t="array" ref="N284">_xlfn.XLOOKUP(B284&amp;"", 'Registro EMO'!$C$13:$C$4248&amp;"", 'Registro EMO'!$E$13:$E$4248, "Sin registro", 0, -1)</f>
        <v>Pre-Ocupacional</v>
      </c>
      <c r="O284" s="11" t="str">
        <f t="shared" si="23"/>
        <v>NO</v>
      </c>
      <c r="P284" s="130" t="str" cm="1">
        <f t="array" ref="P284">_xlfn.LET(
    _xlpm.resultado, _xlfn.XLOOKUP(B284&amp;"", 'Registro EMO'!$C$13:$C$4248&amp;"", 'Registro EMO'!$I$13:$I$4248, "NO", 0, -1),
    IF(_xlpm.resultado=0, "NO", _xlpm.resultado)
)</f>
        <v>NO</v>
      </c>
      <c r="Q284" s="11" t="str">
        <f t="shared" ca="1" si="24"/>
        <v>Vigente</v>
      </c>
      <c r="R284" s="96"/>
      <c r="S284" s="11"/>
      <c r="T284" s="11"/>
      <c r="U284" s="11"/>
      <c r="V284" s="11" t="s">
        <v>796</v>
      </c>
      <c r="W284" s="29"/>
      <c r="X284" s="129"/>
      <c r="Y284" s="11"/>
      <c r="Z284" s="11"/>
      <c r="AA284" s="11"/>
      <c r="AB284" s="11"/>
      <c r="AC284" s="11"/>
      <c r="AD284" s="11"/>
      <c r="AE284" s="11"/>
      <c r="AF284" s="11"/>
      <c r="AG284" s="98"/>
      <c r="AH284" s="11" t="s">
        <v>32</v>
      </c>
    </row>
    <row r="285" spans="1:34" x14ac:dyDescent="0.3">
      <c r="A285" s="7" t="str">
        <f t="shared" si="21"/>
        <v>TR-1284</v>
      </c>
      <c r="B285" s="11" t="s">
        <v>1054</v>
      </c>
      <c r="C285" s="141" t="s">
        <v>853</v>
      </c>
      <c r="D285" s="98">
        <v>28213</v>
      </c>
      <c r="E285" s="111">
        <f t="shared" ca="1" si="22"/>
        <v>48</v>
      </c>
      <c r="F285" s="132" t="s">
        <v>743</v>
      </c>
      <c r="G285" s="11" t="s">
        <v>253</v>
      </c>
      <c r="H285" s="140" t="s">
        <v>1218</v>
      </c>
      <c r="I285" s="140" t="s">
        <v>1221</v>
      </c>
      <c r="J285" s="132"/>
      <c r="K285" s="11"/>
      <c r="L285" s="142">
        <v>44866</v>
      </c>
      <c r="M285" s="96" t="str" cm="1">
        <f t="array" ref="M285">_xlfn.XLOOKUP(B285&amp;"", 'Registro EMO'!$C$13:$C$4248&amp;"", 'Registro EMO'!$F$13:$F$4248, "Sin registro", 0, -1)</f>
        <v>23/01/2026</v>
      </c>
      <c r="N285" s="11" t="str" cm="1">
        <f t="array" ref="N285">_xlfn.XLOOKUP(B285&amp;"", 'Registro EMO'!$C$13:$C$4248&amp;"", 'Registro EMO'!$E$13:$E$4248, "Sin registro", 0, -1)</f>
        <v>Pre-Ocupacional</v>
      </c>
      <c r="O285" s="11" t="str">
        <f t="shared" si="23"/>
        <v>NO</v>
      </c>
      <c r="P285" s="130" t="str" cm="1">
        <f t="array" ref="P285">_xlfn.LET(
    _xlpm.resultado, _xlfn.XLOOKUP(B285&amp;"", 'Registro EMO'!$C$13:$C$4248&amp;"", 'Registro EMO'!$I$13:$I$4248, "NO", 0, -1),
    IF(_xlpm.resultado=0, "NO", _xlpm.resultado)
)</f>
        <v>NO</v>
      </c>
      <c r="Q285" s="11" t="str">
        <f t="shared" ca="1" si="24"/>
        <v>Vigente</v>
      </c>
      <c r="R285" s="96"/>
      <c r="S285" s="11"/>
      <c r="T285" s="11"/>
      <c r="U285" s="11"/>
      <c r="V285" s="11" t="s">
        <v>796</v>
      </c>
      <c r="W285" s="29"/>
      <c r="X285" s="129"/>
      <c r="Y285" s="11"/>
      <c r="Z285" s="11"/>
      <c r="AA285" s="11"/>
      <c r="AB285" s="11"/>
      <c r="AC285" s="11"/>
      <c r="AD285" s="11"/>
      <c r="AE285" s="11"/>
      <c r="AF285" s="11"/>
      <c r="AG285" s="98"/>
      <c r="AH285" s="11" t="s">
        <v>32</v>
      </c>
    </row>
    <row r="286" spans="1:34" x14ac:dyDescent="0.3">
      <c r="A286" s="7" t="str">
        <f t="shared" si="21"/>
        <v>TR-1285</v>
      </c>
      <c r="B286" s="11" t="s">
        <v>1055</v>
      </c>
      <c r="C286" s="141" t="s">
        <v>854</v>
      </c>
      <c r="D286" s="98">
        <v>34842</v>
      </c>
      <c r="E286" s="111">
        <f t="shared" ca="1" si="22"/>
        <v>30</v>
      </c>
      <c r="F286" s="132" t="s">
        <v>743</v>
      </c>
      <c r="G286" s="11" t="s">
        <v>253</v>
      </c>
      <c r="H286" s="140" t="s">
        <v>1218</v>
      </c>
      <c r="I286" s="140" t="s">
        <v>1221</v>
      </c>
      <c r="J286" s="132"/>
      <c r="K286" s="11"/>
      <c r="L286" s="142">
        <v>45734</v>
      </c>
      <c r="M286" s="96" t="str" cm="1">
        <f t="array" ref="M286">_xlfn.XLOOKUP(B286&amp;"", 'Registro EMO'!$C$13:$C$4248&amp;"", 'Registro EMO'!$F$13:$F$4248, "Sin registro", 0, -1)</f>
        <v>Sin registro</v>
      </c>
      <c r="N286" s="11" t="str" cm="1">
        <f t="array" ref="N286">_xlfn.XLOOKUP(B286&amp;"", 'Registro EMO'!$C$13:$C$4248&amp;"", 'Registro EMO'!$E$13:$E$4248, "Sin registro", 0, -1)</f>
        <v>Sin registro</v>
      </c>
      <c r="O286" s="11" t="str">
        <f t="shared" si="23"/>
        <v>NO</v>
      </c>
      <c r="P286" s="130" t="str" cm="1">
        <f t="array" ref="P286">_xlfn.LET(
    _xlpm.resultado, _xlfn.XLOOKUP(B286&amp;"", 'Registro EMO'!$C$13:$C$4248&amp;"", 'Registro EMO'!$I$13:$I$4248, "NO", 0, -1),
    IF(_xlpm.resultado=0, "NO", _xlpm.resultado)
)</f>
        <v>NO</v>
      </c>
      <c r="Q286" s="11" t="str">
        <f t="shared" ca="1" si="24"/>
        <v>Pendiente</v>
      </c>
      <c r="R286" s="96"/>
      <c r="S286" s="11"/>
      <c r="T286" s="11" t="str">
        <f t="shared" si="25"/>
        <v/>
      </c>
      <c r="U286" s="11"/>
      <c r="V286" s="146"/>
      <c r="W286" s="29"/>
      <c r="X286" s="129"/>
      <c r="Y286" s="11"/>
      <c r="Z286" s="11"/>
      <c r="AA286" s="11"/>
      <c r="AB286" s="11"/>
      <c r="AC286" s="11"/>
      <c r="AD286" s="11"/>
      <c r="AE286" s="11"/>
      <c r="AF286" s="11"/>
      <c r="AG286" s="98"/>
      <c r="AH286" s="11"/>
    </row>
    <row r="287" spans="1:34" x14ac:dyDescent="0.3">
      <c r="A287" s="7" t="str">
        <f t="shared" si="21"/>
        <v>TR-1286</v>
      </c>
      <c r="B287" s="11" t="s">
        <v>1056</v>
      </c>
      <c r="C287" s="141" t="s">
        <v>855</v>
      </c>
      <c r="D287" s="98">
        <v>30139</v>
      </c>
      <c r="E287" s="111">
        <f t="shared" ca="1" si="22"/>
        <v>43</v>
      </c>
      <c r="F287" s="132" t="s">
        <v>743</v>
      </c>
      <c r="G287" s="11" t="s">
        <v>253</v>
      </c>
      <c r="H287" s="140" t="s">
        <v>1218</v>
      </c>
      <c r="I287" s="140" t="s">
        <v>1221</v>
      </c>
      <c r="J287" s="132"/>
      <c r="K287" s="11"/>
      <c r="L287" s="142">
        <v>46014</v>
      </c>
      <c r="M287" s="96" t="str" cm="1">
        <f t="array" ref="M287">_xlfn.XLOOKUP(B287&amp;"", 'Registro EMO'!$C$13:$C$4248&amp;"", 'Registro EMO'!$F$13:$F$4248, "Sin registro", 0, -1)</f>
        <v>Sin registro</v>
      </c>
      <c r="N287" s="11" t="str" cm="1">
        <f t="array" ref="N287">_xlfn.XLOOKUP(B287&amp;"", 'Registro EMO'!$C$13:$C$4248&amp;"", 'Registro EMO'!$E$13:$E$4248, "Sin registro", 0, -1)</f>
        <v>Sin registro</v>
      </c>
      <c r="O287" s="11" t="str">
        <f t="shared" si="23"/>
        <v>NO</v>
      </c>
      <c r="P287" s="130" t="str" cm="1">
        <f t="array" ref="P287">_xlfn.LET(
    _xlpm.resultado, _xlfn.XLOOKUP(B287&amp;"", 'Registro EMO'!$C$13:$C$4248&amp;"", 'Registro EMO'!$I$13:$I$4248, "NO", 0, -1),
    IF(_xlpm.resultado=0, "NO", _xlpm.resultado)
)</f>
        <v>NO</v>
      </c>
      <c r="Q287" s="11" t="str">
        <f t="shared" ca="1" si="24"/>
        <v>Pendiente</v>
      </c>
      <c r="R287" s="96"/>
      <c r="S287" s="11"/>
      <c r="T287" s="11" t="str">
        <f t="shared" si="25"/>
        <v/>
      </c>
      <c r="U287" s="11"/>
      <c r="V287" s="146"/>
      <c r="W287" s="29"/>
      <c r="X287" s="129"/>
      <c r="Y287" s="11"/>
      <c r="Z287" s="11"/>
      <c r="AA287" s="11"/>
      <c r="AB287" s="11"/>
      <c r="AC287" s="11"/>
      <c r="AD287" s="11"/>
      <c r="AE287" s="11"/>
      <c r="AF287" s="11"/>
      <c r="AG287" s="98"/>
      <c r="AH287" s="11"/>
    </row>
    <row r="288" spans="1:34" x14ac:dyDescent="0.3">
      <c r="A288" s="7" t="str">
        <f t="shared" si="21"/>
        <v>TR-1287</v>
      </c>
      <c r="B288" s="11" t="s">
        <v>1057</v>
      </c>
      <c r="C288" s="141" t="s">
        <v>856</v>
      </c>
      <c r="D288" s="98">
        <v>33509</v>
      </c>
      <c r="E288" s="111">
        <f t="shared" ca="1" si="22"/>
        <v>34</v>
      </c>
      <c r="F288" s="132" t="s">
        <v>743</v>
      </c>
      <c r="G288" s="11" t="s">
        <v>253</v>
      </c>
      <c r="H288" s="140" t="s">
        <v>1218</v>
      </c>
      <c r="I288" s="140" t="s">
        <v>1220</v>
      </c>
      <c r="J288" s="132"/>
      <c r="K288" s="11"/>
      <c r="L288" s="142">
        <v>45756</v>
      </c>
      <c r="M288" s="96" t="str" cm="1">
        <f t="array" ref="M288">_xlfn.XLOOKUP(B288&amp;"", 'Registro EMO'!$C$13:$C$4248&amp;"", 'Registro EMO'!$F$13:$F$4248, "Sin registro", 0, -1)</f>
        <v>Sin registro</v>
      </c>
      <c r="N288" s="11" t="str" cm="1">
        <f t="array" ref="N288">_xlfn.XLOOKUP(B288&amp;"", 'Registro EMO'!$C$13:$C$4248&amp;"", 'Registro EMO'!$E$13:$E$4248, "Sin registro", 0, -1)</f>
        <v>Sin registro</v>
      </c>
      <c r="O288" s="11" t="str">
        <f t="shared" si="23"/>
        <v>NO</v>
      </c>
      <c r="P288" s="130" t="str" cm="1">
        <f t="array" ref="P288">_xlfn.LET(
    _xlpm.resultado, _xlfn.XLOOKUP(B288&amp;"", 'Registro EMO'!$C$13:$C$4248&amp;"", 'Registro EMO'!$I$13:$I$4248, "NO", 0, -1),
    IF(_xlpm.resultado=0, "NO", _xlpm.resultado)
)</f>
        <v>NO</v>
      </c>
      <c r="Q288" s="11" t="str">
        <f t="shared" ca="1" si="24"/>
        <v>Pendiente</v>
      </c>
      <c r="R288" s="96"/>
      <c r="S288" s="11"/>
      <c r="T288" s="11" t="str">
        <f t="shared" si="25"/>
        <v/>
      </c>
      <c r="U288" s="11"/>
      <c r="V288" s="146"/>
      <c r="W288" s="29"/>
      <c r="X288" s="129"/>
      <c r="Y288" s="11"/>
      <c r="Z288" s="11"/>
      <c r="AA288" s="11"/>
      <c r="AB288" s="11"/>
      <c r="AC288" s="11"/>
      <c r="AD288" s="11"/>
      <c r="AE288" s="11"/>
      <c r="AF288" s="11"/>
      <c r="AG288" s="98"/>
      <c r="AH288" s="11"/>
    </row>
    <row r="289" spans="1:34" x14ac:dyDescent="0.3">
      <c r="A289" s="7" t="str">
        <f t="shared" si="21"/>
        <v>TR-1288</v>
      </c>
      <c r="B289" s="11" t="s">
        <v>1058</v>
      </c>
      <c r="C289" s="141" t="s">
        <v>857</v>
      </c>
      <c r="D289" s="98">
        <v>35764</v>
      </c>
      <c r="E289" s="111">
        <f t="shared" ca="1" si="22"/>
        <v>28</v>
      </c>
      <c r="F289" s="132" t="s">
        <v>743</v>
      </c>
      <c r="G289" s="11" t="s">
        <v>253</v>
      </c>
      <c r="H289" s="140" t="s">
        <v>1218</v>
      </c>
      <c r="I289" s="140" t="s">
        <v>1221</v>
      </c>
      <c r="J289" s="132"/>
      <c r="K289" s="11"/>
      <c r="L289" s="142">
        <v>45661</v>
      </c>
      <c r="M289" s="96" t="str" cm="1">
        <f t="array" ref="M289">_xlfn.XLOOKUP(B289&amp;"", 'Registro EMO'!$C$13:$C$4248&amp;"", 'Registro EMO'!$F$13:$F$4248, "Sin registro", 0, -1)</f>
        <v>24/02/2026</v>
      </c>
      <c r="N289" s="11" t="str" cm="1">
        <f t="array" ref="N289">_xlfn.XLOOKUP(B289&amp;"", 'Registro EMO'!$C$13:$C$4248&amp;"", 'Registro EMO'!$E$13:$E$4248, "Sin registro", 0, -1)</f>
        <v>Pre-Ocupacional</v>
      </c>
      <c r="O289" s="11" t="str">
        <f t="shared" si="23"/>
        <v>NO</v>
      </c>
      <c r="P289" s="130" t="str" cm="1">
        <f t="array" ref="P289">_xlfn.LET(
    _xlpm.resultado, _xlfn.XLOOKUP(B289&amp;"", 'Registro EMO'!$C$13:$C$4248&amp;"", 'Registro EMO'!$I$13:$I$4248, "NO", 0, -1),
    IF(_xlpm.resultado=0, "NO", _xlpm.resultado)
)</f>
        <v>NO</v>
      </c>
      <c r="Q289" s="11" t="str">
        <f t="shared" ca="1" si="24"/>
        <v>Vigente</v>
      </c>
      <c r="R289" s="96"/>
      <c r="S289" s="11"/>
      <c r="T289" s="11"/>
      <c r="U289" s="11"/>
      <c r="V289" s="11" t="s">
        <v>796</v>
      </c>
      <c r="W289" s="29"/>
      <c r="X289" s="129"/>
      <c r="Y289" s="11"/>
      <c r="Z289" s="11"/>
      <c r="AA289" s="11"/>
      <c r="AB289" s="11"/>
      <c r="AC289" s="11"/>
      <c r="AD289" s="11"/>
      <c r="AE289" s="11"/>
      <c r="AF289" s="11"/>
      <c r="AG289" s="98"/>
      <c r="AH289" s="11" t="s">
        <v>32</v>
      </c>
    </row>
    <row r="290" spans="1:34" x14ac:dyDescent="0.3">
      <c r="A290" s="7" t="str">
        <f t="shared" si="21"/>
        <v>TR-1289</v>
      </c>
      <c r="B290" s="11" t="s">
        <v>1059</v>
      </c>
      <c r="C290" s="141" t="s">
        <v>858</v>
      </c>
      <c r="D290" s="98">
        <v>35078</v>
      </c>
      <c r="E290" s="111">
        <f t="shared" ca="1" si="22"/>
        <v>30</v>
      </c>
      <c r="F290" s="132" t="s">
        <v>743</v>
      </c>
      <c r="G290" s="11" t="s">
        <v>253</v>
      </c>
      <c r="H290" s="140" t="s">
        <v>752</v>
      </c>
      <c r="I290" s="140" t="s">
        <v>753</v>
      </c>
      <c r="J290" s="132"/>
      <c r="K290" s="11"/>
      <c r="L290" s="142">
        <v>44621</v>
      </c>
      <c r="M290" s="96" t="str" cm="1">
        <f t="array" ref="M290">_xlfn.XLOOKUP(B290&amp;"", 'Registro EMO'!$C$13:$C$4248&amp;"", 'Registro EMO'!$F$13:$F$4248, "Sin registro", 0, -1)</f>
        <v>Sin registro</v>
      </c>
      <c r="N290" s="11" t="str" cm="1">
        <f t="array" ref="N290">_xlfn.XLOOKUP(B290&amp;"", 'Registro EMO'!$C$13:$C$4248&amp;"", 'Registro EMO'!$E$13:$E$4248, "Sin registro", 0, -1)</f>
        <v>Sin registro</v>
      </c>
      <c r="O290" s="11" t="str">
        <f t="shared" si="23"/>
        <v>NO</v>
      </c>
      <c r="P290" s="130" t="str" cm="1">
        <f t="array" ref="P290">_xlfn.LET(
    _xlpm.resultado, _xlfn.XLOOKUP(B290&amp;"", 'Registro EMO'!$C$13:$C$4248&amp;"", 'Registro EMO'!$I$13:$I$4248, "NO", 0, -1),
    IF(_xlpm.resultado=0, "NO", _xlpm.resultado)
)</f>
        <v>NO</v>
      </c>
      <c r="Q290" s="11" t="str">
        <f t="shared" ca="1" si="24"/>
        <v>Pendiente</v>
      </c>
      <c r="R290" s="96"/>
      <c r="S290" s="11"/>
      <c r="T290" s="11" t="str">
        <f t="shared" si="25"/>
        <v/>
      </c>
      <c r="U290" s="11"/>
      <c r="V290" s="146"/>
      <c r="W290" s="29"/>
      <c r="X290" s="129"/>
      <c r="Y290" s="11"/>
      <c r="Z290" s="11"/>
      <c r="AA290" s="11"/>
      <c r="AB290" s="11"/>
      <c r="AC290" s="11"/>
      <c r="AD290" s="11"/>
      <c r="AE290" s="11"/>
      <c r="AF290" s="11"/>
      <c r="AG290" s="98"/>
      <c r="AH290" s="11"/>
    </row>
    <row r="291" spans="1:34" x14ac:dyDescent="0.3">
      <c r="A291" s="7" t="str">
        <f t="shared" si="21"/>
        <v>TR-1290</v>
      </c>
      <c r="B291" s="11" t="s">
        <v>1060</v>
      </c>
      <c r="C291" s="141" t="s">
        <v>859</v>
      </c>
      <c r="D291" s="98">
        <v>36302</v>
      </c>
      <c r="E291" s="111">
        <f t="shared" ca="1" si="22"/>
        <v>26</v>
      </c>
      <c r="F291" s="132" t="s">
        <v>762</v>
      </c>
      <c r="G291" s="11" t="s">
        <v>253</v>
      </c>
      <c r="H291" s="140" t="s">
        <v>1218</v>
      </c>
      <c r="I291" s="140" t="s">
        <v>1221</v>
      </c>
      <c r="J291" s="132"/>
      <c r="K291" s="11"/>
      <c r="L291" s="142">
        <v>46059</v>
      </c>
      <c r="M291" s="96" t="str" cm="1">
        <f t="array" ref="M291">_xlfn.XLOOKUP(B291&amp;"", 'Registro EMO'!$C$13:$C$4248&amp;"", 'Registro EMO'!$F$13:$F$4248, "Sin registro", 0, -1)</f>
        <v>Sin registro</v>
      </c>
      <c r="N291" s="11" t="str" cm="1">
        <f t="array" ref="N291">_xlfn.XLOOKUP(B291&amp;"", 'Registro EMO'!$C$13:$C$4248&amp;"", 'Registro EMO'!$E$13:$E$4248, "Sin registro", 0, -1)</f>
        <v>Sin registro</v>
      </c>
      <c r="O291" s="11" t="str">
        <f t="shared" si="23"/>
        <v>NO</v>
      </c>
      <c r="P291" s="130" t="str" cm="1">
        <f t="array" ref="P291">_xlfn.LET(
    _xlpm.resultado, _xlfn.XLOOKUP(B291&amp;"", 'Registro EMO'!$C$13:$C$4248&amp;"", 'Registro EMO'!$I$13:$I$4248, "NO", 0, -1),
    IF(_xlpm.resultado=0, "NO", _xlpm.resultado)
)</f>
        <v>NO</v>
      </c>
      <c r="Q291" s="11" t="str">
        <f t="shared" ca="1" si="24"/>
        <v>Pendiente</v>
      </c>
      <c r="R291" s="96"/>
      <c r="S291" s="11"/>
      <c r="T291" s="11" t="str">
        <f t="shared" si="25"/>
        <v/>
      </c>
      <c r="U291" s="11"/>
      <c r="V291" s="146"/>
      <c r="W291" s="29"/>
      <c r="X291" s="129"/>
      <c r="Y291" s="11"/>
      <c r="Z291" s="11"/>
      <c r="AA291" s="11"/>
      <c r="AB291" s="11"/>
      <c r="AC291" s="11"/>
      <c r="AD291" s="11"/>
      <c r="AE291" s="11"/>
      <c r="AF291" s="11"/>
      <c r="AG291" s="98"/>
      <c r="AH291" s="11"/>
    </row>
    <row r="292" spans="1:34" x14ac:dyDescent="0.3">
      <c r="A292" s="7" t="str">
        <f t="shared" si="21"/>
        <v>TR-1291</v>
      </c>
      <c r="B292" s="11" t="s">
        <v>1061</v>
      </c>
      <c r="C292" s="141" t="s">
        <v>860</v>
      </c>
      <c r="D292" s="98">
        <v>31636</v>
      </c>
      <c r="E292" s="111">
        <f t="shared" ca="1" si="22"/>
        <v>39</v>
      </c>
      <c r="F292" s="132" t="s">
        <v>743</v>
      </c>
      <c r="G292" s="11" t="s">
        <v>253</v>
      </c>
      <c r="H292" s="140" t="s">
        <v>1218</v>
      </c>
      <c r="I292" s="140" t="s">
        <v>1221</v>
      </c>
      <c r="J292" s="132"/>
      <c r="K292" s="11"/>
      <c r="L292" s="142">
        <v>46048</v>
      </c>
      <c r="M292" s="96" t="str" cm="1">
        <f t="array" ref="M292">_xlfn.XLOOKUP(B292&amp;"", 'Registro EMO'!$C$13:$C$4248&amp;"", 'Registro EMO'!$F$13:$F$4248, "Sin registro", 0, -1)</f>
        <v>Sin registro</v>
      </c>
      <c r="N292" s="11" t="str" cm="1">
        <f t="array" ref="N292">_xlfn.XLOOKUP(B292&amp;"", 'Registro EMO'!$C$13:$C$4248&amp;"", 'Registro EMO'!$E$13:$E$4248, "Sin registro", 0, -1)</f>
        <v>Sin registro</v>
      </c>
      <c r="O292" s="11" t="str">
        <f t="shared" si="23"/>
        <v>NO</v>
      </c>
      <c r="P292" s="130" t="str" cm="1">
        <f t="array" ref="P292">_xlfn.LET(
    _xlpm.resultado, _xlfn.XLOOKUP(B292&amp;"", 'Registro EMO'!$C$13:$C$4248&amp;"", 'Registro EMO'!$I$13:$I$4248, "NO", 0, -1),
    IF(_xlpm.resultado=0, "NO", _xlpm.resultado)
)</f>
        <v>NO</v>
      </c>
      <c r="Q292" s="11" t="str">
        <f t="shared" ca="1" si="24"/>
        <v>Pendiente</v>
      </c>
      <c r="R292" s="96"/>
      <c r="S292" s="11"/>
      <c r="T292" s="11" t="str">
        <f t="shared" si="25"/>
        <v/>
      </c>
      <c r="U292" s="11"/>
      <c r="V292" s="146"/>
      <c r="W292" s="29"/>
      <c r="X292" s="129"/>
      <c r="Y292" s="11"/>
      <c r="Z292" s="11"/>
      <c r="AA292" s="11"/>
      <c r="AB292" s="11"/>
      <c r="AC292" s="11"/>
      <c r="AD292" s="11"/>
      <c r="AE292" s="11"/>
      <c r="AF292" s="11"/>
      <c r="AG292" s="98"/>
      <c r="AH292" s="11"/>
    </row>
    <row r="293" spans="1:34" x14ac:dyDescent="0.3">
      <c r="A293" s="7" t="str">
        <f t="shared" si="21"/>
        <v>TR-1292</v>
      </c>
      <c r="B293" s="11" t="s">
        <v>1062</v>
      </c>
      <c r="C293" s="141" t="s">
        <v>861</v>
      </c>
      <c r="D293" s="98">
        <v>33421</v>
      </c>
      <c r="E293" s="111">
        <f t="shared" ca="1" si="22"/>
        <v>34</v>
      </c>
      <c r="F293" s="132" t="s">
        <v>743</v>
      </c>
      <c r="G293" s="11" t="s">
        <v>253</v>
      </c>
      <c r="H293" s="140" t="s">
        <v>1218</v>
      </c>
      <c r="I293" s="140" t="s">
        <v>1220</v>
      </c>
      <c r="J293" s="132"/>
      <c r="K293" s="11"/>
      <c r="L293" s="142">
        <v>45812</v>
      </c>
      <c r="M293" s="96" t="str" cm="1">
        <f t="array" ref="M293">_xlfn.XLOOKUP(B293&amp;"", 'Registro EMO'!$C$13:$C$4248&amp;"", 'Registro EMO'!$F$13:$F$4248, "Sin registro", 0, -1)</f>
        <v>Sin registro</v>
      </c>
      <c r="N293" s="11" t="str" cm="1">
        <f t="array" ref="N293">_xlfn.XLOOKUP(B293&amp;"", 'Registro EMO'!$C$13:$C$4248&amp;"", 'Registro EMO'!$E$13:$E$4248, "Sin registro", 0, -1)</f>
        <v>Sin registro</v>
      </c>
      <c r="O293" s="11" t="str">
        <f t="shared" si="23"/>
        <v>NO</v>
      </c>
      <c r="P293" s="130" t="str" cm="1">
        <f t="array" ref="P293">_xlfn.LET(
    _xlpm.resultado, _xlfn.XLOOKUP(B293&amp;"", 'Registro EMO'!$C$13:$C$4248&amp;"", 'Registro EMO'!$I$13:$I$4248, "NO", 0, -1),
    IF(_xlpm.resultado=0, "NO", _xlpm.resultado)
)</f>
        <v>NO</v>
      </c>
      <c r="Q293" s="11" t="str">
        <f t="shared" ca="1" si="24"/>
        <v>Pendiente</v>
      </c>
      <c r="R293" s="96"/>
      <c r="S293" s="11"/>
      <c r="T293" s="11" t="str">
        <f t="shared" si="25"/>
        <v/>
      </c>
      <c r="U293" s="11"/>
      <c r="V293" s="146"/>
      <c r="W293" s="29"/>
      <c r="X293" s="129"/>
      <c r="Y293" s="11"/>
      <c r="Z293" s="11"/>
      <c r="AA293" s="11"/>
      <c r="AB293" s="11"/>
      <c r="AC293" s="11"/>
      <c r="AD293" s="11"/>
      <c r="AE293" s="11"/>
      <c r="AF293" s="11"/>
      <c r="AG293" s="98"/>
      <c r="AH293" s="11"/>
    </row>
    <row r="294" spans="1:34" x14ac:dyDescent="0.3">
      <c r="A294" s="7" t="str">
        <f t="shared" si="21"/>
        <v>TR-1293</v>
      </c>
      <c r="B294" s="11" t="s">
        <v>1063</v>
      </c>
      <c r="C294" s="141" t="s">
        <v>862</v>
      </c>
      <c r="D294" s="98">
        <v>35641</v>
      </c>
      <c r="E294" s="111">
        <f t="shared" ca="1" si="22"/>
        <v>28</v>
      </c>
      <c r="F294" s="132" t="s">
        <v>743</v>
      </c>
      <c r="G294" s="11" t="s">
        <v>253</v>
      </c>
      <c r="H294" s="140" t="s">
        <v>1218</v>
      </c>
      <c r="I294" s="140" t="s">
        <v>1221</v>
      </c>
      <c r="J294" s="132"/>
      <c r="K294" s="11"/>
      <c r="L294" s="142">
        <v>45891</v>
      </c>
      <c r="M294" s="96" t="str" cm="1">
        <f t="array" ref="M294">_xlfn.XLOOKUP(B294&amp;"", 'Registro EMO'!$C$13:$C$4248&amp;"", 'Registro EMO'!$F$13:$F$4248, "Sin registro", 0, -1)</f>
        <v>Sin registro</v>
      </c>
      <c r="N294" s="11" t="str" cm="1">
        <f t="array" ref="N294">_xlfn.XLOOKUP(B294&amp;"", 'Registro EMO'!$C$13:$C$4248&amp;"", 'Registro EMO'!$E$13:$E$4248, "Sin registro", 0, -1)</f>
        <v>Sin registro</v>
      </c>
      <c r="O294" s="11" t="str">
        <f t="shared" si="23"/>
        <v>NO</v>
      </c>
      <c r="P294" s="130" t="str" cm="1">
        <f t="array" ref="P294">_xlfn.LET(
    _xlpm.resultado, _xlfn.XLOOKUP(B294&amp;"", 'Registro EMO'!$C$13:$C$4248&amp;"", 'Registro EMO'!$I$13:$I$4248, "NO", 0, -1),
    IF(_xlpm.resultado=0, "NO", _xlpm.resultado)
)</f>
        <v>NO</v>
      </c>
      <c r="Q294" s="11" t="str">
        <f t="shared" ca="1" si="24"/>
        <v>Pendiente</v>
      </c>
      <c r="R294" s="96"/>
      <c r="S294" s="11"/>
      <c r="T294" s="11" t="str">
        <f t="shared" si="25"/>
        <v/>
      </c>
      <c r="U294" s="11"/>
      <c r="V294" s="146"/>
      <c r="W294" s="29"/>
      <c r="X294" s="129"/>
      <c r="Y294" s="11"/>
      <c r="Z294" s="11"/>
      <c r="AA294" s="11"/>
      <c r="AB294" s="11"/>
      <c r="AC294" s="11"/>
      <c r="AD294" s="11"/>
      <c r="AE294" s="11"/>
      <c r="AF294" s="11"/>
      <c r="AG294" s="98"/>
      <c r="AH294" s="11"/>
    </row>
    <row r="295" spans="1:34" x14ac:dyDescent="0.3">
      <c r="A295" s="7" t="str">
        <f t="shared" si="21"/>
        <v>TR-1294</v>
      </c>
      <c r="B295" s="11" t="s">
        <v>1064</v>
      </c>
      <c r="C295" s="141" t="s">
        <v>863</v>
      </c>
      <c r="D295" s="98">
        <v>35694</v>
      </c>
      <c r="E295" s="111">
        <f t="shared" ca="1" si="22"/>
        <v>28</v>
      </c>
      <c r="F295" s="132" t="s">
        <v>743</v>
      </c>
      <c r="G295" s="11" t="s">
        <v>253</v>
      </c>
      <c r="H295" s="140" t="s">
        <v>1218</v>
      </c>
      <c r="I295" s="140" t="s">
        <v>1221</v>
      </c>
      <c r="J295" s="132"/>
      <c r="K295" s="11"/>
      <c r="L295" s="142">
        <v>45794</v>
      </c>
      <c r="M295" s="96" t="str" cm="1">
        <f t="array" ref="M295">_xlfn.XLOOKUP(B295&amp;"", 'Registro EMO'!$C$13:$C$4248&amp;"", 'Registro EMO'!$F$13:$F$4248, "Sin registro", 0, -1)</f>
        <v>Sin registro</v>
      </c>
      <c r="N295" s="11" t="str" cm="1">
        <f t="array" ref="N295">_xlfn.XLOOKUP(B295&amp;"", 'Registro EMO'!$C$13:$C$4248&amp;"", 'Registro EMO'!$E$13:$E$4248, "Sin registro", 0, -1)</f>
        <v>Sin registro</v>
      </c>
      <c r="O295" s="11" t="str">
        <f t="shared" si="23"/>
        <v>NO</v>
      </c>
      <c r="P295" s="130" t="str" cm="1">
        <f t="array" ref="P295">_xlfn.LET(
    _xlpm.resultado, _xlfn.XLOOKUP(B295&amp;"", 'Registro EMO'!$C$13:$C$4248&amp;"", 'Registro EMO'!$I$13:$I$4248, "NO", 0, -1),
    IF(_xlpm.resultado=0, "NO", _xlpm.resultado)
)</f>
        <v>NO</v>
      </c>
      <c r="Q295" s="11" t="str">
        <f t="shared" ca="1" si="24"/>
        <v>Pendiente</v>
      </c>
      <c r="R295" s="96"/>
      <c r="S295" s="11"/>
      <c r="T295" s="11" t="str">
        <f t="shared" si="25"/>
        <v/>
      </c>
      <c r="U295" s="11"/>
      <c r="V295" s="146"/>
      <c r="W295" s="29"/>
      <c r="X295" s="129"/>
      <c r="Y295" s="11"/>
      <c r="Z295" s="11"/>
      <c r="AA295" s="11"/>
      <c r="AB295" s="11"/>
      <c r="AC295" s="11"/>
      <c r="AD295" s="11"/>
      <c r="AE295" s="11"/>
      <c r="AF295" s="11"/>
      <c r="AG295" s="98"/>
      <c r="AH295" s="11"/>
    </row>
    <row r="296" spans="1:34" x14ac:dyDescent="0.3">
      <c r="A296" s="7" t="str">
        <f t="shared" si="21"/>
        <v>TR-1295</v>
      </c>
      <c r="B296" s="11" t="s">
        <v>1065</v>
      </c>
      <c r="C296" s="141" t="s">
        <v>864</v>
      </c>
      <c r="D296" s="98">
        <v>35762</v>
      </c>
      <c r="E296" s="111">
        <f t="shared" ca="1" si="22"/>
        <v>28</v>
      </c>
      <c r="F296" s="132" t="s">
        <v>762</v>
      </c>
      <c r="G296" s="11" t="s">
        <v>253</v>
      </c>
      <c r="H296" s="140" t="s">
        <v>1218</v>
      </c>
      <c r="I296" s="140" t="s">
        <v>1221</v>
      </c>
      <c r="J296" s="132"/>
      <c r="K296" s="11"/>
      <c r="L296" s="142">
        <v>46054</v>
      </c>
      <c r="M296" s="96" t="str" cm="1">
        <f t="array" ref="M296">_xlfn.XLOOKUP(B296&amp;"", 'Registro EMO'!$C$13:$C$4248&amp;"", 'Registro EMO'!$F$13:$F$4248, "Sin registro", 0, -1)</f>
        <v>Sin registro</v>
      </c>
      <c r="N296" s="11" t="str" cm="1">
        <f t="array" ref="N296">_xlfn.XLOOKUP(B296&amp;"", 'Registro EMO'!$C$13:$C$4248&amp;"", 'Registro EMO'!$E$13:$E$4248, "Sin registro", 0, -1)</f>
        <v>Sin registro</v>
      </c>
      <c r="O296" s="11" t="str">
        <f t="shared" si="23"/>
        <v>NO</v>
      </c>
      <c r="P296" s="130" t="str" cm="1">
        <f t="array" ref="P296">_xlfn.LET(
    _xlpm.resultado, _xlfn.XLOOKUP(B296&amp;"", 'Registro EMO'!$C$13:$C$4248&amp;"", 'Registro EMO'!$I$13:$I$4248, "NO", 0, -1),
    IF(_xlpm.resultado=0, "NO", _xlpm.resultado)
)</f>
        <v>NO</v>
      </c>
      <c r="Q296" s="11" t="str">
        <f t="shared" ca="1" si="24"/>
        <v>Pendiente</v>
      </c>
      <c r="R296" s="96"/>
      <c r="S296" s="11"/>
      <c r="T296" s="11" t="str">
        <f t="shared" si="25"/>
        <v/>
      </c>
      <c r="U296" s="11"/>
      <c r="V296" s="146"/>
      <c r="W296" s="29"/>
      <c r="X296" s="129"/>
      <c r="Y296" s="11"/>
      <c r="Z296" s="11"/>
      <c r="AA296" s="11"/>
      <c r="AB296" s="11"/>
      <c r="AC296" s="11"/>
      <c r="AD296" s="11"/>
      <c r="AE296" s="11"/>
      <c r="AF296" s="11"/>
      <c r="AG296" s="98"/>
      <c r="AH296" s="11"/>
    </row>
    <row r="297" spans="1:34" x14ac:dyDescent="0.3">
      <c r="A297" s="7" t="str">
        <f t="shared" si="21"/>
        <v>TR-1296</v>
      </c>
      <c r="B297" s="11" t="s">
        <v>1066</v>
      </c>
      <c r="C297" s="141" t="s">
        <v>865</v>
      </c>
      <c r="D297" s="98">
        <v>34000</v>
      </c>
      <c r="E297" s="111">
        <f t="shared" ca="1" si="22"/>
        <v>33</v>
      </c>
      <c r="F297" s="132" t="s">
        <v>743</v>
      </c>
      <c r="G297" s="11" t="s">
        <v>253</v>
      </c>
      <c r="H297" s="140" t="s">
        <v>1218</v>
      </c>
      <c r="I297" s="140" t="s">
        <v>1221</v>
      </c>
      <c r="J297" s="132"/>
      <c r="K297" s="11"/>
      <c r="L297" s="142">
        <v>45001</v>
      </c>
      <c r="M297" s="96" t="str" cm="1">
        <f t="array" ref="M297">_xlfn.XLOOKUP(B297&amp;"", 'Registro EMO'!$C$13:$C$4248&amp;"", 'Registro EMO'!$F$13:$F$4248, "Sin registro", 0, -1)</f>
        <v>18/03/2026</v>
      </c>
      <c r="N297" s="11" t="str" cm="1">
        <f t="array" ref="N297">_xlfn.XLOOKUP(B297&amp;"", 'Registro EMO'!$C$13:$C$4248&amp;"", 'Registro EMO'!$E$13:$E$4248, "Sin registro", 0, -1)</f>
        <v>Pre-Ocupacional</v>
      </c>
      <c r="O297" s="11" t="str">
        <f t="shared" si="23"/>
        <v>NO</v>
      </c>
      <c r="P297" s="130" t="str" cm="1">
        <f t="array" ref="P297">_xlfn.LET(
    _xlpm.resultado, _xlfn.XLOOKUP(B297&amp;"", 'Registro EMO'!$C$13:$C$4248&amp;"", 'Registro EMO'!$I$13:$I$4248, "NO", 0, -1),
    IF(_xlpm.resultado=0, "NO", _xlpm.resultado)
)</f>
        <v>NO</v>
      </c>
      <c r="Q297" s="11" t="str">
        <f t="shared" ca="1" si="24"/>
        <v>Vigente</v>
      </c>
      <c r="R297" s="96" t="s">
        <v>1320</v>
      </c>
      <c r="S297" s="11" t="s">
        <v>1232</v>
      </c>
      <c r="T297" s="11" t="str">
        <f t="shared" si="25"/>
        <v>NO</v>
      </c>
      <c r="U297" s="11"/>
      <c r="V297" s="146" t="s">
        <v>126</v>
      </c>
      <c r="W297" s="29"/>
      <c r="X297" s="129"/>
      <c r="Y297" s="11"/>
      <c r="Z297" s="11"/>
      <c r="AA297" s="11"/>
      <c r="AB297" s="11"/>
      <c r="AC297" s="11"/>
      <c r="AD297" s="11"/>
      <c r="AE297" s="11"/>
      <c r="AF297" s="11"/>
      <c r="AG297" s="98"/>
      <c r="AH297" s="11" t="s">
        <v>32</v>
      </c>
    </row>
    <row r="298" spans="1:34" x14ac:dyDescent="0.3">
      <c r="A298" s="7" t="str">
        <f t="shared" si="21"/>
        <v>TR-1297</v>
      </c>
      <c r="B298" s="11" t="s">
        <v>1067</v>
      </c>
      <c r="C298" s="141" t="s">
        <v>866</v>
      </c>
      <c r="D298" s="98">
        <v>31237</v>
      </c>
      <c r="E298" s="111">
        <f t="shared" ca="1" si="22"/>
        <v>40</v>
      </c>
      <c r="F298" s="132" t="s">
        <v>743</v>
      </c>
      <c r="G298" s="11" t="s">
        <v>253</v>
      </c>
      <c r="H298" s="140" t="s">
        <v>1218</v>
      </c>
      <c r="I298" s="140" t="s">
        <v>1221</v>
      </c>
      <c r="J298" s="132"/>
      <c r="K298" s="11"/>
      <c r="L298" s="142">
        <v>45306</v>
      </c>
      <c r="M298" s="96" t="str" cm="1">
        <f t="array" ref="M298">_xlfn.XLOOKUP(B298&amp;"", 'Registro EMO'!$C$13:$C$4248&amp;"", 'Registro EMO'!$F$13:$F$4248, "Sin registro", 0, -1)</f>
        <v>18/02/2026</v>
      </c>
      <c r="N298" s="11" t="str" cm="1">
        <f t="array" ref="N298">_xlfn.XLOOKUP(B298&amp;"", 'Registro EMO'!$C$13:$C$4248&amp;"", 'Registro EMO'!$E$13:$E$4248, "Sin registro", 0, -1)</f>
        <v>Pre-Ocupacional</v>
      </c>
      <c r="O298" s="11" t="str">
        <f t="shared" si="23"/>
        <v>NO</v>
      </c>
      <c r="P298" s="130" t="str" cm="1">
        <f t="array" ref="P298">_xlfn.LET(
    _xlpm.resultado, _xlfn.XLOOKUP(B298&amp;"", 'Registro EMO'!$C$13:$C$4248&amp;"", 'Registro EMO'!$I$13:$I$4248, "NO", 0, -1),
    IF(_xlpm.resultado=0, "NO", _xlpm.resultado)
)</f>
        <v>NO</v>
      </c>
      <c r="Q298" s="11" t="str">
        <f t="shared" ca="1" si="24"/>
        <v>Vigente</v>
      </c>
      <c r="R298" s="96" t="s">
        <v>1321</v>
      </c>
      <c r="S298" s="11" t="s">
        <v>1232</v>
      </c>
      <c r="T298" s="11" t="str">
        <f t="shared" si="25"/>
        <v>NO</v>
      </c>
      <c r="U298" s="11"/>
      <c r="V298" s="146" t="s">
        <v>126</v>
      </c>
      <c r="W298" s="29"/>
      <c r="X298" s="129"/>
      <c r="Y298" s="11"/>
      <c r="Z298" s="11"/>
      <c r="AA298" s="11"/>
      <c r="AB298" s="11"/>
      <c r="AC298" s="11"/>
      <c r="AD298" s="11"/>
      <c r="AE298" s="11"/>
      <c r="AF298" s="11"/>
      <c r="AG298" s="98"/>
      <c r="AH298" s="11" t="s">
        <v>32</v>
      </c>
    </row>
    <row r="299" spans="1:34" x14ac:dyDescent="0.3">
      <c r="A299" s="7" t="str">
        <f t="shared" si="21"/>
        <v>TR-1298</v>
      </c>
      <c r="B299" s="11" t="s">
        <v>1068</v>
      </c>
      <c r="C299" s="141" t="s">
        <v>867</v>
      </c>
      <c r="D299" s="98">
        <v>27185</v>
      </c>
      <c r="E299" s="111">
        <f t="shared" ca="1" si="22"/>
        <v>51</v>
      </c>
      <c r="F299" s="132" t="s">
        <v>743</v>
      </c>
      <c r="G299" s="11" t="s">
        <v>253</v>
      </c>
      <c r="H299" s="140" t="s">
        <v>1218</v>
      </c>
      <c r="I299" s="140" t="s">
        <v>1223</v>
      </c>
      <c r="J299" s="132"/>
      <c r="K299" s="11"/>
      <c r="L299" s="142">
        <v>45627</v>
      </c>
      <c r="M299" s="96" cm="1">
        <f t="array" ref="M299">_xlfn.XLOOKUP(B299&amp;"", 'Registro EMO'!$C$13:$C$4248&amp;"", 'Registro EMO'!$F$13:$F$4248, "Sin registro", 0, -1)</f>
        <v>46335</v>
      </c>
      <c r="N299" s="11" t="str" cm="1">
        <f t="array" ref="N299">_xlfn.XLOOKUP(B299&amp;"", 'Registro EMO'!$C$13:$C$4248&amp;"", 'Registro EMO'!$E$13:$E$4248, "Sin registro", 0, -1)</f>
        <v>Pre-Ocupacional</v>
      </c>
      <c r="O299" s="11" t="str">
        <f t="shared" si="23"/>
        <v>NO</v>
      </c>
      <c r="P299" s="130" t="str" cm="1">
        <f t="array" ref="P299">_xlfn.LET(
    _xlpm.resultado, _xlfn.XLOOKUP(B299&amp;"", 'Registro EMO'!$C$13:$C$4248&amp;"", 'Registro EMO'!$I$13:$I$4248, "NO", 0, -1),
    IF(_xlpm.resultado=0, "NO", _xlpm.resultado)
)</f>
        <v>NO</v>
      </c>
      <c r="Q299" s="11" t="str">
        <f t="shared" ca="1" si="24"/>
        <v>Vigente</v>
      </c>
      <c r="R299" s="96"/>
      <c r="S299" s="11"/>
      <c r="T299" s="11"/>
      <c r="U299" s="11"/>
      <c r="V299" s="11" t="s">
        <v>796</v>
      </c>
      <c r="W299" s="29"/>
      <c r="X299" s="129"/>
      <c r="Y299" s="11"/>
      <c r="Z299" s="11"/>
      <c r="AA299" s="11"/>
      <c r="AB299" s="11"/>
      <c r="AC299" s="11"/>
      <c r="AD299" s="11"/>
      <c r="AE299" s="11"/>
      <c r="AF299" s="11"/>
      <c r="AG299" s="98"/>
      <c r="AH299" s="11" t="s">
        <v>32</v>
      </c>
    </row>
    <row r="300" spans="1:34" x14ac:dyDescent="0.3">
      <c r="A300" s="7" t="str">
        <f t="shared" si="21"/>
        <v>TR-1299</v>
      </c>
      <c r="B300" s="11" t="s">
        <v>1069</v>
      </c>
      <c r="C300" s="141" t="s">
        <v>868</v>
      </c>
      <c r="D300" s="98">
        <v>35695</v>
      </c>
      <c r="E300" s="111">
        <f t="shared" ca="1" si="22"/>
        <v>28</v>
      </c>
      <c r="F300" s="132" t="s">
        <v>762</v>
      </c>
      <c r="G300" s="11" t="s">
        <v>253</v>
      </c>
      <c r="H300" s="140" t="s">
        <v>752</v>
      </c>
      <c r="I300" s="140" t="s">
        <v>753</v>
      </c>
      <c r="J300" s="132"/>
      <c r="K300" s="11"/>
      <c r="L300" s="142">
        <v>44652</v>
      </c>
      <c r="M300" s="96" t="str" cm="1">
        <f t="array" ref="M300">_xlfn.XLOOKUP(B300&amp;"", 'Registro EMO'!$C$13:$C$4248&amp;"", 'Registro EMO'!$F$13:$F$4248, "Sin registro", 0, -1)</f>
        <v>Sin registro</v>
      </c>
      <c r="N300" s="11" t="str" cm="1">
        <f t="array" ref="N300">_xlfn.XLOOKUP(B300&amp;"", 'Registro EMO'!$C$13:$C$4248&amp;"", 'Registro EMO'!$E$13:$E$4248, "Sin registro", 0, -1)</f>
        <v>Sin registro</v>
      </c>
      <c r="O300" s="11" t="str">
        <f t="shared" si="23"/>
        <v>NO</v>
      </c>
      <c r="P300" s="130" t="str" cm="1">
        <f t="array" ref="P300">_xlfn.LET(
    _xlpm.resultado, _xlfn.XLOOKUP(B300&amp;"", 'Registro EMO'!$C$13:$C$4248&amp;"", 'Registro EMO'!$I$13:$I$4248, "NO", 0, -1),
    IF(_xlpm.resultado=0, "NO", _xlpm.resultado)
)</f>
        <v>NO</v>
      </c>
      <c r="Q300" s="11" t="str">
        <f t="shared" ca="1" si="24"/>
        <v>Pendiente</v>
      </c>
      <c r="R300" s="96"/>
      <c r="S300" s="11"/>
      <c r="T300" s="11" t="str">
        <f t="shared" si="25"/>
        <v/>
      </c>
      <c r="U300" s="11"/>
      <c r="V300" s="146"/>
      <c r="W300" s="29"/>
      <c r="X300" s="129"/>
      <c r="Y300" s="11"/>
      <c r="Z300" s="11"/>
      <c r="AA300" s="11"/>
      <c r="AB300" s="11"/>
      <c r="AC300" s="11"/>
      <c r="AD300" s="11"/>
      <c r="AE300" s="11"/>
      <c r="AF300" s="11"/>
      <c r="AG300" s="98"/>
      <c r="AH300" s="11"/>
    </row>
    <row r="301" spans="1:34" x14ac:dyDescent="0.3">
      <c r="A301" s="7" t="str">
        <f t="shared" si="21"/>
        <v>TR-1300</v>
      </c>
      <c r="B301" s="11" t="s">
        <v>1070</v>
      </c>
      <c r="C301" s="141" t="s">
        <v>869</v>
      </c>
      <c r="D301" s="98">
        <v>29951</v>
      </c>
      <c r="E301" s="111">
        <f t="shared" ca="1" si="22"/>
        <v>44</v>
      </c>
      <c r="F301" s="132" t="s">
        <v>762</v>
      </c>
      <c r="G301" s="11" t="s">
        <v>253</v>
      </c>
      <c r="H301" s="140" t="s">
        <v>1218</v>
      </c>
      <c r="I301" s="140" t="s">
        <v>1221</v>
      </c>
      <c r="J301" s="132"/>
      <c r="K301" s="11"/>
      <c r="L301" s="142">
        <v>45597</v>
      </c>
      <c r="M301" s="96" t="str" cm="1">
        <f t="array" ref="M301">_xlfn.XLOOKUP(B301&amp;"", 'Registro EMO'!$C$13:$C$4248&amp;"", 'Registro EMO'!$F$13:$F$4248, "Sin registro", 0, -1)</f>
        <v>20/06/2026</v>
      </c>
      <c r="N301" s="11" t="str" cm="1">
        <f t="array" ref="N301">_xlfn.XLOOKUP(B301&amp;"", 'Registro EMO'!$C$13:$C$4248&amp;"", 'Registro EMO'!$E$13:$E$4248, "Sin registro", 0, -1)</f>
        <v>Pre-Ocupacional</v>
      </c>
      <c r="O301" s="11" t="str">
        <f t="shared" si="23"/>
        <v>NO</v>
      </c>
      <c r="P301" s="130" t="str" cm="1">
        <f t="array" ref="P301">_xlfn.LET(
    _xlpm.resultado, _xlfn.XLOOKUP(B301&amp;"", 'Registro EMO'!$C$13:$C$4248&amp;"", 'Registro EMO'!$I$13:$I$4248, "NO", 0, -1),
    IF(_xlpm.resultado=0, "NO", _xlpm.resultado)
)</f>
        <v>NO</v>
      </c>
      <c r="Q301" s="11" t="str">
        <f t="shared" ca="1" si="24"/>
        <v>Vigente</v>
      </c>
      <c r="R301" s="96" t="s">
        <v>1322</v>
      </c>
      <c r="S301" s="11" t="s">
        <v>1232</v>
      </c>
      <c r="T301" s="11" t="str">
        <f t="shared" si="25"/>
        <v>NO</v>
      </c>
      <c r="U301" s="11"/>
      <c r="V301" s="146" t="s">
        <v>126</v>
      </c>
      <c r="W301" s="29"/>
      <c r="X301" s="129"/>
      <c r="Y301" s="11"/>
      <c r="Z301" s="11"/>
      <c r="AA301" s="11"/>
      <c r="AB301" s="11"/>
      <c r="AC301" s="11"/>
      <c r="AD301" s="11"/>
      <c r="AE301" s="11"/>
      <c r="AF301" s="11"/>
      <c r="AG301" s="98"/>
      <c r="AH301" s="11" t="s">
        <v>32</v>
      </c>
    </row>
    <row r="302" spans="1:34" x14ac:dyDescent="0.3">
      <c r="A302" s="7" t="str">
        <f t="shared" si="21"/>
        <v>TR-1301</v>
      </c>
      <c r="B302" s="11" t="s">
        <v>1071</v>
      </c>
      <c r="C302" s="141" t="s">
        <v>870</v>
      </c>
      <c r="D302" s="98">
        <v>33410</v>
      </c>
      <c r="E302" s="111">
        <f t="shared" ca="1" si="22"/>
        <v>34</v>
      </c>
      <c r="F302" s="132" t="s">
        <v>743</v>
      </c>
      <c r="G302" s="11" t="s">
        <v>253</v>
      </c>
      <c r="H302" s="140" t="s">
        <v>1218</v>
      </c>
      <c r="I302" s="140" t="s">
        <v>1221</v>
      </c>
      <c r="J302" s="132"/>
      <c r="K302" s="11"/>
      <c r="L302" s="142">
        <v>45398</v>
      </c>
      <c r="M302" s="96" t="str" cm="1">
        <f t="array" ref="M302">_xlfn.XLOOKUP(B302&amp;"", 'Registro EMO'!$C$13:$C$4248&amp;"", 'Registro EMO'!$F$13:$F$4248, "Sin registro", 0, -1)</f>
        <v>27/08/2026</v>
      </c>
      <c r="N302" s="11" t="str" cm="1">
        <f t="array" ref="N302">_xlfn.XLOOKUP(B302&amp;"", 'Registro EMO'!$C$13:$C$4248&amp;"", 'Registro EMO'!$E$13:$E$4248, "Sin registro", 0, -1)</f>
        <v>Pre-Ocupacional</v>
      </c>
      <c r="O302" s="11" t="str">
        <f t="shared" si="23"/>
        <v>NO</v>
      </c>
      <c r="P302" s="130" t="str" cm="1">
        <f t="array" ref="P302">_xlfn.LET(
    _xlpm.resultado, _xlfn.XLOOKUP(B302&amp;"", 'Registro EMO'!$C$13:$C$4248&amp;"", 'Registro EMO'!$I$13:$I$4248, "NO", 0, -1),
    IF(_xlpm.resultado=0, "NO", _xlpm.resultado)
)</f>
        <v>NO</v>
      </c>
      <c r="Q302" s="11" t="str">
        <f t="shared" ca="1" si="24"/>
        <v>Vigente</v>
      </c>
      <c r="R302" s="96" t="s">
        <v>1323</v>
      </c>
      <c r="S302" s="11" t="s">
        <v>1232</v>
      </c>
      <c r="T302" s="11" t="str">
        <f t="shared" si="25"/>
        <v>NO</v>
      </c>
      <c r="U302" s="11"/>
      <c r="V302" s="146" t="s">
        <v>126</v>
      </c>
      <c r="W302" s="29"/>
      <c r="X302" s="129"/>
      <c r="Y302" s="11"/>
      <c r="Z302" s="11"/>
      <c r="AA302" s="11"/>
      <c r="AB302" s="11"/>
      <c r="AC302" s="11"/>
      <c r="AD302" s="11"/>
      <c r="AE302" s="11"/>
      <c r="AF302" s="11"/>
      <c r="AG302" s="98"/>
      <c r="AH302" s="11" t="s">
        <v>32</v>
      </c>
    </row>
    <row r="303" spans="1:34" x14ac:dyDescent="0.3">
      <c r="A303" s="7" t="str">
        <f t="shared" si="21"/>
        <v>TR-1302</v>
      </c>
      <c r="B303" s="11" t="s">
        <v>1072</v>
      </c>
      <c r="C303" s="141" t="s">
        <v>871</v>
      </c>
      <c r="D303" s="98">
        <v>33041</v>
      </c>
      <c r="E303" s="111">
        <f t="shared" ca="1" si="22"/>
        <v>35</v>
      </c>
      <c r="F303" s="132" t="s">
        <v>743</v>
      </c>
      <c r="G303" s="11" t="s">
        <v>253</v>
      </c>
      <c r="H303" s="140" t="s">
        <v>1218</v>
      </c>
      <c r="I303" s="140" t="s">
        <v>1221</v>
      </c>
      <c r="J303" s="132"/>
      <c r="K303" s="11"/>
      <c r="L303" s="142">
        <v>45847</v>
      </c>
      <c r="M303" s="96" t="str" cm="1">
        <f t="array" ref="M303">_xlfn.XLOOKUP(B303&amp;"", 'Registro EMO'!$C$13:$C$4248&amp;"", 'Registro EMO'!$F$13:$F$4248, "Sin registro", 0, -1)</f>
        <v>Sin registro</v>
      </c>
      <c r="N303" s="11" t="str" cm="1">
        <f t="array" ref="N303">_xlfn.XLOOKUP(B303&amp;"", 'Registro EMO'!$C$13:$C$4248&amp;"", 'Registro EMO'!$E$13:$E$4248, "Sin registro", 0, -1)</f>
        <v>Sin registro</v>
      </c>
      <c r="O303" s="11" t="str">
        <f t="shared" si="23"/>
        <v>NO</v>
      </c>
      <c r="P303" s="130" t="str" cm="1">
        <f t="array" ref="P303">_xlfn.LET(
    _xlpm.resultado, _xlfn.XLOOKUP(B303&amp;"", 'Registro EMO'!$C$13:$C$4248&amp;"", 'Registro EMO'!$I$13:$I$4248, "NO", 0, -1),
    IF(_xlpm.resultado=0, "NO", _xlpm.resultado)
)</f>
        <v>NO</v>
      </c>
      <c r="Q303" s="11" t="str">
        <f t="shared" ca="1" si="24"/>
        <v>Pendiente</v>
      </c>
      <c r="R303" s="96"/>
      <c r="S303" s="11"/>
      <c r="T303" s="11" t="str">
        <f t="shared" si="25"/>
        <v/>
      </c>
      <c r="U303" s="11"/>
      <c r="V303" s="146"/>
      <c r="W303" s="29"/>
      <c r="X303" s="129"/>
      <c r="Y303" s="11"/>
      <c r="Z303" s="11"/>
      <c r="AA303" s="11"/>
      <c r="AB303" s="11"/>
      <c r="AC303" s="11"/>
      <c r="AD303" s="11"/>
      <c r="AE303" s="11"/>
      <c r="AF303" s="11"/>
      <c r="AG303" s="98"/>
      <c r="AH303" s="11"/>
    </row>
    <row r="304" spans="1:34" x14ac:dyDescent="0.3">
      <c r="A304" s="7" t="str">
        <f t="shared" si="21"/>
        <v>TR-1303</v>
      </c>
      <c r="B304" s="11" t="s">
        <v>1073</v>
      </c>
      <c r="C304" s="141" t="s">
        <v>872</v>
      </c>
      <c r="D304" s="98">
        <v>31100</v>
      </c>
      <c r="E304" s="111">
        <f t="shared" ca="1" si="22"/>
        <v>41</v>
      </c>
      <c r="F304" s="132" t="s">
        <v>762</v>
      </c>
      <c r="G304" s="11" t="s">
        <v>253</v>
      </c>
      <c r="H304" s="140" t="s">
        <v>1218</v>
      </c>
      <c r="I304" s="140" t="s">
        <v>1221</v>
      </c>
      <c r="J304" s="132"/>
      <c r="K304" s="11"/>
      <c r="L304" s="142">
        <v>45627</v>
      </c>
      <c r="M304" s="96" t="str" cm="1">
        <f t="array" ref="M304">_xlfn.XLOOKUP(B304&amp;"", 'Registro EMO'!$C$13:$C$4248&amp;"", 'Registro EMO'!$F$13:$F$4248, "Sin registro", 0, -1)</f>
        <v>24/07/2026</v>
      </c>
      <c r="N304" s="11" t="str" cm="1">
        <f t="array" ref="N304">_xlfn.XLOOKUP(B304&amp;"", 'Registro EMO'!$C$13:$C$4248&amp;"", 'Registro EMO'!$E$13:$E$4248, "Sin registro", 0, -1)</f>
        <v>Pre-Ocupacional</v>
      </c>
      <c r="O304" s="11" t="str">
        <f t="shared" si="23"/>
        <v>NO</v>
      </c>
      <c r="P304" s="130" t="str" cm="1">
        <f t="array" ref="P304">_xlfn.LET(
    _xlpm.resultado, _xlfn.XLOOKUP(B304&amp;"", 'Registro EMO'!$C$13:$C$4248&amp;"", 'Registro EMO'!$I$13:$I$4248, "NO", 0, -1),
    IF(_xlpm.resultado=0, "NO", _xlpm.resultado)
)</f>
        <v>NO</v>
      </c>
      <c r="Q304" s="11" t="str">
        <f t="shared" ca="1" si="24"/>
        <v>Vigente</v>
      </c>
      <c r="R304" s="96" t="s">
        <v>1324</v>
      </c>
      <c r="S304" s="11" t="s">
        <v>1232</v>
      </c>
      <c r="T304" s="11" t="str">
        <f t="shared" si="25"/>
        <v>NO</v>
      </c>
      <c r="U304" s="11"/>
      <c r="V304" s="146" t="s">
        <v>126</v>
      </c>
      <c r="W304" s="29"/>
      <c r="X304" s="129"/>
      <c r="Y304" s="11"/>
      <c r="Z304" s="11"/>
      <c r="AA304" s="11"/>
      <c r="AB304" s="11"/>
      <c r="AC304" s="11"/>
      <c r="AD304" s="11"/>
      <c r="AE304" s="11"/>
      <c r="AF304" s="11"/>
      <c r="AG304" s="98"/>
      <c r="AH304" s="11" t="s">
        <v>32</v>
      </c>
    </row>
    <row r="305" spans="1:34" x14ac:dyDescent="0.3">
      <c r="A305" s="7" t="str">
        <f t="shared" si="21"/>
        <v>TR-1304</v>
      </c>
      <c r="B305" s="11" t="s">
        <v>1074</v>
      </c>
      <c r="C305" s="141" t="s">
        <v>873</v>
      </c>
      <c r="D305" s="98">
        <v>37726</v>
      </c>
      <c r="E305" s="111">
        <f t="shared" ca="1" si="22"/>
        <v>22</v>
      </c>
      <c r="F305" s="132" t="s">
        <v>743</v>
      </c>
      <c r="G305" s="11" t="s">
        <v>253</v>
      </c>
      <c r="H305" s="140" t="s">
        <v>1218</v>
      </c>
      <c r="I305" s="140" t="s">
        <v>1221</v>
      </c>
      <c r="J305" s="132"/>
      <c r="K305" s="11"/>
      <c r="L305" s="142">
        <v>45323</v>
      </c>
      <c r="M305" s="96" cm="1">
        <f t="array" ref="M305">_xlfn.XLOOKUP(B305&amp;"", 'Registro EMO'!$C$13:$C$4248&amp;"", 'Registro EMO'!$F$13:$F$4248, "Sin registro", 0, -1)</f>
        <v>46065</v>
      </c>
      <c r="N305" s="11" t="str" cm="1">
        <f t="array" ref="N305">_xlfn.XLOOKUP(B305&amp;"", 'Registro EMO'!$C$13:$C$4248&amp;"", 'Registro EMO'!$E$13:$E$4248, "Sin registro", 0, -1)</f>
        <v>Pre-Ocupacional</v>
      </c>
      <c r="O305" s="11" t="str">
        <f t="shared" si="23"/>
        <v>NO</v>
      </c>
      <c r="P305" s="130" t="str" cm="1">
        <f t="array" ref="P305">_xlfn.LET(
    _xlpm.resultado, _xlfn.XLOOKUP(B305&amp;"", 'Registro EMO'!$C$13:$C$4248&amp;"", 'Registro EMO'!$I$13:$I$4248, "NO", 0, -1),
    IF(_xlpm.resultado=0, "NO", _xlpm.resultado)
)</f>
        <v>NO</v>
      </c>
      <c r="Q305" s="11" t="str">
        <f t="shared" ca="1" si="24"/>
        <v>Vigente</v>
      </c>
      <c r="R305" s="96"/>
      <c r="S305" s="11"/>
      <c r="T305" s="11"/>
      <c r="U305" s="11"/>
      <c r="V305" s="11" t="s">
        <v>796</v>
      </c>
      <c r="W305" s="29"/>
      <c r="X305" s="129"/>
      <c r="Y305" s="11"/>
      <c r="Z305" s="11"/>
      <c r="AA305" s="11"/>
      <c r="AB305" s="11"/>
      <c r="AC305" s="11"/>
      <c r="AD305" s="11"/>
      <c r="AE305" s="11"/>
      <c r="AF305" s="11"/>
      <c r="AG305" s="98"/>
      <c r="AH305" s="11" t="s">
        <v>32</v>
      </c>
    </row>
    <row r="306" spans="1:34" x14ac:dyDescent="0.3">
      <c r="A306" s="7" t="str">
        <f t="shared" si="21"/>
        <v>TR-1305</v>
      </c>
      <c r="B306" s="11" t="s">
        <v>1075</v>
      </c>
      <c r="C306" s="141" t="s">
        <v>874</v>
      </c>
      <c r="D306" s="98">
        <v>33967</v>
      </c>
      <c r="E306" s="111">
        <f t="shared" ca="1" si="22"/>
        <v>33</v>
      </c>
      <c r="F306" s="132" t="s">
        <v>743</v>
      </c>
      <c r="G306" s="11" t="s">
        <v>253</v>
      </c>
      <c r="H306" s="140" t="s">
        <v>1218</v>
      </c>
      <c r="I306" s="140" t="s">
        <v>1221</v>
      </c>
      <c r="J306" s="132"/>
      <c r="K306" s="11"/>
      <c r="L306" s="142">
        <v>45741</v>
      </c>
      <c r="M306" s="96" t="str" cm="1">
        <f t="array" ref="M306">_xlfn.XLOOKUP(B306&amp;"", 'Registro EMO'!$C$13:$C$4248&amp;"", 'Registro EMO'!$F$13:$F$4248, "Sin registro", 0, -1)</f>
        <v>Sin registro</v>
      </c>
      <c r="N306" s="11" t="str" cm="1">
        <f t="array" ref="N306">_xlfn.XLOOKUP(B306&amp;"", 'Registro EMO'!$C$13:$C$4248&amp;"", 'Registro EMO'!$E$13:$E$4248, "Sin registro", 0, -1)</f>
        <v>Sin registro</v>
      </c>
      <c r="O306" s="11" t="str">
        <f t="shared" si="23"/>
        <v>NO</v>
      </c>
      <c r="P306" s="130" t="str" cm="1">
        <f t="array" ref="P306">_xlfn.LET(
    _xlpm.resultado, _xlfn.XLOOKUP(B306&amp;"", 'Registro EMO'!$C$13:$C$4248&amp;"", 'Registro EMO'!$I$13:$I$4248, "NO", 0, -1),
    IF(_xlpm.resultado=0, "NO", _xlpm.resultado)
)</f>
        <v>NO</v>
      </c>
      <c r="Q306" s="11" t="str">
        <f t="shared" ca="1" si="24"/>
        <v>Pendiente</v>
      </c>
      <c r="R306" s="96"/>
      <c r="S306" s="11"/>
      <c r="T306" s="11" t="str">
        <f t="shared" si="25"/>
        <v/>
      </c>
      <c r="U306" s="11"/>
      <c r="V306" s="146"/>
      <c r="W306" s="29"/>
      <c r="X306" s="129"/>
      <c r="Y306" s="11"/>
      <c r="Z306" s="11"/>
      <c r="AA306" s="11"/>
      <c r="AB306" s="11"/>
      <c r="AC306" s="11"/>
      <c r="AD306" s="11"/>
      <c r="AE306" s="11"/>
      <c r="AF306" s="11"/>
      <c r="AG306" s="98"/>
      <c r="AH306" s="11"/>
    </row>
    <row r="307" spans="1:34" x14ac:dyDescent="0.3">
      <c r="A307" s="7" t="str">
        <f t="shared" si="21"/>
        <v>TR-1306</v>
      </c>
      <c r="B307" s="11" t="s">
        <v>1076</v>
      </c>
      <c r="C307" s="141" t="s">
        <v>875</v>
      </c>
      <c r="D307" s="98">
        <v>36564</v>
      </c>
      <c r="E307" s="111">
        <f t="shared" ca="1" si="22"/>
        <v>26</v>
      </c>
      <c r="F307" s="132" t="s">
        <v>743</v>
      </c>
      <c r="G307" s="11" t="s">
        <v>253</v>
      </c>
      <c r="H307" s="140" t="s">
        <v>1218</v>
      </c>
      <c r="I307" s="140" t="s">
        <v>1221</v>
      </c>
      <c r="J307" s="132"/>
      <c r="K307" s="11"/>
      <c r="L307" s="142">
        <v>46054</v>
      </c>
      <c r="M307" s="96" t="str" cm="1">
        <f t="array" ref="M307">_xlfn.XLOOKUP(B307&amp;"", 'Registro EMO'!$C$13:$C$4248&amp;"", 'Registro EMO'!$F$13:$F$4248, "Sin registro", 0, -1)</f>
        <v>Sin registro</v>
      </c>
      <c r="N307" s="11" t="str" cm="1">
        <f t="array" ref="N307">_xlfn.XLOOKUP(B307&amp;"", 'Registro EMO'!$C$13:$C$4248&amp;"", 'Registro EMO'!$E$13:$E$4248, "Sin registro", 0, -1)</f>
        <v>Sin registro</v>
      </c>
      <c r="O307" s="11" t="str">
        <f t="shared" si="23"/>
        <v>NO</v>
      </c>
      <c r="P307" s="130" t="str" cm="1">
        <f t="array" ref="P307">_xlfn.LET(
    _xlpm.resultado, _xlfn.XLOOKUP(B307&amp;"", 'Registro EMO'!$C$13:$C$4248&amp;"", 'Registro EMO'!$I$13:$I$4248, "NO", 0, -1),
    IF(_xlpm.resultado=0, "NO", _xlpm.resultado)
)</f>
        <v>NO</v>
      </c>
      <c r="Q307" s="11" t="str">
        <f t="shared" ca="1" si="24"/>
        <v>Pendiente</v>
      </c>
      <c r="R307" s="96"/>
      <c r="S307" s="11"/>
      <c r="T307" s="11" t="str">
        <f t="shared" si="25"/>
        <v/>
      </c>
      <c r="U307" s="11"/>
      <c r="V307" s="146"/>
      <c r="W307" s="29"/>
      <c r="X307" s="129"/>
      <c r="Y307" s="11"/>
      <c r="Z307" s="11"/>
      <c r="AA307" s="11"/>
      <c r="AB307" s="11"/>
      <c r="AC307" s="11"/>
      <c r="AD307" s="11"/>
      <c r="AE307" s="11"/>
      <c r="AF307" s="11"/>
      <c r="AG307" s="98"/>
      <c r="AH307" s="11"/>
    </row>
    <row r="308" spans="1:34" x14ac:dyDescent="0.3">
      <c r="A308" s="7" t="str">
        <f t="shared" si="21"/>
        <v>TR-1307</v>
      </c>
      <c r="B308" s="11" t="s">
        <v>1077</v>
      </c>
      <c r="C308" s="141" t="s">
        <v>876</v>
      </c>
      <c r="D308" s="98">
        <v>31781</v>
      </c>
      <c r="E308" s="111">
        <f t="shared" ca="1" si="22"/>
        <v>39</v>
      </c>
      <c r="F308" s="132" t="s">
        <v>762</v>
      </c>
      <c r="G308" s="11" t="s">
        <v>253</v>
      </c>
      <c r="H308" s="140" t="s">
        <v>1218</v>
      </c>
      <c r="I308" s="140" t="s">
        <v>1220</v>
      </c>
      <c r="J308" s="132"/>
      <c r="K308" s="11"/>
      <c r="L308" s="142">
        <v>44013</v>
      </c>
      <c r="M308" s="96" t="str" cm="1">
        <f t="array" ref="M308">_xlfn.XLOOKUP(B308&amp;"", 'Registro EMO'!$C$13:$C$4248&amp;"", 'Registro EMO'!$F$13:$F$4248, "Sin registro", 0, -1)</f>
        <v>23/12/2026</v>
      </c>
      <c r="N308" s="11" t="str" cm="1">
        <f t="array" ref="N308">_xlfn.XLOOKUP(B308&amp;"", 'Registro EMO'!$C$13:$C$4248&amp;"", 'Registro EMO'!$E$13:$E$4248, "Sin registro", 0, -1)</f>
        <v>Pre-Ocupacional</v>
      </c>
      <c r="O308" s="11" t="str">
        <f t="shared" si="23"/>
        <v>NO</v>
      </c>
      <c r="P308" s="130" t="str" cm="1">
        <f t="array" ref="P308">_xlfn.LET(
    _xlpm.resultado, _xlfn.XLOOKUP(B308&amp;"", 'Registro EMO'!$C$13:$C$4248&amp;"", 'Registro EMO'!$I$13:$I$4248, "NO", 0, -1),
    IF(_xlpm.resultado=0, "NO", _xlpm.resultado)
)</f>
        <v>NO</v>
      </c>
      <c r="Q308" s="11" t="str">
        <f t="shared" ca="1" si="24"/>
        <v>Vigente</v>
      </c>
      <c r="R308" s="96" t="s">
        <v>1325</v>
      </c>
      <c r="S308" s="11" t="s">
        <v>1232</v>
      </c>
      <c r="T308" s="11" t="str">
        <f t="shared" si="25"/>
        <v>NO</v>
      </c>
      <c r="U308" s="11"/>
      <c r="V308" s="146" t="s">
        <v>126</v>
      </c>
      <c r="W308" s="29"/>
      <c r="X308" s="129"/>
      <c r="Y308" s="11"/>
      <c r="Z308" s="11"/>
      <c r="AA308" s="11"/>
      <c r="AB308" s="11"/>
      <c r="AC308" s="11"/>
      <c r="AD308" s="11"/>
      <c r="AE308" s="11"/>
      <c r="AF308" s="11"/>
      <c r="AG308" s="98"/>
      <c r="AH308" s="11" t="s">
        <v>32</v>
      </c>
    </row>
    <row r="309" spans="1:34" x14ac:dyDescent="0.3">
      <c r="A309" s="7" t="str">
        <f t="shared" si="21"/>
        <v>TR-1308</v>
      </c>
      <c r="B309" s="11" t="s">
        <v>1078</v>
      </c>
      <c r="C309" s="141" t="s">
        <v>877</v>
      </c>
      <c r="D309" s="98">
        <v>33766</v>
      </c>
      <c r="E309" s="111">
        <f t="shared" ca="1" si="22"/>
        <v>33</v>
      </c>
      <c r="F309" s="132" t="s">
        <v>743</v>
      </c>
      <c r="G309" s="11" t="s">
        <v>253</v>
      </c>
      <c r="H309" s="140" t="s">
        <v>1218</v>
      </c>
      <c r="I309" s="140" t="s">
        <v>1221</v>
      </c>
      <c r="J309" s="132"/>
      <c r="K309" s="11"/>
      <c r="L309" s="142">
        <v>46043</v>
      </c>
      <c r="M309" s="96" t="str" cm="1">
        <f t="array" ref="M309">_xlfn.XLOOKUP(B309&amp;"", 'Registro EMO'!$C$13:$C$4248&amp;"", 'Registro EMO'!$F$13:$F$4248, "Sin registro", 0, -1)</f>
        <v>Sin registro</v>
      </c>
      <c r="N309" s="11" t="str" cm="1">
        <f t="array" ref="N309">_xlfn.XLOOKUP(B309&amp;"", 'Registro EMO'!$C$13:$C$4248&amp;"", 'Registro EMO'!$E$13:$E$4248, "Sin registro", 0, -1)</f>
        <v>Sin registro</v>
      </c>
      <c r="O309" s="11" t="str">
        <f t="shared" si="23"/>
        <v>NO</v>
      </c>
      <c r="P309" s="130" t="str" cm="1">
        <f t="array" ref="P309">_xlfn.LET(
    _xlpm.resultado, _xlfn.XLOOKUP(B309&amp;"", 'Registro EMO'!$C$13:$C$4248&amp;"", 'Registro EMO'!$I$13:$I$4248, "NO", 0, -1),
    IF(_xlpm.resultado=0, "NO", _xlpm.resultado)
)</f>
        <v>NO</v>
      </c>
      <c r="Q309" s="11" t="str">
        <f t="shared" ca="1" si="24"/>
        <v>Pendiente</v>
      </c>
      <c r="R309" s="96"/>
      <c r="S309" s="11"/>
      <c r="T309" s="11" t="str">
        <f t="shared" si="25"/>
        <v/>
      </c>
      <c r="U309" s="11"/>
      <c r="V309" s="146"/>
      <c r="W309" s="29"/>
      <c r="X309" s="129"/>
      <c r="Y309" s="11"/>
      <c r="Z309" s="11"/>
      <c r="AA309" s="11"/>
      <c r="AB309" s="11"/>
      <c r="AC309" s="11"/>
      <c r="AD309" s="11"/>
      <c r="AE309" s="11"/>
      <c r="AF309" s="11"/>
      <c r="AG309" s="98"/>
      <c r="AH309" s="11"/>
    </row>
    <row r="310" spans="1:34" x14ac:dyDescent="0.3">
      <c r="A310" s="7" t="str">
        <f t="shared" si="21"/>
        <v>TR-1309</v>
      </c>
      <c r="B310" s="11" t="s">
        <v>1079</v>
      </c>
      <c r="C310" s="141" t="s">
        <v>878</v>
      </c>
      <c r="D310" s="98">
        <v>32745</v>
      </c>
      <c r="E310" s="111">
        <f t="shared" ca="1" si="22"/>
        <v>36</v>
      </c>
      <c r="F310" s="132" t="s">
        <v>743</v>
      </c>
      <c r="G310" s="11" t="s">
        <v>253</v>
      </c>
      <c r="H310" s="140" t="s">
        <v>1218</v>
      </c>
      <c r="I310" s="140" t="s">
        <v>1220</v>
      </c>
      <c r="J310" s="132"/>
      <c r="K310" s="11"/>
      <c r="L310" s="142">
        <v>45395</v>
      </c>
      <c r="M310" s="96" t="str" cm="1">
        <f t="array" ref="M310">_xlfn.XLOOKUP(B310&amp;"", 'Registro EMO'!$C$13:$C$4248&amp;"", 'Registro EMO'!$F$13:$F$4248, "Sin registro", 0, -1)</f>
        <v>26/05/2026</v>
      </c>
      <c r="N310" s="11" t="str" cm="1">
        <f t="array" ref="N310">_xlfn.XLOOKUP(B310&amp;"", 'Registro EMO'!$C$13:$C$4248&amp;"", 'Registro EMO'!$E$13:$E$4248, "Sin registro", 0, -1)</f>
        <v>Pre-Ocupacional</v>
      </c>
      <c r="O310" s="11" t="str">
        <f t="shared" si="23"/>
        <v>NO</v>
      </c>
      <c r="P310" s="130" t="str" cm="1">
        <f t="array" ref="P310">_xlfn.LET(
    _xlpm.resultado, _xlfn.XLOOKUP(B310&amp;"", 'Registro EMO'!$C$13:$C$4248&amp;"", 'Registro EMO'!$I$13:$I$4248, "NO", 0, -1),
    IF(_xlpm.resultado=0, "NO", _xlpm.resultado)
)</f>
        <v>NO</v>
      </c>
      <c r="Q310" s="11" t="str">
        <f t="shared" ca="1" si="24"/>
        <v>Vigente</v>
      </c>
      <c r="R310" s="96"/>
      <c r="S310" s="11"/>
      <c r="T310" s="11"/>
      <c r="U310" s="11"/>
      <c r="V310" s="11" t="s">
        <v>796</v>
      </c>
      <c r="W310" s="29"/>
      <c r="X310" s="129"/>
      <c r="Y310" s="11"/>
      <c r="Z310" s="11"/>
      <c r="AA310" s="11"/>
      <c r="AB310" s="11"/>
      <c r="AC310" s="11"/>
      <c r="AD310" s="11"/>
      <c r="AE310" s="11"/>
      <c r="AF310" s="11"/>
      <c r="AG310" s="98"/>
      <c r="AH310" s="11" t="s">
        <v>32</v>
      </c>
    </row>
    <row r="311" spans="1:34" x14ac:dyDescent="0.3">
      <c r="A311" s="7" t="str">
        <f t="shared" si="21"/>
        <v>TR-1310</v>
      </c>
      <c r="B311" s="11" t="s">
        <v>1080</v>
      </c>
      <c r="C311" s="141" t="s">
        <v>879</v>
      </c>
      <c r="D311" s="98">
        <v>36102</v>
      </c>
      <c r="E311" s="111">
        <f t="shared" ca="1" si="22"/>
        <v>27</v>
      </c>
      <c r="F311" s="132" t="s">
        <v>743</v>
      </c>
      <c r="G311" s="11" t="s">
        <v>253</v>
      </c>
      <c r="H311" s="140" t="s">
        <v>1218</v>
      </c>
      <c r="I311" s="140" t="s">
        <v>1221</v>
      </c>
      <c r="J311" s="132"/>
      <c r="K311" s="11"/>
      <c r="L311" s="142">
        <v>46030</v>
      </c>
      <c r="M311" s="96" t="str" cm="1">
        <f t="array" ref="M311">_xlfn.XLOOKUP(B311&amp;"", 'Registro EMO'!$C$13:$C$4248&amp;"", 'Registro EMO'!$F$13:$F$4248, "Sin registro", 0, -1)</f>
        <v>Sin registro</v>
      </c>
      <c r="N311" s="11" t="str" cm="1">
        <f t="array" ref="N311">_xlfn.XLOOKUP(B311&amp;"", 'Registro EMO'!$C$13:$C$4248&amp;"", 'Registro EMO'!$E$13:$E$4248, "Sin registro", 0, -1)</f>
        <v>Sin registro</v>
      </c>
      <c r="O311" s="11" t="str">
        <f t="shared" si="23"/>
        <v>NO</v>
      </c>
      <c r="P311" s="130" t="str" cm="1">
        <f t="array" ref="P311">_xlfn.LET(
    _xlpm.resultado, _xlfn.XLOOKUP(B311&amp;"", 'Registro EMO'!$C$13:$C$4248&amp;"", 'Registro EMO'!$I$13:$I$4248, "NO", 0, -1),
    IF(_xlpm.resultado=0, "NO", _xlpm.resultado)
)</f>
        <v>NO</v>
      </c>
      <c r="Q311" s="11" t="str">
        <f t="shared" ca="1" si="24"/>
        <v>Pendiente</v>
      </c>
      <c r="R311" s="96"/>
      <c r="S311" s="11"/>
      <c r="T311" s="11" t="str">
        <f t="shared" si="25"/>
        <v/>
      </c>
      <c r="U311" s="11"/>
      <c r="V311" s="146"/>
      <c r="W311" s="29"/>
      <c r="X311" s="129"/>
      <c r="Y311" s="11"/>
      <c r="Z311" s="11"/>
      <c r="AA311" s="11"/>
      <c r="AB311" s="11"/>
      <c r="AC311" s="11"/>
      <c r="AD311" s="11"/>
      <c r="AE311" s="11"/>
      <c r="AF311" s="11"/>
      <c r="AG311" s="98"/>
      <c r="AH311" s="11"/>
    </row>
    <row r="312" spans="1:34" x14ac:dyDescent="0.3">
      <c r="A312" s="7" t="str">
        <f t="shared" si="21"/>
        <v>TR-1311</v>
      </c>
      <c r="B312" s="11" t="s">
        <v>1081</v>
      </c>
      <c r="C312" s="141" t="s">
        <v>880</v>
      </c>
      <c r="D312" s="98">
        <v>31546</v>
      </c>
      <c r="E312" s="111">
        <f t="shared" ca="1" si="22"/>
        <v>39</v>
      </c>
      <c r="F312" s="132" t="s">
        <v>762</v>
      </c>
      <c r="G312" s="11" t="s">
        <v>253</v>
      </c>
      <c r="H312" s="140" t="s">
        <v>1218</v>
      </c>
      <c r="I312" s="140" t="s">
        <v>1221</v>
      </c>
      <c r="J312" s="132"/>
      <c r="K312" s="11"/>
      <c r="L312" s="142">
        <v>45536</v>
      </c>
      <c r="M312" s="96" t="str" cm="1">
        <f t="array" ref="M312">_xlfn.XLOOKUP(B312&amp;"", 'Registro EMO'!$C$13:$C$4248&amp;"", 'Registro EMO'!$F$13:$F$4248, "Sin registro", 0, -1)</f>
        <v>15/10/2026</v>
      </c>
      <c r="N312" s="11" t="str" cm="1">
        <f t="array" ref="N312">_xlfn.XLOOKUP(B312&amp;"", 'Registro EMO'!$C$13:$C$4248&amp;"", 'Registro EMO'!$E$13:$E$4248, "Sin registro", 0, -1)</f>
        <v>Pre-Ocupacional</v>
      </c>
      <c r="O312" s="11" t="str">
        <f t="shared" si="23"/>
        <v>NO</v>
      </c>
      <c r="P312" s="130" t="str" cm="1">
        <f t="array" ref="P312">_xlfn.LET(
    _xlpm.resultado, _xlfn.XLOOKUP(B312&amp;"", 'Registro EMO'!$C$13:$C$4248&amp;"", 'Registro EMO'!$I$13:$I$4248, "NO", 0, -1),
    IF(_xlpm.resultado=0, "NO", _xlpm.resultado)
)</f>
        <v>NO</v>
      </c>
      <c r="Q312" s="11" t="str">
        <f t="shared" ca="1" si="24"/>
        <v>Vigente</v>
      </c>
      <c r="R312" s="96"/>
      <c r="S312" s="11"/>
      <c r="T312" s="11"/>
      <c r="U312" s="11"/>
      <c r="V312" s="11" t="s">
        <v>796</v>
      </c>
      <c r="W312" s="29"/>
      <c r="X312" s="129"/>
      <c r="Y312" s="11"/>
      <c r="Z312" s="11"/>
      <c r="AA312" s="11"/>
      <c r="AB312" s="11"/>
      <c r="AC312" s="11"/>
      <c r="AD312" s="11"/>
      <c r="AE312" s="11"/>
      <c r="AF312" s="11"/>
      <c r="AG312" s="98"/>
      <c r="AH312" s="11" t="s">
        <v>32</v>
      </c>
    </row>
    <row r="313" spans="1:34" x14ac:dyDescent="0.3">
      <c r="A313" s="7" t="str">
        <f t="shared" si="21"/>
        <v>TR-1312</v>
      </c>
      <c r="B313" s="11" t="s">
        <v>1082</v>
      </c>
      <c r="C313" s="141" t="s">
        <v>881</v>
      </c>
      <c r="D313" s="98">
        <v>33973</v>
      </c>
      <c r="E313" s="111">
        <f t="shared" ca="1" si="22"/>
        <v>33</v>
      </c>
      <c r="F313" s="132" t="s">
        <v>743</v>
      </c>
      <c r="G313" s="11" t="s">
        <v>253</v>
      </c>
      <c r="H313" s="140" t="s">
        <v>1218</v>
      </c>
      <c r="I313" s="140" t="s">
        <v>1221</v>
      </c>
      <c r="J313" s="132"/>
      <c r="K313" s="11"/>
      <c r="L313" s="142">
        <v>46054</v>
      </c>
      <c r="M313" s="96" t="str" cm="1">
        <f t="array" ref="M313">_xlfn.XLOOKUP(B313&amp;"", 'Registro EMO'!$C$13:$C$4248&amp;"", 'Registro EMO'!$F$13:$F$4248, "Sin registro", 0, -1)</f>
        <v>Sin registro</v>
      </c>
      <c r="N313" s="11" t="str" cm="1">
        <f t="array" ref="N313">_xlfn.XLOOKUP(B313&amp;"", 'Registro EMO'!$C$13:$C$4248&amp;"", 'Registro EMO'!$E$13:$E$4248, "Sin registro", 0, -1)</f>
        <v>Sin registro</v>
      </c>
      <c r="O313" s="11" t="str">
        <f t="shared" si="23"/>
        <v>NO</v>
      </c>
      <c r="P313" s="130" t="str" cm="1">
        <f t="array" ref="P313">_xlfn.LET(
    _xlpm.resultado, _xlfn.XLOOKUP(B313&amp;"", 'Registro EMO'!$C$13:$C$4248&amp;"", 'Registro EMO'!$I$13:$I$4248, "NO", 0, -1),
    IF(_xlpm.resultado=0, "NO", _xlpm.resultado)
)</f>
        <v>NO</v>
      </c>
      <c r="Q313" s="11" t="str">
        <f t="shared" ca="1" si="24"/>
        <v>Pendiente</v>
      </c>
      <c r="R313" s="96"/>
      <c r="S313" s="11"/>
      <c r="T313" s="11" t="str">
        <f t="shared" si="25"/>
        <v/>
      </c>
      <c r="U313" s="11"/>
      <c r="V313" s="146"/>
      <c r="W313" s="29"/>
      <c r="X313" s="129"/>
      <c r="Y313" s="11"/>
      <c r="Z313" s="11"/>
      <c r="AA313" s="11"/>
      <c r="AB313" s="11"/>
      <c r="AC313" s="11"/>
      <c r="AD313" s="11"/>
      <c r="AE313" s="11"/>
      <c r="AF313" s="11"/>
      <c r="AG313" s="98"/>
      <c r="AH313" s="11"/>
    </row>
    <row r="314" spans="1:34" x14ac:dyDescent="0.3">
      <c r="A314" s="7" t="str">
        <f t="shared" si="21"/>
        <v>TR-1313</v>
      </c>
      <c r="B314" s="11" t="s">
        <v>1083</v>
      </c>
      <c r="C314" s="141" t="s">
        <v>882</v>
      </c>
      <c r="D314" s="98">
        <v>35551</v>
      </c>
      <c r="E314" s="111">
        <f t="shared" ca="1" si="22"/>
        <v>28</v>
      </c>
      <c r="F314" s="132" t="s">
        <v>743</v>
      </c>
      <c r="G314" s="11" t="s">
        <v>253</v>
      </c>
      <c r="H314" s="140" t="s">
        <v>1218</v>
      </c>
      <c r="I314" s="140" t="s">
        <v>1220</v>
      </c>
      <c r="J314" s="132"/>
      <c r="K314" s="11"/>
      <c r="L314" s="142">
        <v>45778</v>
      </c>
      <c r="M314" s="96" t="str" cm="1">
        <f t="array" ref="M314">_xlfn.XLOOKUP(B314&amp;"", 'Registro EMO'!$C$13:$C$4248&amp;"", 'Registro EMO'!$F$13:$F$4248, "Sin registro", 0, -1)</f>
        <v>Sin registro</v>
      </c>
      <c r="N314" s="11" t="str" cm="1">
        <f t="array" ref="N314">_xlfn.XLOOKUP(B314&amp;"", 'Registro EMO'!$C$13:$C$4248&amp;"", 'Registro EMO'!$E$13:$E$4248, "Sin registro", 0, -1)</f>
        <v>Sin registro</v>
      </c>
      <c r="O314" s="11" t="str">
        <f t="shared" si="23"/>
        <v>NO</v>
      </c>
      <c r="P314" s="130" t="str" cm="1">
        <f t="array" ref="P314">_xlfn.LET(
    _xlpm.resultado, _xlfn.XLOOKUP(B314&amp;"", 'Registro EMO'!$C$13:$C$4248&amp;"", 'Registro EMO'!$I$13:$I$4248, "NO", 0, -1),
    IF(_xlpm.resultado=0, "NO", _xlpm.resultado)
)</f>
        <v>NO</v>
      </c>
      <c r="Q314" s="11" t="str">
        <f t="shared" ca="1" si="24"/>
        <v>Pendiente</v>
      </c>
      <c r="R314" s="96"/>
      <c r="S314" s="11"/>
      <c r="T314" s="11" t="str">
        <f t="shared" si="25"/>
        <v/>
      </c>
      <c r="U314" s="11"/>
      <c r="V314" s="146"/>
      <c r="W314" s="29"/>
      <c r="X314" s="129"/>
      <c r="Y314" s="11"/>
      <c r="Z314" s="11"/>
      <c r="AA314" s="11"/>
      <c r="AB314" s="11"/>
      <c r="AC314" s="11"/>
      <c r="AD314" s="11"/>
      <c r="AE314" s="11"/>
      <c r="AF314" s="11"/>
      <c r="AG314" s="98"/>
      <c r="AH314" s="11"/>
    </row>
    <row r="315" spans="1:34" x14ac:dyDescent="0.3">
      <c r="A315" s="7" t="str">
        <f t="shared" si="21"/>
        <v>TR-1314</v>
      </c>
      <c r="B315" s="11" t="s">
        <v>1084</v>
      </c>
      <c r="C315" s="141" t="s">
        <v>883</v>
      </c>
      <c r="D315" s="98">
        <v>34304</v>
      </c>
      <c r="E315" s="111">
        <f t="shared" ca="1" si="22"/>
        <v>32</v>
      </c>
      <c r="F315" s="132" t="s">
        <v>762</v>
      </c>
      <c r="G315" s="11" t="s">
        <v>253</v>
      </c>
      <c r="H315" s="140" t="s">
        <v>1218</v>
      </c>
      <c r="I315" s="140" t="s">
        <v>1221</v>
      </c>
      <c r="J315" s="132"/>
      <c r="K315" s="11"/>
      <c r="L315" s="142">
        <v>45885</v>
      </c>
      <c r="M315" s="96" t="str" cm="1">
        <f t="array" ref="M315">_xlfn.XLOOKUP(B315&amp;"", 'Registro EMO'!$C$13:$C$4248&amp;"", 'Registro EMO'!$F$13:$F$4248, "Sin registro", 0, -1)</f>
        <v>Sin registro</v>
      </c>
      <c r="N315" s="11" t="str" cm="1">
        <f t="array" ref="N315">_xlfn.XLOOKUP(B315&amp;"", 'Registro EMO'!$C$13:$C$4248&amp;"", 'Registro EMO'!$E$13:$E$4248, "Sin registro", 0, -1)</f>
        <v>Sin registro</v>
      </c>
      <c r="O315" s="11" t="str">
        <f t="shared" si="23"/>
        <v>NO</v>
      </c>
      <c r="P315" s="130" t="str" cm="1">
        <f t="array" ref="P315">_xlfn.LET(
    _xlpm.resultado, _xlfn.XLOOKUP(B315&amp;"", 'Registro EMO'!$C$13:$C$4248&amp;"", 'Registro EMO'!$I$13:$I$4248, "NO", 0, -1),
    IF(_xlpm.resultado=0, "NO", _xlpm.resultado)
)</f>
        <v>NO</v>
      </c>
      <c r="Q315" s="11" t="str">
        <f t="shared" ca="1" si="24"/>
        <v>Pendiente</v>
      </c>
      <c r="R315" s="96"/>
      <c r="S315" s="11"/>
      <c r="T315" s="11" t="str">
        <f t="shared" si="25"/>
        <v/>
      </c>
      <c r="U315" s="11"/>
      <c r="V315" s="146"/>
      <c r="W315" s="29"/>
      <c r="X315" s="129"/>
      <c r="Y315" s="11"/>
      <c r="Z315" s="11"/>
      <c r="AA315" s="11"/>
      <c r="AB315" s="11"/>
      <c r="AC315" s="11"/>
      <c r="AD315" s="11"/>
      <c r="AE315" s="11"/>
      <c r="AF315" s="11"/>
      <c r="AG315" s="98"/>
      <c r="AH315" s="11"/>
    </row>
    <row r="316" spans="1:34" x14ac:dyDescent="0.3">
      <c r="A316" s="7" t="str">
        <f t="shared" si="21"/>
        <v>TR-1315</v>
      </c>
      <c r="B316" s="11" t="s">
        <v>1085</v>
      </c>
      <c r="C316" s="141" t="s">
        <v>884</v>
      </c>
      <c r="D316" s="98">
        <v>33142</v>
      </c>
      <c r="E316" s="111">
        <f t="shared" ca="1" si="22"/>
        <v>35</v>
      </c>
      <c r="F316" s="132" t="s">
        <v>762</v>
      </c>
      <c r="G316" s="11" t="s">
        <v>253</v>
      </c>
      <c r="H316" s="140" t="s">
        <v>1218</v>
      </c>
      <c r="I316" s="140" t="s">
        <v>1221</v>
      </c>
      <c r="J316" s="132"/>
      <c r="K316" s="11"/>
      <c r="L316" s="142">
        <v>45323</v>
      </c>
      <c r="M316" s="96" t="str" cm="1">
        <f t="array" ref="M316">_xlfn.XLOOKUP(B316&amp;"", 'Registro EMO'!$C$13:$C$4248&amp;"", 'Registro EMO'!$F$13:$F$4248, "Sin registro", 0, -1)</f>
        <v>22/02/2026</v>
      </c>
      <c r="N316" s="11" t="str" cm="1">
        <f t="array" ref="N316">_xlfn.XLOOKUP(B316&amp;"", 'Registro EMO'!$C$13:$C$4248&amp;"", 'Registro EMO'!$E$13:$E$4248, "Sin registro", 0, -1)</f>
        <v>Pre-Ocupacional</v>
      </c>
      <c r="O316" s="11" t="str">
        <f t="shared" si="23"/>
        <v>NO</v>
      </c>
      <c r="P316" s="130" t="str" cm="1">
        <f t="array" ref="P316">_xlfn.LET(
    _xlpm.resultado, _xlfn.XLOOKUP(B316&amp;"", 'Registro EMO'!$C$13:$C$4248&amp;"", 'Registro EMO'!$I$13:$I$4248, "NO", 0, -1),
    IF(_xlpm.resultado=0, "NO", _xlpm.resultado)
)</f>
        <v>NO</v>
      </c>
      <c r="Q316" s="11" t="str">
        <f t="shared" ca="1" si="24"/>
        <v>Vigente</v>
      </c>
      <c r="R316" s="96"/>
      <c r="S316" s="11"/>
      <c r="T316" s="11"/>
      <c r="U316" s="11"/>
      <c r="V316" s="11" t="s">
        <v>796</v>
      </c>
      <c r="W316" s="29"/>
      <c r="X316" s="129"/>
      <c r="Y316" s="11"/>
      <c r="Z316" s="11"/>
      <c r="AA316" s="11"/>
      <c r="AB316" s="11"/>
      <c r="AC316" s="11"/>
      <c r="AD316" s="11"/>
      <c r="AE316" s="11"/>
      <c r="AF316" s="11"/>
      <c r="AG316" s="98"/>
      <c r="AH316" s="11" t="s">
        <v>32</v>
      </c>
    </row>
    <row r="317" spans="1:34" x14ac:dyDescent="0.3">
      <c r="A317" s="7" t="str">
        <f t="shared" si="21"/>
        <v>TR-1316</v>
      </c>
      <c r="B317" s="11" t="s">
        <v>1086</v>
      </c>
      <c r="C317" s="141" t="s">
        <v>885</v>
      </c>
      <c r="D317" s="98">
        <v>34814</v>
      </c>
      <c r="E317" s="111">
        <f t="shared" ca="1" si="22"/>
        <v>30</v>
      </c>
      <c r="F317" s="132" t="s">
        <v>762</v>
      </c>
      <c r="G317" s="11" t="s">
        <v>253</v>
      </c>
      <c r="H317" s="140" t="s">
        <v>1218</v>
      </c>
      <c r="I317" s="140" t="s">
        <v>1221</v>
      </c>
      <c r="J317" s="132"/>
      <c r="K317" s="11"/>
      <c r="L317" s="142">
        <v>46037</v>
      </c>
      <c r="M317" s="96" t="str" cm="1">
        <f t="array" ref="M317">_xlfn.XLOOKUP(B317&amp;"", 'Registro EMO'!$C$13:$C$4248&amp;"", 'Registro EMO'!$F$13:$F$4248, "Sin registro", 0, -1)</f>
        <v>Sin registro</v>
      </c>
      <c r="N317" s="11" t="str" cm="1">
        <f t="array" ref="N317">_xlfn.XLOOKUP(B317&amp;"", 'Registro EMO'!$C$13:$C$4248&amp;"", 'Registro EMO'!$E$13:$E$4248, "Sin registro", 0, -1)</f>
        <v>Sin registro</v>
      </c>
      <c r="O317" s="11" t="str">
        <f t="shared" si="23"/>
        <v>NO</v>
      </c>
      <c r="P317" s="130" t="str" cm="1">
        <f t="array" ref="P317">_xlfn.LET(
    _xlpm.resultado, _xlfn.XLOOKUP(B317&amp;"", 'Registro EMO'!$C$13:$C$4248&amp;"", 'Registro EMO'!$I$13:$I$4248, "NO", 0, -1),
    IF(_xlpm.resultado=0, "NO", _xlpm.resultado)
)</f>
        <v>NO</v>
      </c>
      <c r="Q317" s="11" t="str">
        <f t="shared" ca="1" si="24"/>
        <v>Pendiente</v>
      </c>
      <c r="R317" s="96"/>
      <c r="S317" s="11"/>
      <c r="T317" s="11" t="str">
        <f t="shared" si="25"/>
        <v/>
      </c>
      <c r="U317" s="11"/>
      <c r="V317" s="146"/>
      <c r="W317" s="29"/>
      <c r="X317" s="129"/>
      <c r="Y317" s="11"/>
      <c r="Z317" s="11"/>
      <c r="AA317" s="11"/>
      <c r="AB317" s="11"/>
      <c r="AC317" s="11"/>
      <c r="AD317" s="11"/>
      <c r="AE317" s="11"/>
      <c r="AF317" s="11"/>
      <c r="AG317" s="98"/>
      <c r="AH317" s="11"/>
    </row>
    <row r="318" spans="1:34" x14ac:dyDescent="0.3">
      <c r="A318" s="7" t="str">
        <f t="shared" si="21"/>
        <v>TR-1317</v>
      </c>
      <c r="B318" s="11" t="s">
        <v>1087</v>
      </c>
      <c r="C318" s="141" t="s">
        <v>886</v>
      </c>
      <c r="D318" s="98">
        <v>34343</v>
      </c>
      <c r="E318" s="111">
        <f t="shared" ca="1" si="22"/>
        <v>32</v>
      </c>
      <c r="F318" s="132" t="s">
        <v>743</v>
      </c>
      <c r="G318" s="11" t="s">
        <v>253</v>
      </c>
      <c r="H318" s="140" t="s">
        <v>765</v>
      </c>
      <c r="I318" s="140" t="s">
        <v>766</v>
      </c>
      <c r="J318" s="132"/>
      <c r="K318" s="11"/>
      <c r="L318" s="142">
        <v>45839</v>
      </c>
      <c r="M318" s="96" t="str" cm="1">
        <f t="array" ref="M318">_xlfn.XLOOKUP(B318&amp;"", 'Registro EMO'!$C$13:$C$4248&amp;"", 'Registro EMO'!$F$13:$F$4248, "Sin registro", 0, -1)</f>
        <v>Sin registro</v>
      </c>
      <c r="N318" s="11" t="str" cm="1">
        <f t="array" ref="N318">_xlfn.XLOOKUP(B318&amp;"", 'Registro EMO'!$C$13:$C$4248&amp;"", 'Registro EMO'!$E$13:$E$4248, "Sin registro", 0, -1)</f>
        <v>Sin registro</v>
      </c>
      <c r="O318" s="11" t="str">
        <f t="shared" si="23"/>
        <v>NO</v>
      </c>
      <c r="P318" s="130" t="str" cm="1">
        <f t="array" ref="P318">_xlfn.LET(
    _xlpm.resultado, _xlfn.XLOOKUP(B318&amp;"", 'Registro EMO'!$C$13:$C$4248&amp;"", 'Registro EMO'!$I$13:$I$4248, "NO", 0, -1),
    IF(_xlpm.resultado=0, "NO", _xlpm.resultado)
)</f>
        <v>NO</v>
      </c>
      <c r="Q318" s="11" t="str">
        <f t="shared" ca="1" si="24"/>
        <v>Pendiente</v>
      </c>
      <c r="R318" s="96"/>
      <c r="S318" s="11"/>
      <c r="T318" s="11" t="str">
        <f t="shared" si="25"/>
        <v/>
      </c>
      <c r="U318" s="11"/>
      <c r="V318" s="146"/>
      <c r="W318" s="29"/>
      <c r="X318" s="129"/>
      <c r="Y318" s="11"/>
      <c r="Z318" s="11"/>
      <c r="AA318" s="11"/>
      <c r="AB318" s="11"/>
      <c r="AC318" s="11"/>
      <c r="AD318" s="11"/>
      <c r="AE318" s="11"/>
      <c r="AF318" s="11"/>
      <c r="AG318" s="98"/>
      <c r="AH318" s="11"/>
    </row>
    <row r="319" spans="1:34" x14ac:dyDescent="0.3">
      <c r="A319" s="7" t="str">
        <f t="shared" si="21"/>
        <v>TR-1318</v>
      </c>
      <c r="B319" s="11" t="s">
        <v>1088</v>
      </c>
      <c r="C319" s="141" t="s">
        <v>887</v>
      </c>
      <c r="D319" s="98">
        <v>36165</v>
      </c>
      <c r="E319" s="111">
        <f t="shared" ca="1" si="22"/>
        <v>27</v>
      </c>
      <c r="F319" s="132" t="s">
        <v>743</v>
      </c>
      <c r="G319" s="11" t="s">
        <v>253</v>
      </c>
      <c r="H319" s="140" t="s">
        <v>1218</v>
      </c>
      <c r="I319" s="140" t="s">
        <v>1221</v>
      </c>
      <c r="J319" s="132"/>
      <c r="K319" s="11"/>
      <c r="L319" s="142">
        <v>46023</v>
      </c>
      <c r="M319" s="96" t="str" cm="1">
        <f t="array" ref="M319">_xlfn.XLOOKUP(B319&amp;"", 'Registro EMO'!$C$13:$C$4248&amp;"", 'Registro EMO'!$F$13:$F$4248, "Sin registro", 0, -1)</f>
        <v>20/04/2026</v>
      </c>
      <c r="N319" s="11" t="str" cm="1">
        <f t="array" ref="N319">_xlfn.XLOOKUP(B319&amp;"", 'Registro EMO'!$C$13:$C$4248&amp;"", 'Registro EMO'!$E$13:$E$4248, "Sin registro", 0, -1)</f>
        <v>Pre-Ocupacional</v>
      </c>
      <c r="O319" s="11" t="str">
        <f t="shared" si="23"/>
        <v>NO</v>
      </c>
      <c r="P319" s="130" t="str" cm="1">
        <f t="array" ref="P319">_xlfn.LET(
    _xlpm.resultado, _xlfn.XLOOKUP(B319&amp;"", 'Registro EMO'!$C$13:$C$4248&amp;"", 'Registro EMO'!$I$13:$I$4248, "NO", 0, -1),
    IF(_xlpm.resultado=0, "NO", _xlpm.resultado)
)</f>
        <v>NO</v>
      </c>
      <c r="Q319" s="11" t="str">
        <f t="shared" ca="1" si="24"/>
        <v>Vigente</v>
      </c>
      <c r="R319" s="96" t="s">
        <v>1326</v>
      </c>
      <c r="S319" s="11" t="s">
        <v>1232</v>
      </c>
      <c r="T319" s="11" t="str">
        <f t="shared" si="25"/>
        <v>NO</v>
      </c>
      <c r="U319" s="11"/>
      <c r="V319" s="146" t="s">
        <v>126</v>
      </c>
      <c r="W319" s="29"/>
      <c r="X319" s="129"/>
      <c r="Y319" s="11"/>
      <c r="Z319" s="11"/>
      <c r="AA319" s="11"/>
      <c r="AB319" s="11"/>
      <c r="AC319" s="11"/>
      <c r="AD319" s="11"/>
      <c r="AE319" s="11"/>
      <c r="AF319" s="11"/>
      <c r="AG319" s="98"/>
      <c r="AH319" s="11" t="s">
        <v>32</v>
      </c>
    </row>
    <row r="320" spans="1:34" x14ac:dyDescent="0.3">
      <c r="A320" s="7" t="str">
        <f t="shared" si="21"/>
        <v>TR-1319</v>
      </c>
      <c r="B320" s="11" t="s">
        <v>1089</v>
      </c>
      <c r="C320" s="141" t="s">
        <v>888</v>
      </c>
      <c r="D320" s="98">
        <v>34082</v>
      </c>
      <c r="E320" s="111">
        <f t="shared" ca="1" si="22"/>
        <v>32</v>
      </c>
      <c r="F320" s="132" t="s">
        <v>743</v>
      </c>
      <c r="G320" s="11" t="s">
        <v>253</v>
      </c>
      <c r="H320" s="140" t="s">
        <v>1218</v>
      </c>
      <c r="I320" s="140" t="s">
        <v>1221</v>
      </c>
      <c r="J320" s="132"/>
      <c r="K320" s="11"/>
      <c r="L320" s="142">
        <v>45835</v>
      </c>
      <c r="M320" s="96" t="str" cm="1">
        <f t="array" ref="M320">_xlfn.XLOOKUP(B320&amp;"", 'Registro EMO'!$C$13:$C$4248&amp;"", 'Registro EMO'!$F$13:$F$4248, "Sin registro", 0, -1)</f>
        <v>Sin registro</v>
      </c>
      <c r="N320" s="11" t="str" cm="1">
        <f t="array" ref="N320">_xlfn.XLOOKUP(B320&amp;"", 'Registro EMO'!$C$13:$C$4248&amp;"", 'Registro EMO'!$E$13:$E$4248, "Sin registro", 0, -1)</f>
        <v>Sin registro</v>
      </c>
      <c r="O320" s="11" t="str">
        <f t="shared" si="23"/>
        <v>NO</v>
      </c>
      <c r="P320" s="130" t="str" cm="1">
        <f t="array" ref="P320">_xlfn.LET(
    _xlpm.resultado, _xlfn.XLOOKUP(B320&amp;"", 'Registro EMO'!$C$13:$C$4248&amp;"", 'Registro EMO'!$I$13:$I$4248, "NO", 0, -1),
    IF(_xlpm.resultado=0, "NO", _xlpm.resultado)
)</f>
        <v>NO</v>
      </c>
      <c r="Q320" s="11" t="str">
        <f t="shared" ca="1" si="24"/>
        <v>Pendiente</v>
      </c>
      <c r="R320" s="96"/>
      <c r="S320" s="11"/>
      <c r="T320" s="11" t="str">
        <f t="shared" si="25"/>
        <v/>
      </c>
      <c r="U320" s="11"/>
      <c r="V320" s="146"/>
      <c r="W320" s="29"/>
      <c r="X320" s="129"/>
      <c r="Y320" s="11"/>
      <c r="Z320" s="11"/>
      <c r="AA320" s="11"/>
      <c r="AB320" s="11"/>
      <c r="AC320" s="11"/>
      <c r="AD320" s="11"/>
      <c r="AE320" s="11"/>
      <c r="AF320" s="11"/>
      <c r="AG320" s="98"/>
      <c r="AH320" s="11"/>
    </row>
    <row r="321" spans="1:34" x14ac:dyDescent="0.3">
      <c r="A321" s="7" t="str">
        <f t="shared" si="21"/>
        <v>TR-1320</v>
      </c>
      <c r="B321" s="11" t="s">
        <v>1090</v>
      </c>
      <c r="C321" s="141" t="s">
        <v>889</v>
      </c>
      <c r="D321" s="98">
        <v>34593</v>
      </c>
      <c r="E321" s="111">
        <f t="shared" ca="1" si="22"/>
        <v>31</v>
      </c>
      <c r="F321" s="132" t="s">
        <v>743</v>
      </c>
      <c r="G321" s="11" t="s">
        <v>253</v>
      </c>
      <c r="H321" s="140" t="s">
        <v>1218</v>
      </c>
      <c r="I321" s="140" t="s">
        <v>1221</v>
      </c>
      <c r="J321" s="132"/>
      <c r="K321" s="11"/>
      <c r="L321" s="142">
        <v>45778</v>
      </c>
      <c r="M321" s="96" t="str" cm="1">
        <f t="array" ref="M321">_xlfn.XLOOKUP(B321&amp;"", 'Registro EMO'!$C$13:$C$4248&amp;"", 'Registro EMO'!$F$13:$F$4248, "Sin registro", 0, -1)</f>
        <v>Sin registro</v>
      </c>
      <c r="N321" s="11" t="str" cm="1">
        <f t="array" ref="N321">_xlfn.XLOOKUP(B321&amp;"", 'Registro EMO'!$C$13:$C$4248&amp;"", 'Registro EMO'!$E$13:$E$4248, "Sin registro", 0, -1)</f>
        <v>Sin registro</v>
      </c>
      <c r="O321" s="11" t="str">
        <f t="shared" si="23"/>
        <v>NO</v>
      </c>
      <c r="P321" s="130" t="str" cm="1">
        <f t="array" ref="P321">_xlfn.LET(
    _xlpm.resultado, _xlfn.XLOOKUP(B321&amp;"", 'Registro EMO'!$C$13:$C$4248&amp;"", 'Registro EMO'!$I$13:$I$4248, "NO", 0, -1),
    IF(_xlpm.resultado=0, "NO", _xlpm.resultado)
)</f>
        <v>NO</v>
      </c>
      <c r="Q321" s="11" t="str">
        <f t="shared" ca="1" si="24"/>
        <v>Pendiente</v>
      </c>
      <c r="R321" s="96"/>
      <c r="S321" s="11"/>
      <c r="T321" s="11" t="str">
        <f t="shared" si="25"/>
        <v/>
      </c>
      <c r="U321" s="11"/>
      <c r="V321" s="146"/>
      <c r="W321" s="29"/>
      <c r="X321" s="129"/>
      <c r="Y321" s="11"/>
      <c r="Z321" s="11"/>
      <c r="AA321" s="11"/>
      <c r="AB321" s="11"/>
      <c r="AC321" s="11"/>
      <c r="AD321" s="11"/>
      <c r="AE321" s="11"/>
      <c r="AF321" s="11"/>
      <c r="AG321" s="98"/>
      <c r="AH321" s="11"/>
    </row>
    <row r="322" spans="1:34" x14ac:dyDescent="0.3">
      <c r="A322" s="7" t="str">
        <f t="shared" ref="A322:A385" si="26">IF(B322&lt;&gt;"", "TR-" &amp; TEXT(1000 + ROW(A322) - 1, "0000"), "")</f>
        <v>TR-1321</v>
      </c>
      <c r="B322" s="11" t="s">
        <v>1091</v>
      </c>
      <c r="C322" s="141" t="s">
        <v>890</v>
      </c>
      <c r="D322" s="98">
        <v>35575</v>
      </c>
      <c r="E322" s="111">
        <f t="shared" ref="E322:E385" ca="1" si="27">IF(D322&lt;&gt;"", DATEDIF(D322, TODAY(), "y"), "")</f>
        <v>28</v>
      </c>
      <c r="F322" s="132" t="s">
        <v>762</v>
      </c>
      <c r="G322" s="11" t="s">
        <v>253</v>
      </c>
      <c r="H322" s="140" t="s">
        <v>1218</v>
      </c>
      <c r="I322" s="140" t="s">
        <v>1219</v>
      </c>
      <c r="J322" s="132"/>
      <c r="K322" s="11"/>
      <c r="L322" s="142">
        <v>44013</v>
      </c>
      <c r="M322" s="96" t="str" cm="1">
        <f t="array" ref="M322">_xlfn.XLOOKUP(B322&amp;"", 'Registro EMO'!$C$13:$C$4248&amp;"", 'Registro EMO'!$F$13:$F$4248, "Sin registro", 0, -1)</f>
        <v>17/06/2026</v>
      </c>
      <c r="N322" s="11" t="str" cm="1">
        <f t="array" ref="N322">_xlfn.XLOOKUP(B322&amp;"", 'Registro EMO'!$C$13:$C$4248&amp;"", 'Registro EMO'!$E$13:$E$4248, "Sin registro", 0, -1)</f>
        <v>Pre-Ocupacional</v>
      </c>
      <c r="O322" s="11" t="str">
        <f t="shared" ref="O322:O385" si="28">IF(P322="NO", "NO", "SI")</f>
        <v>NO</v>
      </c>
      <c r="P322" s="130" t="str" cm="1">
        <f t="array" ref="P322">_xlfn.LET(
    _xlpm.resultado, _xlfn.XLOOKUP(B322&amp;"", 'Registro EMO'!$C$13:$C$4248&amp;"", 'Registro EMO'!$I$13:$I$4248, "NO", 0, -1),
    IF(_xlpm.resultado=0, "NO", _xlpm.resultado)
)</f>
        <v>NO</v>
      </c>
      <c r="Q322" s="11" t="str">
        <f t="shared" ref="Q322:Q385" ca="1" si="29">IF(M322="Sin registro", "Pendiente", IF(EDATE(M322, IF(K322="Oficina", 24, 12)) &gt;= TODAY(), "Vigente", "Vencido"))</f>
        <v>Vigente</v>
      </c>
      <c r="R322" s="96" t="s">
        <v>1327</v>
      </c>
      <c r="S322" s="11" t="s">
        <v>1232</v>
      </c>
      <c r="T322" s="11" t="str">
        <f t="shared" ref="T322:T385" si="30">IF(R322="", "", IF(U322="", "NO", "SI"))</f>
        <v>NO</v>
      </c>
      <c r="U322" s="11"/>
      <c r="V322" s="146" t="s">
        <v>126</v>
      </c>
      <c r="W322" s="29"/>
      <c r="X322" s="129"/>
      <c r="Y322" s="11"/>
      <c r="Z322" s="11"/>
      <c r="AA322" s="11"/>
      <c r="AB322" s="11"/>
      <c r="AC322" s="11"/>
      <c r="AD322" s="11"/>
      <c r="AE322" s="11"/>
      <c r="AF322" s="11"/>
      <c r="AG322" s="98"/>
      <c r="AH322" s="11" t="s">
        <v>32</v>
      </c>
    </row>
    <row r="323" spans="1:34" x14ac:dyDescent="0.3">
      <c r="A323" s="7" t="str">
        <f t="shared" si="26"/>
        <v>TR-1322</v>
      </c>
      <c r="B323" s="11" t="s">
        <v>1092</v>
      </c>
      <c r="C323" s="141" t="s">
        <v>891</v>
      </c>
      <c r="D323" s="98">
        <v>34065</v>
      </c>
      <c r="E323" s="111">
        <f t="shared" ca="1" si="27"/>
        <v>32</v>
      </c>
      <c r="F323" s="132" t="s">
        <v>743</v>
      </c>
      <c r="G323" s="11" t="s">
        <v>253</v>
      </c>
      <c r="H323" s="140" t="s">
        <v>1218</v>
      </c>
      <c r="I323" s="140" t="s">
        <v>1221</v>
      </c>
      <c r="J323" s="132"/>
      <c r="K323" s="11"/>
      <c r="L323" s="142">
        <v>45820</v>
      </c>
      <c r="M323" s="96" t="str" cm="1">
        <f t="array" ref="M323">_xlfn.XLOOKUP(B323&amp;"", 'Registro EMO'!$C$13:$C$4248&amp;"", 'Registro EMO'!$F$13:$F$4248, "Sin registro", 0, -1)</f>
        <v>15/11/2026</v>
      </c>
      <c r="N323" s="11" t="str" cm="1">
        <f t="array" ref="N323">_xlfn.XLOOKUP(B323&amp;"", 'Registro EMO'!$C$13:$C$4248&amp;"", 'Registro EMO'!$E$13:$E$4248, "Sin registro", 0, -1)</f>
        <v>Pre-Ocupacional</v>
      </c>
      <c r="O323" s="11" t="str">
        <f t="shared" si="28"/>
        <v>NO</v>
      </c>
      <c r="P323" s="130" t="str" cm="1">
        <f t="array" ref="P323">_xlfn.LET(
    _xlpm.resultado, _xlfn.XLOOKUP(B323&amp;"", 'Registro EMO'!$C$13:$C$4248&amp;"", 'Registro EMO'!$I$13:$I$4248, "NO", 0, -1),
    IF(_xlpm.resultado=0, "NO", _xlpm.resultado)
)</f>
        <v>NO</v>
      </c>
      <c r="Q323" s="11" t="str">
        <f t="shared" ca="1" si="29"/>
        <v>Vigente</v>
      </c>
      <c r="R323" s="96"/>
      <c r="S323" s="11"/>
      <c r="T323" s="11"/>
      <c r="U323" s="11"/>
      <c r="V323" s="11" t="s">
        <v>796</v>
      </c>
      <c r="W323" s="29"/>
      <c r="X323" s="129"/>
      <c r="Y323" s="11"/>
      <c r="Z323" s="11"/>
      <c r="AA323" s="11"/>
      <c r="AB323" s="11"/>
      <c r="AC323" s="11"/>
      <c r="AD323" s="11"/>
      <c r="AE323" s="11"/>
      <c r="AF323" s="11"/>
      <c r="AG323" s="98"/>
      <c r="AH323" s="11" t="s">
        <v>32</v>
      </c>
    </row>
    <row r="324" spans="1:34" x14ac:dyDescent="0.3">
      <c r="A324" s="7" t="str">
        <f t="shared" si="26"/>
        <v>TR-1323</v>
      </c>
      <c r="B324" s="11" t="s">
        <v>1093</v>
      </c>
      <c r="C324" s="141" t="s">
        <v>892</v>
      </c>
      <c r="D324" s="98">
        <v>31132</v>
      </c>
      <c r="E324" s="111">
        <f t="shared" ca="1" si="27"/>
        <v>40</v>
      </c>
      <c r="F324" s="132" t="s">
        <v>762</v>
      </c>
      <c r="G324" s="11" t="s">
        <v>253</v>
      </c>
      <c r="H324" s="140" t="s">
        <v>1218</v>
      </c>
      <c r="I324" s="140" t="s">
        <v>1219</v>
      </c>
      <c r="J324" s="132"/>
      <c r="K324" s="11"/>
      <c r="L324" s="142">
        <v>46054</v>
      </c>
      <c r="M324" s="96" t="str" cm="1">
        <f t="array" ref="M324">_xlfn.XLOOKUP(B324&amp;"", 'Registro EMO'!$C$13:$C$4248&amp;"", 'Registro EMO'!$F$13:$F$4248, "Sin registro", 0, -1)</f>
        <v>26/12/2026</v>
      </c>
      <c r="N324" s="11" t="str" cm="1">
        <f t="array" ref="N324">_xlfn.XLOOKUP(B324&amp;"", 'Registro EMO'!$C$13:$C$4248&amp;"", 'Registro EMO'!$E$13:$E$4248, "Sin registro", 0, -1)</f>
        <v>Pre-Ocupacional</v>
      </c>
      <c r="O324" s="11" t="str">
        <f t="shared" si="28"/>
        <v>NO</v>
      </c>
      <c r="P324" s="130" t="str" cm="1">
        <f t="array" ref="P324">_xlfn.LET(
    _xlpm.resultado, _xlfn.XLOOKUP(B324&amp;"", 'Registro EMO'!$C$13:$C$4248&amp;"", 'Registro EMO'!$I$13:$I$4248, "NO", 0, -1),
    IF(_xlpm.resultado=0, "NO", _xlpm.resultado)
)</f>
        <v>NO</v>
      </c>
      <c r="Q324" s="11" t="str">
        <f t="shared" ca="1" si="29"/>
        <v>Vigente</v>
      </c>
      <c r="R324" s="96" t="s">
        <v>1328</v>
      </c>
      <c r="S324" s="11" t="s">
        <v>1232</v>
      </c>
      <c r="T324" s="11" t="str">
        <f t="shared" si="30"/>
        <v>NO</v>
      </c>
      <c r="U324" s="11"/>
      <c r="V324" s="146" t="s">
        <v>126</v>
      </c>
      <c r="W324" s="29"/>
      <c r="X324" s="129"/>
      <c r="Y324" s="11"/>
      <c r="Z324" s="11"/>
      <c r="AA324" s="11"/>
      <c r="AB324" s="11"/>
      <c r="AC324" s="11"/>
      <c r="AD324" s="11"/>
      <c r="AE324" s="11"/>
      <c r="AF324" s="11"/>
      <c r="AG324" s="98"/>
      <c r="AH324" s="11" t="s">
        <v>32</v>
      </c>
    </row>
    <row r="325" spans="1:34" x14ac:dyDescent="0.3">
      <c r="A325" s="7" t="str">
        <f t="shared" si="26"/>
        <v>TR-1324</v>
      </c>
      <c r="B325" s="11" t="s">
        <v>1094</v>
      </c>
      <c r="C325" s="141" t="s">
        <v>893</v>
      </c>
      <c r="D325" s="98">
        <v>37014</v>
      </c>
      <c r="E325" s="111">
        <f t="shared" ca="1" si="27"/>
        <v>24</v>
      </c>
      <c r="F325" s="132" t="s">
        <v>743</v>
      </c>
      <c r="G325" s="11" t="s">
        <v>253</v>
      </c>
      <c r="H325" s="140" t="s">
        <v>1218</v>
      </c>
      <c r="I325" s="140" t="s">
        <v>1219</v>
      </c>
      <c r="J325" s="132"/>
      <c r="K325" s="11"/>
      <c r="L325" s="142">
        <v>45434</v>
      </c>
      <c r="M325" s="96" t="str" cm="1">
        <f t="array" ref="M325">_xlfn.XLOOKUP(B325&amp;"", 'Registro EMO'!$C$13:$C$4248&amp;"", 'Registro EMO'!$F$13:$F$4248, "Sin registro", 0, -1)</f>
        <v>18/09/2026</v>
      </c>
      <c r="N325" s="11" t="str" cm="1">
        <f t="array" ref="N325">_xlfn.XLOOKUP(B325&amp;"", 'Registro EMO'!$C$13:$C$4248&amp;"", 'Registro EMO'!$E$13:$E$4248, "Sin registro", 0, -1)</f>
        <v>Pre-Ocupacional</v>
      </c>
      <c r="O325" s="11" t="str">
        <f t="shared" si="28"/>
        <v>NO</v>
      </c>
      <c r="P325" s="130" t="str" cm="1">
        <f t="array" ref="P325">_xlfn.LET(
    _xlpm.resultado, _xlfn.XLOOKUP(B325&amp;"", 'Registro EMO'!$C$13:$C$4248&amp;"", 'Registro EMO'!$I$13:$I$4248, "NO", 0, -1),
    IF(_xlpm.resultado=0, "NO", _xlpm.resultado)
)</f>
        <v>NO</v>
      </c>
      <c r="Q325" s="11" t="str">
        <f t="shared" ca="1" si="29"/>
        <v>Vigente</v>
      </c>
      <c r="R325" s="96" t="s">
        <v>1329</v>
      </c>
      <c r="S325" s="11" t="s">
        <v>1232</v>
      </c>
      <c r="T325" s="11" t="str">
        <f t="shared" si="30"/>
        <v>NO</v>
      </c>
      <c r="U325" s="11"/>
      <c r="V325" s="146" t="s">
        <v>126</v>
      </c>
      <c r="W325" s="29"/>
      <c r="X325" s="129"/>
      <c r="Y325" s="11"/>
      <c r="Z325" s="11"/>
      <c r="AA325" s="11"/>
      <c r="AB325" s="11"/>
      <c r="AC325" s="11"/>
      <c r="AD325" s="11"/>
      <c r="AE325" s="11"/>
      <c r="AF325" s="11"/>
      <c r="AG325" s="98"/>
      <c r="AH325" s="11" t="s">
        <v>32</v>
      </c>
    </row>
    <row r="326" spans="1:34" x14ac:dyDescent="0.3">
      <c r="A326" s="7" t="str">
        <f t="shared" si="26"/>
        <v>TR-1325</v>
      </c>
      <c r="B326" s="11" t="s">
        <v>1095</v>
      </c>
      <c r="C326" s="141" t="s">
        <v>894</v>
      </c>
      <c r="D326" s="98">
        <v>31255</v>
      </c>
      <c r="E326" s="111">
        <f t="shared" ca="1" si="27"/>
        <v>40</v>
      </c>
      <c r="F326" s="132" t="s">
        <v>743</v>
      </c>
      <c r="G326" s="11" t="s">
        <v>253</v>
      </c>
      <c r="H326" s="140" t="s">
        <v>1218</v>
      </c>
      <c r="I326" s="140" t="s">
        <v>1221</v>
      </c>
      <c r="J326" s="132"/>
      <c r="K326" s="11"/>
      <c r="L326" s="142">
        <v>45692</v>
      </c>
      <c r="M326" s="96" t="str" cm="1">
        <f t="array" ref="M326">_xlfn.XLOOKUP(B326&amp;"", 'Registro EMO'!$C$13:$C$4248&amp;"", 'Registro EMO'!$F$13:$F$4248, "Sin registro", 0, -1)</f>
        <v>25/02/2026</v>
      </c>
      <c r="N326" s="11" t="str" cm="1">
        <f t="array" ref="N326">_xlfn.XLOOKUP(B326&amp;"", 'Registro EMO'!$C$13:$C$4248&amp;"", 'Registro EMO'!$E$13:$E$4248, "Sin registro", 0, -1)</f>
        <v>Pre-Ocupacional</v>
      </c>
      <c r="O326" s="11" t="str">
        <f t="shared" si="28"/>
        <v>NO</v>
      </c>
      <c r="P326" s="130" t="str" cm="1">
        <f t="array" ref="P326">_xlfn.LET(
    _xlpm.resultado, _xlfn.XLOOKUP(B326&amp;"", 'Registro EMO'!$C$13:$C$4248&amp;"", 'Registro EMO'!$I$13:$I$4248, "NO", 0, -1),
    IF(_xlpm.resultado=0, "NO", _xlpm.resultado)
)</f>
        <v>NO</v>
      </c>
      <c r="Q326" s="11" t="str">
        <f t="shared" ca="1" si="29"/>
        <v>Vigente</v>
      </c>
      <c r="R326" s="96"/>
      <c r="S326" s="11"/>
      <c r="T326" s="11"/>
      <c r="U326" s="11"/>
      <c r="V326" s="11" t="s">
        <v>796</v>
      </c>
      <c r="W326" s="29"/>
      <c r="X326" s="129"/>
      <c r="Y326" s="11"/>
      <c r="Z326" s="11"/>
      <c r="AA326" s="11"/>
      <c r="AB326" s="11"/>
      <c r="AC326" s="11"/>
      <c r="AD326" s="11"/>
      <c r="AE326" s="11"/>
      <c r="AF326" s="11"/>
      <c r="AG326" s="98"/>
      <c r="AH326" s="11" t="s">
        <v>32</v>
      </c>
    </row>
    <row r="327" spans="1:34" x14ac:dyDescent="0.3">
      <c r="A327" s="7" t="str">
        <f t="shared" si="26"/>
        <v>TR-1326</v>
      </c>
      <c r="B327" s="11" t="s">
        <v>1096</v>
      </c>
      <c r="C327" s="141" t="s">
        <v>895</v>
      </c>
      <c r="D327" s="98">
        <v>38029</v>
      </c>
      <c r="E327" s="111">
        <f t="shared" ca="1" si="27"/>
        <v>22</v>
      </c>
      <c r="F327" s="132" t="s">
        <v>743</v>
      </c>
      <c r="G327" s="11" t="s">
        <v>253</v>
      </c>
      <c r="H327" s="140" t="s">
        <v>1218</v>
      </c>
      <c r="I327" s="140" t="s">
        <v>1221</v>
      </c>
      <c r="J327" s="132"/>
      <c r="K327" s="11"/>
      <c r="L327" s="142">
        <v>45474</v>
      </c>
      <c r="M327" s="96" t="str" cm="1">
        <f t="array" ref="M327">_xlfn.XLOOKUP(B327&amp;"", 'Registro EMO'!$C$13:$C$4248&amp;"", 'Registro EMO'!$F$13:$F$4248, "Sin registro", 0, -1)</f>
        <v>14/10/2026</v>
      </c>
      <c r="N327" s="11" t="str" cm="1">
        <f t="array" ref="N327">_xlfn.XLOOKUP(B327&amp;"", 'Registro EMO'!$C$13:$C$4248&amp;"", 'Registro EMO'!$E$13:$E$4248, "Sin registro", 0, -1)</f>
        <v>Pre-Ocupacional</v>
      </c>
      <c r="O327" s="11" t="str">
        <f t="shared" si="28"/>
        <v>NO</v>
      </c>
      <c r="P327" s="130" t="str" cm="1">
        <f t="array" ref="P327">_xlfn.LET(
    _xlpm.resultado, _xlfn.XLOOKUP(B327&amp;"", 'Registro EMO'!$C$13:$C$4248&amp;"", 'Registro EMO'!$I$13:$I$4248, "NO", 0, -1),
    IF(_xlpm.resultado=0, "NO", _xlpm.resultado)
)</f>
        <v>NO</v>
      </c>
      <c r="Q327" s="11" t="str">
        <f t="shared" ca="1" si="29"/>
        <v>Vigente</v>
      </c>
      <c r="R327" s="96" t="s">
        <v>1317</v>
      </c>
      <c r="S327" s="11" t="s">
        <v>1232</v>
      </c>
      <c r="T327" s="11" t="str">
        <f t="shared" si="30"/>
        <v>NO</v>
      </c>
      <c r="U327" s="11"/>
      <c r="V327" s="146" t="s">
        <v>126</v>
      </c>
      <c r="W327" s="29"/>
      <c r="X327" s="129"/>
      <c r="Y327" s="11"/>
      <c r="Z327" s="11"/>
      <c r="AA327" s="11"/>
      <c r="AB327" s="11"/>
      <c r="AC327" s="11"/>
      <c r="AD327" s="11"/>
      <c r="AE327" s="11"/>
      <c r="AF327" s="11"/>
      <c r="AG327" s="98"/>
      <c r="AH327" s="11" t="s">
        <v>32</v>
      </c>
    </row>
    <row r="328" spans="1:34" x14ac:dyDescent="0.3">
      <c r="A328" s="7" t="str">
        <f t="shared" si="26"/>
        <v>TR-1327</v>
      </c>
      <c r="B328" s="11" t="s">
        <v>1097</v>
      </c>
      <c r="C328" s="141" t="s">
        <v>896</v>
      </c>
      <c r="D328" s="98">
        <v>30891</v>
      </c>
      <c r="E328" s="111">
        <f t="shared" ca="1" si="27"/>
        <v>41</v>
      </c>
      <c r="F328" s="132" t="s">
        <v>743</v>
      </c>
      <c r="G328" s="11" t="s">
        <v>253</v>
      </c>
      <c r="H328" s="140" t="s">
        <v>1218</v>
      </c>
      <c r="I328" s="140" t="s">
        <v>1221</v>
      </c>
      <c r="J328" s="132"/>
      <c r="K328" s="11"/>
      <c r="L328" s="142">
        <v>45352</v>
      </c>
      <c r="M328" s="96" t="str" cm="1">
        <f t="array" ref="M328">_xlfn.XLOOKUP(B328&amp;"", 'Registro EMO'!$C$13:$C$4248&amp;"", 'Registro EMO'!$F$13:$F$4248, "Sin registro", 0, -1)</f>
        <v>18/03/2026</v>
      </c>
      <c r="N328" s="11" t="str" cm="1">
        <f t="array" ref="N328">_xlfn.XLOOKUP(B328&amp;"", 'Registro EMO'!$C$13:$C$4248&amp;"", 'Registro EMO'!$E$13:$E$4248, "Sin registro", 0, -1)</f>
        <v>Pre-Ocupacional</v>
      </c>
      <c r="O328" s="11" t="str">
        <f t="shared" si="28"/>
        <v>NO</v>
      </c>
      <c r="P328" s="130" t="str" cm="1">
        <f t="array" ref="P328">_xlfn.LET(
    _xlpm.resultado, _xlfn.XLOOKUP(B328&amp;"", 'Registro EMO'!$C$13:$C$4248&amp;"", 'Registro EMO'!$I$13:$I$4248, "NO", 0, -1),
    IF(_xlpm.resultado=0, "NO", _xlpm.resultado)
)</f>
        <v>NO</v>
      </c>
      <c r="Q328" s="11" t="str">
        <f t="shared" ca="1" si="29"/>
        <v>Vigente</v>
      </c>
      <c r="R328" s="96" t="s">
        <v>1320</v>
      </c>
      <c r="S328" s="11" t="s">
        <v>1232</v>
      </c>
      <c r="T328" s="11" t="str">
        <f t="shared" si="30"/>
        <v>NO</v>
      </c>
      <c r="U328" s="11"/>
      <c r="V328" s="146" t="s">
        <v>126</v>
      </c>
      <c r="W328" s="29"/>
      <c r="X328" s="129"/>
      <c r="Y328" s="11"/>
      <c r="Z328" s="11"/>
      <c r="AA328" s="11"/>
      <c r="AB328" s="11"/>
      <c r="AC328" s="11"/>
      <c r="AD328" s="11"/>
      <c r="AE328" s="11"/>
      <c r="AF328" s="11"/>
      <c r="AG328" s="98"/>
      <c r="AH328" s="11" t="s">
        <v>32</v>
      </c>
    </row>
    <row r="329" spans="1:34" x14ac:dyDescent="0.3">
      <c r="A329" s="7" t="str">
        <f t="shared" si="26"/>
        <v>TR-1328</v>
      </c>
      <c r="B329" s="11" t="s">
        <v>1098</v>
      </c>
      <c r="C329" s="141" t="s">
        <v>897</v>
      </c>
      <c r="D329" s="98">
        <v>37574</v>
      </c>
      <c r="E329" s="111">
        <f t="shared" ca="1" si="27"/>
        <v>23</v>
      </c>
      <c r="F329" s="132" t="s">
        <v>743</v>
      </c>
      <c r="G329" s="11" t="s">
        <v>253</v>
      </c>
      <c r="H329" s="140" t="s">
        <v>1218</v>
      </c>
      <c r="I329" s="140" t="s">
        <v>1221</v>
      </c>
      <c r="J329" s="132"/>
      <c r="K329" s="11"/>
      <c r="L329" s="142">
        <v>45804</v>
      </c>
      <c r="M329" s="96" t="str" cm="1">
        <f t="array" ref="M329">_xlfn.XLOOKUP(B329&amp;"", 'Registro EMO'!$C$13:$C$4248&amp;"", 'Registro EMO'!$F$13:$F$4248, "Sin registro", 0, -1)</f>
        <v>Sin registro</v>
      </c>
      <c r="N329" s="11" t="str" cm="1">
        <f t="array" ref="N329">_xlfn.XLOOKUP(B329&amp;"", 'Registro EMO'!$C$13:$C$4248&amp;"", 'Registro EMO'!$E$13:$E$4248, "Sin registro", 0, -1)</f>
        <v>Sin registro</v>
      </c>
      <c r="O329" s="11" t="str">
        <f t="shared" si="28"/>
        <v>NO</v>
      </c>
      <c r="P329" s="130" t="str" cm="1">
        <f t="array" ref="P329">_xlfn.LET(
    _xlpm.resultado, _xlfn.XLOOKUP(B329&amp;"", 'Registro EMO'!$C$13:$C$4248&amp;"", 'Registro EMO'!$I$13:$I$4248, "NO", 0, -1),
    IF(_xlpm.resultado=0, "NO", _xlpm.resultado)
)</f>
        <v>NO</v>
      </c>
      <c r="Q329" s="11" t="str">
        <f t="shared" ca="1" si="29"/>
        <v>Pendiente</v>
      </c>
      <c r="R329" s="96"/>
      <c r="S329" s="11"/>
      <c r="T329" s="11" t="str">
        <f t="shared" si="30"/>
        <v/>
      </c>
      <c r="U329" s="11"/>
      <c r="V329" s="146"/>
      <c r="W329" s="29"/>
      <c r="X329" s="129"/>
      <c r="Y329" s="11"/>
      <c r="Z329" s="11"/>
      <c r="AA329" s="11"/>
      <c r="AB329" s="11"/>
      <c r="AC329" s="11"/>
      <c r="AD329" s="11"/>
      <c r="AE329" s="11"/>
      <c r="AF329" s="11"/>
      <c r="AG329" s="98"/>
      <c r="AH329" s="11"/>
    </row>
    <row r="330" spans="1:34" x14ac:dyDescent="0.3">
      <c r="A330" s="7" t="str">
        <f t="shared" si="26"/>
        <v>TR-1329</v>
      </c>
      <c r="B330" s="11" t="s">
        <v>1099</v>
      </c>
      <c r="C330" s="141" t="s">
        <v>898</v>
      </c>
      <c r="D330" s="98">
        <v>36383</v>
      </c>
      <c r="E330" s="111">
        <f t="shared" ca="1" si="27"/>
        <v>26</v>
      </c>
      <c r="F330" s="132" t="s">
        <v>743</v>
      </c>
      <c r="G330" s="11" t="s">
        <v>253</v>
      </c>
      <c r="H330" s="140" t="s">
        <v>1218</v>
      </c>
      <c r="I330" s="140" t="s">
        <v>1221</v>
      </c>
      <c r="J330" s="132"/>
      <c r="K330" s="11"/>
      <c r="L330" s="142">
        <v>46027</v>
      </c>
      <c r="M330" s="96" t="str" cm="1">
        <f t="array" ref="M330">_xlfn.XLOOKUP(B330&amp;"", 'Registro EMO'!$C$13:$C$4248&amp;"", 'Registro EMO'!$F$13:$F$4248, "Sin registro", 0, -1)</f>
        <v>Sin registro</v>
      </c>
      <c r="N330" s="11" t="str" cm="1">
        <f t="array" ref="N330">_xlfn.XLOOKUP(B330&amp;"", 'Registro EMO'!$C$13:$C$4248&amp;"", 'Registro EMO'!$E$13:$E$4248, "Sin registro", 0, -1)</f>
        <v>Sin registro</v>
      </c>
      <c r="O330" s="11" t="str">
        <f t="shared" si="28"/>
        <v>NO</v>
      </c>
      <c r="P330" s="130" t="str" cm="1">
        <f t="array" ref="P330">_xlfn.LET(
    _xlpm.resultado, _xlfn.XLOOKUP(B330&amp;"", 'Registro EMO'!$C$13:$C$4248&amp;"", 'Registro EMO'!$I$13:$I$4248, "NO", 0, -1),
    IF(_xlpm.resultado=0, "NO", _xlpm.resultado)
)</f>
        <v>NO</v>
      </c>
      <c r="Q330" s="11" t="str">
        <f t="shared" ca="1" si="29"/>
        <v>Pendiente</v>
      </c>
      <c r="R330" s="96"/>
      <c r="S330" s="11"/>
      <c r="T330" s="11" t="str">
        <f t="shared" si="30"/>
        <v/>
      </c>
      <c r="U330" s="11"/>
      <c r="V330" s="146"/>
      <c r="W330" s="29"/>
      <c r="X330" s="129"/>
      <c r="Y330" s="11"/>
      <c r="Z330" s="11"/>
      <c r="AA330" s="11"/>
      <c r="AB330" s="11"/>
      <c r="AC330" s="11"/>
      <c r="AD330" s="11"/>
      <c r="AE330" s="11"/>
      <c r="AF330" s="11"/>
      <c r="AG330" s="98"/>
      <c r="AH330" s="11"/>
    </row>
    <row r="331" spans="1:34" x14ac:dyDescent="0.3">
      <c r="A331" s="7" t="str">
        <f t="shared" si="26"/>
        <v>TR-1330</v>
      </c>
      <c r="B331" s="11" t="s">
        <v>1100</v>
      </c>
      <c r="C331" s="141" t="s">
        <v>899</v>
      </c>
      <c r="D331" s="98">
        <v>33384</v>
      </c>
      <c r="E331" s="111">
        <f t="shared" ca="1" si="27"/>
        <v>34</v>
      </c>
      <c r="F331" s="132" t="s">
        <v>743</v>
      </c>
      <c r="G331" s="11" t="s">
        <v>253</v>
      </c>
      <c r="H331" s="140" t="s">
        <v>1218</v>
      </c>
      <c r="I331" s="140" t="s">
        <v>1221</v>
      </c>
      <c r="J331" s="132"/>
      <c r="K331" s="11"/>
      <c r="L331" s="142">
        <v>45992</v>
      </c>
      <c r="M331" s="96" t="str" cm="1">
        <f t="array" ref="M331">_xlfn.XLOOKUP(B331&amp;"", 'Registro EMO'!$C$13:$C$4248&amp;"", 'Registro EMO'!$F$13:$F$4248, "Sin registro", 0, -1)</f>
        <v>Sin registro</v>
      </c>
      <c r="N331" s="11" t="str" cm="1">
        <f t="array" ref="N331">_xlfn.XLOOKUP(B331&amp;"", 'Registro EMO'!$C$13:$C$4248&amp;"", 'Registro EMO'!$E$13:$E$4248, "Sin registro", 0, -1)</f>
        <v>Sin registro</v>
      </c>
      <c r="O331" s="11" t="str">
        <f t="shared" si="28"/>
        <v>NO</v>
      </c>
      <c r="P331" s="130" t="str" cm="1">
        <f t="array" ref="P331">_xlfn.LET(
    _xlpm.resultado, _xlfn.XLOOKUP(B331&amp;"", 'Registro EMO'!$C$13:$C$4248&amp;"", 'Registro EMO'!$I$13:$I$4248, "NO", 0, -1),
    IF(_xlpm.resultado=0, "NO", _xlpm.resultado)
)</f>
        <v>NO</v>
      </c>
      <c r="Q331" s="11" t="str">
        <f t="shared" ca="1" si="29"/>
        <v>Pendiente</v>
      </c>
      <c r="R331" s="96"/>
      <c r="S331" s="11"/>
      <c r="T331" s="11" t="str">
        <f t="shared" si="30"/>
        <v/>
      </c>
      <c r="U331" s="11"/>
      <c r="V331" s="146"/>
      <c r="W331" s="29"/>
      <c r="X331" s="129"/>
      <c r="Y331" s="11"/>
      <c r="Z331" s="11"/>
      <c r="AA331" s="11"/>
      <c r="AB331" s="11"/>
      <c r="AC331" s="11"/>
      <c r="AD331" s="11"/>
      <c r="AE331" s="11"/>
      <c r="AF331" s="11"/>
      <c r="AG331" s="98"/>
      <c r="AH331" s="11"/>
    </row>
    <row r="332" spans="1:34" x14ac:dyDescent="0.3">
      <c r="A332" s="7" t="str">
        <f t="shared" si="26"/>
        <v>TR-1331</v>
      </c>
      <c r="B332" s="11" t="s">
        <v>1101</v>
      </c>
      <c r="C332" s="141" t="s">
        <v>900</v>
      </c>
      <c r="D332" s="98">
        <v>31400</v>
      </c>
      <c r="E332" s="111">
        <f t="shared" ca="1" si="27"/>
        <v>40</v>
      </c>
      <c r="F332" s="132" t="s">
        <v>762</v>
      </c>
      <c r="G332" s="11" t="s">
        <v>253</v>
      </c>
      <c r="H332" s="140" t="s">
        <v>1218</v>
      </c>
      <c r="I332" s="140" t="s">
        <v>1221</v>
      </c>
      <c r="J332" s="132"/>
      <c r="K332" s="11"/>
      <c r="L332" s="142">
        <v>44287</v>
      </c>
      <c r="M332" s="96" t="str" cm="1">
        <f t="array" ref="M332">_xlfn.XLOOKUP(B332&amp;"", 'Registro EMO'!$C$13:$C$4248&amp;"", 'Registro EMO'!$F$13:$F$4248, "Sin registro", 0, -1)</f>
        <v>20/07/2026</v>
      </c>
      <c r="N332" s="11" t="str" cm="1">
        <f t="array" ref="N332">_xlfn.XLOOKUP(B332&amp;"", 'Registro EMO'!$C$13:$C$4248&amp;"", 'Registro EMO'!$E$13:$E$4248, "Sin registro", 0, -1)</f>
        <v>Pre-Ocupacional</v>
      </c>
      <c r="O332" s="11" t="str">
        <f t="shared" si="28"/>
        <v>NO</v>
      </c>
      <c r="P332" s="130" t="str" cm="1">
        <f t="array" ref="P332">_xlfn.LET(
    _xlpm.resultado, _xlfn.XLOOKUP(B332&amp;"", 'Registro EMO'!$C$13:$C$4248&amp;"", 'Registro EMO'!$I$13:$I$4248, "NO", 0, -1),
    IF(_xlpm.resultado=0, "NO", _xlpm.resultado)
)</f>
        <v>NO</v>
      </c>
      <c r="Q332" s="11" t="str">
        <f t="shared" ca="1" si="29"/>
        <v>Vigente</v>
      </c>
      <c r="R332" s="96"/>
      <c r="S332" s="11"/>
      <c r="T332" s="11"/>
      <c r="U332" s="11"/>
      <c r="V332" s="11" t="s">
        <v>796</v>
      </c>
      <c r="W332" s="29"/>
      <c r="X332" s="129"/>
      <c r="Y332" s="11"/>
      <c r="Z332" s="11"/>
      <c r="AA332" s="11"/>
      <c r="AB332" s="11"/>
      <c r="AC332" s="11"/>
      <c r="AD332" s="11"/>
      <c r="AE332" s="11"/>
      <c r="AF332" s="11"/>
      <c r="AG332" s="98"/>
      <c r="AH332" s="11" t="s">
        <v>32</v>
      </c>
    </row>
    <row r="333" spans="1:34" x14ac:dyDescent="0.3">
      <c r="A333" s="7" t="str">
        <f t="shared" si="26"/>
        <v>TR-1332</v>
      </c>
      <c r="B333" s="11" t="s">
        <v>1102</v>
      </c>
      <c r="C333" s="141" t="s">
        <v>901</v>
      </c>
      <c r="D333" s="98">
        <v>31874</v>
      </c>
      <c r="E333" s="111">
        <f t="shared" ca="1" si="27"/>
        <v>38</v>
      </c>
      <c r="F333" s="132" t="s">
        <v>743</v>
      </c>
      <c r="G333" s="11" t="s">
        <v>253</v>
      </c>
      <c r="H333" s="140" t="s">
        <v>1218</v>
      </c>
      <c r="I333" s="140" t="s">
        <v>1223</v>
      </c>
      <c r="J333" s="132"/>
      <c r="K333" s="11"/>
      <c r="L333" s="142">
        <v>43983</v>
      </c>
      <c r="M333" s="96" t="str" cm="1">
        <f t="array" ref="M333">_xlfn.XLOOKUP(B333&amp;"", 'Registro EMO'!$C$13:$C$4248&amp;"", 'Registro EMO'!$F$13:$F$4248, "Sin registro", 0, -1)</f>
        <v>21/12/2026</v>
      </c>
      <c r="N333" s="11" t="str" cm="1">
        <f t="array" ref="N333">_xlfn.XLOOKUP(B333&amp;"", 'Registro EMO'!$C$13:$C$4248&amp;"", 'Registro EMO'!$E$13:$E$4248, "Sin registro", 0, -1)</f>
        <v>Pre-Ocupacional</v>
      </c>
      <c r="O333" s="11" t="str">
        <f t="shared" si="28"/>
        <v>NO</v>
      </c>
      <c r="P333" s="130" t="str" cm="1">
        <f t="array" ref="P333">_xlfn.LET(
    _xlpm.resultado, _xlfn.XLOOKUP(B333&amp;"", 'Registro EMO'!$C$13:$C$4248&amp;"", 'Registro EMO'!$I$13:$I$4248, "NO", 0, -1),
    IF(_xlpm.resultado=0, "NO", _xlpm.resultado)
)</f>
        <v>NO</v>
      </c>
      <c r="Q333" s="11" t="str">
        <f t="shared" ca="1" si="29"/>
        <v>Vigente</v>
      </c>
      <c r="R333" s="96"/>
      <c r="S333" s="11"/>
      <c r="T333" s="11"/>
      <c r="U333" s="11"/>
      <c r="V333" s="11" t="s">
        <v>796</v>
      </c>
      <c r="W333" s="29"/>
      <c r="X333" s="129"/>
      <c r="Y333" s="11"/>
      <c r="Z333" s="11"/>
      <c r="AA333" s="11"/>
      <c r="AB333" s="11"/>
      <c r="AC333" s="11"/>
      <c r="AD333" s="11"/>
      <c r="AE333" s="11"/>
      <c r="AF333" s="11"/>
      <c r="AG333" s="98"/>
      <c r="AH333" s="11" t="s">
        <v>32</v>
      </c>
    </row>
    <row r="334" spans="1:34" x14ac:dyDescent="0.3">
      <c r="A334" s="7" t="str">
        <f t="shared" si="26"/>
        <v>TR-1333</v>
      </c>
      <c r="B334" s="11" t="s">
        <v>1103</v>
      </c>
      <c r="C334" s="141" t="s">
        <v>902</v>
      </c>
      <c r="D334" s="98">
        <v>31189</v>
      </c>
      <c r="E334" s="111">
        <f t="shared" ca="1" si="27"/>
        <v>40</v>
      </c>
      <c r="F334" s="132" t="s">
        <v>762</v>
      </c>
      <c r="G334" s="11" t="s">
        <v>253</v>
      </c>
      <c r="H334" s="140" t="s">
        <v>1218</v>
      </c>
      <c r="I334" s="140" t="s">
        <v>1220</v>
      </c>
      <c r="J334" s="132"/>
      <c r="K334" s="11"/>
      <c r="L334" s="142">
        <v>44652</v>
      </c>
      <c r="M334" s="96" t="str" cm="1">
        <f t="array" ref="M334">_xlfn.XLOOKUP(B334&amp;"", 'Registro EMO'!$C$13:$C$4248&amp;"", 'Registro EMO'!$F$13:$F$4248, "Sin registro", 0, -1)</f>
        <v>25/04/2026</v>
      </c>
      <c r="N334" s="11" t="str" cm="1">
        <f t="array" ref="N334">_xlfn.XLOOKUP(B334&amp;"", 'Registro EMO'!$C$13:$C$4248&amp;"", 'Registro EMO'!$E$13:$E$4248, "Sin registro", 0, -1)</f>
        <v>Pre-Ocupacional</v>
      </c>
      <c r="O334" s="11" t="str">
        <f t="shared" si="28"/>
        <v>NO</v>
      </c>
      <c r="P334" s="130" t="str" cm="1">
        <f t="array" ref="P334">_xlfn.LET(
    _xlpm.resultado, _xlfn.XLOOKUP(B334&amp;"", 'Registro EMO'!$C$13:$C$4248&amp;"", 'Registro EMO'!$I$13:$I$4248, "NO", 0, -1),
    IF(_xlpm.resultado=0, "NO", _xlpm.resultado)
)</f>
        <v>NO</v>
      </c>
      <c r="Q334" s="11" t="str">
        <f t="shared" ca="1" si="29"/>
        <v>Vigente</v>
      </c>
      <c r="R334" s="96"/>
      <c r="S334" s="11"/>
      <c r="T334" s="11"/>
      <c r="U334" s="11"/>
      <c r="V334" s="11" t="s">
        <v>796</v>
      </c>
      <c r="W334" s="29"/>
      <c r="X334" s="129"/>
      <c r="Y334" s="11"/>
      <c r="Z334" s="11"/>
      <c r="AA334" s="11"/>
      <c r="AB334" s="11"/>
      <c r="AC334" s="11"/>
      <c r="AD334" s="11"/>
      <c r="AE334" s="11"/>
      <c r="AF334" s="11"/>
      <c r="AG334" s="98"/>
      <c r="AH334" s="11" t="s">
        <v>32</v>
      </c>
    </row>
    <row r="335" spans="1:34" x14ac:dyDescent="0.3">
      <c r="A335" s="7" t="str">
        <f t="shared" si="26"/>
        <v>TR-1334</v>
      </c>
      <c r="B335" s="11" t="s">
        <v>1104</v>
      </c>
      <c r="C335" s="141" t="s">
        <v>903</v>
      </c>
      <c r="D335" s="98">
        <v>35076</v>
      </c>
      <c r="E335" s="111">
        <f t="shared" ca="1" si="27"/>
        <v>30</v>
      </c>
      <c r="F335" s="132" t="s">
        <v>762</v>
      </c>
      <c r="G335" s="11" t="s">
        <v>253</v>
      </c>
      <c r="H335" s="140" t="s">
        <v>1218</v>
      </c>
      <c r="I335" s="140" t="s">
        <v>1221</v>
      </c>
      <c r="J335" s="132"/>
      <c r="K335" s="11"/>
      <c r="L335" s="142">
        <v>46054</v>
      </c>
      <c r="M335" s="96" t="str" cm="1">
        <f t="array" ref="M335">_xlfn.XLOOKUP(B335&amp;"", 'Registro EMO'!$C$13:$C$4248&amp;"", 'Registro EMO'!$F$13:$F$4248, "Sin registro", 0, -1)</f>
        <v>Sin registro</v>
      </c>
      <c r="N335" s="11" t="str" cm="1">
        <f t="array" ref="N335">_xlfn.XLOOKUP(B335&amp;"", 'Registro EMO'!$C$13:$C$4248&amp;"", 'Registro EMO'!$E$13:$E$4248, "Sin registro", 0, -1)</f>
        <v>Sin registro</v>
      </c>
      <c r="O335" s="11" t="str">
        <f t="shared" si="28"/>
        <v>NO</v>
      </c>
      <c r="P335" s="130" t="str" cm="1">
        <f t="array" ref="P335">_xlfn.LET(
    _xlpm.resultado, _xlfn.XLOOKUP(B335&amp;"", 'Registro EMO'!$C$13:$C$4248&amp;"", 'Registro EMO'!$I$13:$I$4248, "NO", 0, -1),
    IF(_xlpm.resultado=0, "NO", _xlpm.resultado)
)</f>
        <v>NO</v>
      </c>
      <c r="Q335" s="11" t="str">
        <f t="shared" ca="1" si="29"/>
        <v>Pendiente</v>
      </c>
      <c r="R335" s="96"/>
      <c r="S335" s="11"/>
      <c r="T335" s="11" t="str">
        <f t="shared" si="30"/>
        <v/>
      </c>
      <c r="U335" s="11"/>
      <c r="V335" s="146"/>
      <c r="W335" s="29"/>
      <c r="X335" s="129"/>
      <c r="Y335" s="11"/>
      <c r="Z335" s="11"/>
      <c r="AA335" s="11"/>
      <c r="AB335" s="11"/>
      <c r="AC335" s="11"/>
      <c r="AD335" s="11"/>
      <c r="AE335" s="11"/>
      <c r="AF335" s="11"/>
      <c r="AG335" s="98"/>
      <c r="AH335" s="11"/>
    </row>
    <row r="336" spans="1:34" x14ac:dyDescent="0.3">
      <c r="A336" s="7" t="str">
        <f t="shared" si="26"/>
        <v>TR-1335</v>
      </c>
      <c r="B336" s="11" t="s">
        <v>1105</v>
      </c>
      <c r="C336" s="141" t="s">
        <v>904</v>
      </c>
      <c r="D336" s="98">
        <v>35311</v>
      </c>
      <c r="E336" s="111">
        <f t="shared" ca="1" si="27"/>
        <v>29</v>
      </c>
      <c r="F336" s="132" t="s">
        <v>762</v>
      </c>
      <c r="G336" s="11" t="s">
        <v>253</v>
      </c>
      <c r="H336" s="140" t="s">
        <v>1218</v>
      </c>
      <c r="I336" s="140" t="s">
        <v>1221</v>
      </c>
      <c r="J336" s="132"/>
      <c r="K336" s="11"/>
      <c r="L336" s="142">
        <v>45505</v>
      </c>
      <c r="M336" s="96" t="str" cm="1">
        <f t="array" ref="M336">_xlfn.XLOOKUP(B336&amp;"", 'Registro EMO'!$C$13:$C$4248&amp;"", 'Registro EMO'!$F$13:$F$4248, "Sin registro", 0, -1)</f>
        <v>20/11/2026</v>
      </c>
      <c r="N336" s="11" t="str" cm="1">
        <f t="array" ref="N336">_xlfn.XLOOKUP(B336&amp;"", 'Registro EMO'!$C$13:$C$4248&amp;"", 'Registro EMO'!$E$13:$E$4248, "Sin registro", 0, -1)</f>
        <v>Pre-Ocupacional</v>
      </c>
      <c r="O336" s="11" t="str">
        <f t="shared" si="28"/>
        <v>NO</v>
      </c>
      <c r="P336" s="130" t="str" cm="1">
        <f t="array" ref="P336">_xlfn.LET(
    _xlpm.resultado, _xlfn.XLOOKUP(B336&amp;"", 'Registro EMO'!$C$13:$C$4248&amp;"", 'Registro EMO'!$I$13:$I$4248, "NO", 0, -1),
    IF(_xlpm.resultado=0, "NO", _xlpm.resultado)
)</f>
        <v>NO</v>
      </c>
      <c r="Q336" s="11" t="str">
        <f t="shared" ca="1" si="29"/>
        <v>Vigente</v>
      </c>
      <c r="R336" s="96"/>
      <c r="S336" s="11"/>
      <c r="T336" s="11"/>
      <c r="U336" s="11"/>
      <c r="V336" s="11" t="s">
        <v>796</v>
      </c>
      <c r="W336" s="29"/>
      <c r="X336" s="129"/>
      <c r="Y336" s="11"/>
      <c r="Z336" s="11"/>
      <c r="AA336" s="11"/>
      <c r="AB336" s="11"/>
      <c r="AC336" s="11"/>
      <c r="AD336" s="11"/>
      <c r="AE336" s="11"/>
      <c r="AF336" s="11"/>
      <c r="AG336" s="98"/>
      <c r="AH336" s="11" t="s">
        <v>32</v>
      </c>
    </row>
    <row r="337" spans="1:34" x14ac:dyDescent="0.3">
      <c r="A337" s="7" t="str">
        <f t="shared" si="26"/>
        <v>TR-1336</v>
      </c>
      <c r="B337" s="11" t="s">
        <v>1106</v>
      </c>
      <c r="C337" s="141" t="s">
        <v>905</v>
      </c>
      <c r="D337" s="98">
        <v>27426</v>
      </c>
      <c r="E337" s="111">
        <f t="shared" ca="1" si="27"/>
        <v>51</v>
      </c>
      <c r="F337" s="132" t="s">
        <v>743</v>
      </c>
      <c r="G337" s="11" t="s">
        <v>253</v>
      </c>
      <c r="H337" s="140" t="s">
        <v>1218</v>
      </c>
      <c r="I337" s="140" t="s">
        <v>1223</v>
      </c>
      <c r="J337" s="132"/>
      <c r="K337" s="11"/>
      <c r="L337" s="142">
        <v>44044</v>
      </c>
      <c r="M337" s="96" t="str" cm="1">
        <f t="array" ref="M337">_xlfn.XLOOKUP(B337&amp;"", 'Registro EMO'!$C$13:$C$4248&amp;"", 'Registro EMO'!$F$13:$F$4248, "Sin registro", 0, -1)</f>
        <v>Sin registro</v>
      </c>
      <c r="N337" s="11" t="str" cm="1">
        <f t="array" ref="N337">_xlfn.XLOOKUP(B337&amp;"", 'Registro EMO'!$C$13:$C$4248&amp;"", 'Registro EMO'!$E$13:$E$4248, "Sin registro", 0, -1)</f>
        <v>Sin registro</v>
      </c>
      <c r="O337" s="11" t="str">
        <f t="shared" si="28"/>
        <v>NO</v>
      </c>
      <c r="P337" s="130" t="str" cm="1">
        <f t="array" ref="P337">_xlfn.LET(
    _xlpm.resultado, _xlfn.XLOOKUP(B337&amp;"", 'Registro EMO'!$C$13:$C$4248&amp;"", 'Registro EMO'!$I$13:$I$4248, "NO", 0, -1),
    IF(_xlpm.resultado=0, "NO", _xlpm.resultado)
)</f>
        <v>NO</v>
      </c>
      <c r="Q337" s="11" t="str">
        <f t="shared" ca="1" si="29"/>
        <v>Pendiente</v>
      </c>
      <c r="R337" s="96">
        <v>46335</v>
      </c>
      <c r="S337" s="11" t="s">
        <v>1232</v>
      </c>
      <c r="T337" s="11" t="str">
        <f t="shared" si="30"/>
        <v>NO</v>
      </c>
      <c r="U337" s="11"/>
      <c r="V337" s="146" t="s">
        <v>126</v>
      </c>
      <c r="W337" s="29"/>
      <c r="X337" s="129"/>
      <c r="Y337" s="11"/>
      <c r="Z337" s="11"/>
      <c r="AA337" s="11"/>
      <c r="AB337" s="11"/>
      <c r="AC337" s="11"/>
      <c r="AD337" s="11"/>
      <c r="AE337" s="11"/>
      <c r="AF337" s="11"/>
      <c r="AG337" s="98"/>
      <c r="AH337" s="11" t="s">
        <v>32</v>
      </c>
    </row>
    <row r="338" spans="1:34" x14ac:dyDescent="0.3">
      <c r="A338" s="7" t="str">
        <f t="shared" si="26"/>
        <v>TR-1337</v>
      </c>
      <c r="B338" s="11" t="s">
        <v>1107</v>
      </c>
      <c r="C338" s="141" t="s">
        <v>906</v>
      </c>
      <c r="D338" s="98">
        <v>36014</v>
      </c>
      <c r="E338" s="111">
        <f t="shared" ca="1" si="27"/>
        <v>27</v>
      </c>
      <c r="F338" s="132" t="s">
        <v>762</v>
      </c>
      <c r="G338" s="11" t="s">
        <v>253</v>
      </c>
      <c r="H338" s="140" t="s">
        <v>1218</v>
      </c>
      <c r="I338" s="140" t="s">
        <v>1221</v>
      </c>
      <c r="J338" s="132"/>
      <c r="K338" s="11"/>
      <c r="L338" s="142">
        <v>45236</v>
      </c>
      <c r="M338" s="96" t="str" cm="1">
        <f t="array" ref="M338">_xlfn.XLOOKUP(B338&amp;"", 'Registro EMO'!$C$13:$C$4248&amp;"", 'Registro EMO'!$F$13:$F$4248, "Sin registro", 0, -1)</f>
        <v>27/12/2026</v>
      </c>
      <c r="N338" s="11" t="str" cm="1">
        <f t="array" ref="N338">_xlfn.XLOOKUP(B338&amp;"", 'Registro EMO'!$C$13:$C$4248&amp;"", 'Registro EMO'!$E$13:$E$4248, "Sin registro", 0, -1)</f>
        <v>Pre-Ocupacional</v>
      </c>
      <c r="O338" s="11" t="str">
        <f t="shared" si="28"/>
        <v>NO</v>
      </c>
      <c r="P338" s="130" t="str" cm="1">
        <f t="array" ref="P338">_xlfn.LET(
    _xlpm.resultado, _xlfn.XLOOKUP(B338&amp;"", 'Registro EMO'!$C$13:$C$4248&amp;"", 'Registro EMO'!$I$13:$I$4248, "NO", 0, -1),
    IF(_xlpm.resultado=0, "NO", _xlpm.resultado)
)</f>
        <v>NO</v>
      </c>
      <c r="Q338" s="11" t="str">
        <f t="shared" ca="1" si="29"/>
        <v>Vigente</v>
      </c>
      <c r="R338" s="96" t="s">
        <v>1295</v>
      </c>
      <c r="S338" s="11" t="s">
        <v>1232</v>
      </c>
      <c r="T338" s="11" t="str">
        <f t="shared" si="30"/>
        <v>NO</v>
      </c>
      <c r="U338" s="11"/>
      <c r="V338" s="146" t="s">
        <v>126</v>
      </c>
      <c r="W338" s="29"/>
      <c r="X338" s="129"/>
      <c r="Y338" s="11"/>
      <c r="Z338" s="11"/>
      <c r="AA338" s="11"/>
      <c r="AB338" s="11"/>
      <c r="AC338" s="11"/>
      <c r="AD338" s="11"/>
      <c r="AE338" s="11"/>
      <c r="AF338" s="11"/>
      <c r="AG338" s="98"/>
      <c r="AH338" s="11" t="s">
        <v>32</v>
      </c>
    </row>
    <row r="339" spans="1:34" x14ac:dyDescent="0.3">
      <c r="A339" s="7" t="str">
        <f t="shared" si="26"/>
        <v>TR-1338</v>
      </c>
      <c r="B339" s="11" t="s">
        <v>1108</v>
      </c>
      <c r="C339" s="141" t="s">
        <v>907</v>
      </c>
      <c r="D339" s="98">
        <v>31933</v>
      </c>
      <c r="E339" s="111">
        <f t="shared" ca="1" si="27"/>
        <v>38</v>
      </c>
      <c r="F339" s="132" t="s">
        <v>743</v>
      </c>
      <c r="G339" s="11" t="s">
        <v>253</v>
      </c>
      <c r="H339" s="140" t="s">
        <v>1218</v>
      </c>
      <c r="I339" s="140" t="s">
        <v>1223</v>
      </c>
      <c r="J339" s="132"/>
      <c r="K339" s="11"/>
      <c r="L339" s="142">
        <v>44235</v>
      </c>
      <c r="M339" s="96" t="str" cm="1">
        <f t="array" ref="M339">_xlfn.XLOOKUP(B339&amp;"", 'Registro EMO'!$C$13:$C$4248&amp;"", 'Registro EMO'!$F$13:$F$4248, "Sin registro", 0, -1)</f>
        <v>26/04/2026</v>
      </c>
      <c r="N339" s="11" t="str" cm="1">
        <f t="array" ref="N339">_xlfn.XLOOKUP(B339&amp;"", 'Registro EMO'!$C$13:$C$4248&amp;"", 'Registro EMO'!$E$13:$E$4248, "Sin registro", 0, -1)</f>
        <v>Pre-Ocupacional</v>
      </c>
      <c r="O339" s="11" t="str">
        <f t="shared" si="28"/>
        <v>NO</v>
      </c>
      <c r="P339" s="130" t="str" cm="1">
        <f t="array" ref="P339">_xlfn.LET(
    _xlpm.resultado, _xlfn.XLOOKUP(B339&amp;"", 'Registro EMO'!$C$13:$C$4248&amp;"", 'Registro EMO'!$I$13:$I$4248, "NO", 0, -1),
    IF(_xlpm.resultado=0, "NO", _xlpm.resultado)
)</f>
        <v>NO</v>
      </c>
      <c r="Q339" s="11" t="str">
        <f t="shared" ca="1" si="29"/>
        <v>Vigente</v>
      </c>
      <c r="R339" s="96"/>
      <c r="S339" s="11"/>
      <c r="T339" s="11"/>
      <c r="U339" s="11"/>
      <c r="V339" s="11" t="s">
        <v>796</v>
      </c>
      <c r="W339" s="29"/>
      <c r="X339" s="129"/>
      <c r="Y339" s="11"/>
      <c r="Z339" s="11"/>
      <c r="AA339" s="11"/>
      <c r="AB339" s="11"/>
      <c r="AC339" s="11"/>
      <c r="AD339" s="11"/>
      <c r="AE339" s="11"/>
      <c r="AF339" s="11"/>
      <c r="AG339" s="98"/>
      <c r="AH339" s="11" t="s">
        <v>32</v>
      </c>
    </row>
    <row r="340" spans="1:34" x14ac:dyDescent="0.3">
      <c r="A340" s="7" t="str">
        <f t="shared" si="26"/>
        <v>TR-1339</v>
      </c>
      <c r="B340" s="11" t="s">
        <v>1109</v>
      </c>
      <c r="C340" s="141" t="s">
        <v>908</v>
      </c>
      <c r="D340" s="98">
        <v>34929</v>
      </c>
      <c r="E340" s="111">
        <f t="shared" ca="1" si="27"/>
        <v>30</v>
      </c>
      <c r="F340" s="132" t="s">
        <v>762</v>
      </c>
      <c r="G340" s="11" t="s">
        <v>253</v>
      </c>
      <c r="H340" s="140" t="s">
        <v>1218</v>
      </c>
      <c r="I340" s="140" t="s">
        <v>1221</v>
      </c>
      <c r="J340" s="132"/>
      <c r="K340" s="11"/>
      <c r="L340" s="142">
        <v>45874</v>
      </c>
      <c r="M340" s="96" t="str" cm="1">
        <f t="array" ref="M340">_xlfn.XLOOKUP(B340&amp;"", 'Registro EMO'!$C$13:$C$4248&amp;"", 'Registro EMO'!$F$13:$F$4248, "Sin registro", 0, -1)</f>
        <v>Sin registro</v>
      </c>
      <c r="N340" s="11" t="str" cm="1">
        <f t="array" ref="N340">_xlfn.XLOOKUP(B340&amp;"", 'Registro EMO'!$C$13:$C$4248&amp;"", 'Registro EMO'!$E$13:$E$4248, "Sin registro", 0, -1)</f>
        <v>Sin registro</v>
      </c>
      <c r="O340" s="11" t="str">
        <f t="shared" si="28"/>
        <v>NO</v>
      </c>
      <c r="P340" s="130" t="str" cm="1">
        <f t="array" ref="P340">_xlfn.LET(
    _xlpm.resultado, _xlfn.XLOOKUP(B340&amp;"", 'Registro EMO'!$C$13:$C$4248&amp;"", 'Registro EMO'!$I$13:$I$4248, "NO", 0, -1),
    IF(_xlpm.resultado=0, "NO", _xlpm.resultado)
)</f>
        <v>NO</v>
      </c>
      <c r="Q340" s="11" t="str">
        <f t="shared" ca="1" si="29"/>
        <v>Pendiente</v>
      </c>
      <c r="R340" s="96"/>
      <c r="S340" s="11"/>
      <c r="T340" s="11" t="str">
        <f t="shared" si="30"/>
        <v/>
      </c>
      <c r="U340" s="11"/>
      <c r="V340" s="146"/>
      <c r="W340" s="29"/>
      <c r="X340" s="129"/>
      <c r="Y340" s="11"/>
      <c r="Z340" s="11"/>
      <c r="AA340" s="11"/>
      <c r="AB340" s="11"/>
      <c r="AC340" s="11"/>
      <c r="AD340" s="11"/>
      <c r="AE340" s="11"/>
      <c r="AF340" s="11"/>
      <c r="AG340" s="98"/>
      <c r="AH340" s="11"/>
    </row>
    <row r="341" spans="1:34" x14ac:dyDescent="0.3">
      <c r="A341" s="7" t="str">
        <f t="shared" si="26"/>
        <v>TR-1340</v>
      </c>
      <c r="B341" s="11" t="s">
        <v>1110</v>
      </c>
      <c r="C341" s="141" t="s">
        <v>909</v>
      </c>
      <c r="D341" s="98">
        <v>34236</v>
      </c>
      <c r="E341" s="111">
        <f t="shared" ca="1" si="27"/>
        <v>32</v>
      </c>
      <c r="F341" s="132" t="s">
        <v>743</v>
      </c>
      <c r="G341" s="11" t="s">
        <v>253</v>
      </c>
      <c r="H341" s="140" t="s">
        <v>1218</v>
      </c>
      <c r="I341" s="140" t="s">
        <v>1221</v>
      </c>
      <c r="J341" s="132"/>
      <c r="K341" s="11"/>
      <c r="L341" s="142">
        <v>45967</v>
      </c>
      <c r="M341" s="96" t="str" cm="1">
        <f t="array" ref="M341">_xlfn.XLOOKUP(B341&amp;"", 'Registro EMO'!$C$13:$C$4248&amp;"", 'Registro EMO'!$F$13:$F$4248, "Sin registro", 0, -1)</f>
        <v>Sin registro</v>
      </c>
      <c r="N341" s="11" t="str" cm="1">
        <f t="array" ref="N341">_xlfn.XLOOKUP(B341&amp;"", 'Registro EMO'!$C$13:$C$4248&amp;"", 'Registro EMO'!$E$13:$E$4248, "Sin registro", 0, -1)</f>
        <v>Sin registro</v>
      </c>
      <c r="O341" s="11" t="str">
        <f t="shared" si="28"/>
        <v>NO</v>
      </c>
      <c r="P341" s="130" t="str" cm="1">
        <f t="array" ref="P341">_xlfn.LET(
    _xlpm.resultado, _xlfn.XLOOKUP(B341&amp;"", 'Registro EMO'!$C$13:$C$4248&amp;"", 'Registro EMO'!$I$13:$I$4248, "NO", 0, -1),
    IF(_xlpm.resultado=0, "NO", _xlpm.resultado)
)</f>
        <v>NO</v>
      </c>
      <c r="Q341" s="11" t="str">
        <f t="shared" ca="1" si="29"/>
        <v>Pendiente</v>
      </c>
      <c r="R341" s="96"/>
      <c r="S341" s="11"/>
      <c r="T341" s="11" t="str">
        <f t="shared" si="30"/>
        <v/>
      </c>
      <c r="U341" s="11"/>
      <c r="V341" s="146"/>
      <c r="W341" s="29"/>
      <c r="X341" s="129"/>
      <c r="Y341" s="11"/>
      <c r="Z341" s="11"/>
      <c r="AA341" s="11"/>
      <c r="AB341" s="11"/>
      <c r="AC341" s="11"/>
      <c r="AD341" s="11"/>
      <c r="AE341" s="11"/>
      <c r="AF341" s="11"/>
      <c r="AG341" s="98"/>
      <c r="AH341" s="11"/>
    </row>
    <row r="342" spans="1:34" x14ac:dyDescent="0.3">
      <c r="A342" s="7" t="str">
        <f t="shared" si="26"/>
        <v>TR-1341</v>
      </c>
      <c r="B342" s="11" t="s">
        <v>1111</v>
      </c>
      <c r="C342" s="141" t="s">
        <v>910</v>
      </c>
      <c r="D342" s="98">
        <v>33449</v>
      </c>
      <c r="E342" s="111">
        <f t="shared" ca="1" si="27"/>
        <v>34</v>
      </c>
      <c r="F342" s="132" t="s">
        <v>762</v>
      </c>
      <c r="G342" s="11" t="s">
        <v>253</v>
      </c>
      <c r="H342" s="140" t="s">
        <v>1218</v>
      </c>
      <c r="I342" s="140" t="s">
        <v>1219</v>
      </c>
      <c r="J342" s="132"/>
      <c r="K342" s="11"/>
      <c r="L342" s="142">
        <v>45444</v>
      </c>
      <c r="M342" s="96" t="str" cm="1">
        <f t="array" ref="M342">_xlfn.XLOOKUP(B342&amp;"", 'Registro EMO'!$C$13:$C$4248&amp;"", 'Registro EMO'!$F$13:$F$4248, "Sin registro", 0, -1)</f>
        <v>15/10/2026</v>
      </c>
      <c r="N342" s="11" t="str" cm="1">
        <f t="array" ref="N342">_xlfn.XLOOKUP(B342&amp;"", 'Registro EMO'!$C$13:$C$4248&amp;"", 'Registro EMO'!$E$13:$E$4248, "Sin registro", 0, -1)</f>
        <v>Pre-Ocupacional</v>
      </c>
      <c r="O342" s="11" t="str">
        <f t="shared" si="28"/>
        <v>NO</v>
      </c>
      <c r="P342" s="130" t="str" cm="1">
        <f t="array" ref="P342">_xlfn.LET(
    _xlpm.resultado, _xlfn.XLOOKUP(B342&amp;"", 'Registro EMO'!$C$13:$C$4248&amp;"", 'Registro EMO'!$I$13:$I$4248, "NO", 0, -1),
    IF(_xlpm.resultado=0, "NO", _xlpm.resultado)
)</f>
        <v>NO</v>
      </c>
      <c r="Q342" s="11" t="str">
        <f t="shared" ca="1" si="29"/>
        <v>Vigente</v>
      </c>
      <c r="R342" s="96"/>
      <c r="S342" s="11"/>
      <c r="T342" s="11"/>
      <c r="U342" s="11"/>
      <c r="V342" s="11" t="s">
        <v>796</v>
      </c>
      <c r="W342" s="29"/>
      <c r="X342" s="129"/>
      <c r="Y342" s="11"/>
      <c r="Z342" s="11"/>
      <c r="AA342" s="11"/>
      <c r="AB342" s="11"/>
      <c r="AC342" s="11"/>
      <c r="AD342" s="11"/>
      <c r="AE342" s="11"/>
      <c r="AF342" s="11"/>
      <c r="AG342" s="98"/>
      <c r="AH342" s="11" t="s">
        <v>32</v>
      </c>
    </row>
    <row r="343" spans="1:34" x14ac:dyDescent="0.3">
      <c r="A343" s="7" t="str">
        <f t="shared" si="26"/>
        <v>TR-1342</v>
      </c>
      <c r="B343" s="11" t="s">
        <v>1112</v>
      </c>
      <c r="C343" s="141" t="s">
        <v>911</v>
      </c>
      <c r="D343" s="98">
        <v>30499</v>
      </c>
      <c r="E343" s="111">
        <f t="shared" ca="1" si="27"/>
        <v>42</v>
      </c>
      <c r="F343" s="132" t="s">
        <v>762</v>
      </c>
      <c r="G343" s="11" t="s">
        <v>253</v>
      </c>
      <c r="H343" s="140" t="s">
        <v>1218</v>
      </c>
      <c r="I343" s="140" t="s">
        <v>1219</v>
      </c>
      <c r="J343" s="132"/>
      <c r="K343" s="11"/>
      <c r="L343" s="142">
        <v>43983</v>
      </c>
      <c r="M343" s="96" t="str" cm="1">
        <f t="array" ref="M343">_xlfn.XLOOKUP(B343&amp;"", 'Registro EMO'!$C$13:$C$4248&amp;"", 'Registro EMO'!$F$13:$F$4248, "Sin registro", 0, -1)</f>
        <v>25/01/2026</v>
      </c>
      <c r="N343" s="11" t="str" cm="1">
        <f t="array" ref="N343">_xlfn.XLOOKUP(B343&amp;"", 'Registro EMO'!$C$13:$C$4248&amp;"", 'Registro EMO'!$E$13:$E$4248, "Sin registro", 0, -1)</f>
        <v>Pre-Ocupacional</v>
      </c>
      <c r="O343" s="11" t="str">
        <f t="shared" si="28"/>
        <v>NO</v>
      </c>
      <c r="P343" s="130" t="str" cm="1">
        <f t="array" ref="P343">_xlfn.LET(
    _xlpm.resultado, _xlfn.XLOOKUP(B343&amp;"", 'Registro EMO'!$C$13:$C$4248&amp;"", 'Registro EMO'!$I$13:$I$4248, "NO", 0, -1),
    IF(_xlpm.resultado=0, "NO", _xlpm.resultado)
)</f>
        <v>NO</v>
      </c>
      <c r="Q343" s="11" t="str">
        <f t="shared" ca="1" si="29"/>
        <v>Vigente</v>
      </c>
      <c r="R343" s="96" t="s">
        <v>1330</v>
      </c>
      <c r="S343" s="11" t="s">
        <v>1232</v>
      </c>
      <c r="T343" s="11" t="str">
        <f t="shared" si="30"/>
        <v>NO</v>
      </c>
      <c r="U343" s="11"/>
      <c r="V343" s="146" t="s">
        <v>126</v>
      </c>
      <c r="W343" s="29"/>
      <c r="X343" s="129"/>
      <c r="Y343" s="11"/>
      <c r="Z343" s="11"/>
      <c r="AA343" s="11"/>
      <c r="AB343" s="11"/>
      <c r="AC343" s="11"/>
      <c r="AD343" s="11"/>
      <c r="AE343" s="11"/>
      <c r="AF343" s="11"/>
      <c r="AG343" s="98"/>
      <c r="AH343" s="11" t="s">
        <v>32</v>
      </c>
    </row>
    <row r="344" spans="1:34" x14ac:dyDescent="0.3">
      <c r="A344" s="7" t="str">
        <f t="shared" si="26"/>
        <v>TR-1343</v>
      </c>
      <c r="B344" s="11" t="s">
        <v>1113</v>
      </c>
      <c r="C344" s="141" t="s">
        <v>912</v>
      </c>
      <c r="D344" s="98">
        <v>36182</v>
      </c>
      <c r="E344" s="111">
        <f t="shared" ca="1" si="27"/>
        <v>27</v>
      </c>
      <c r="F344" s="132" t="s">
        <v>743</v>
      </c>
      <c r="G344" s="11" t="s">
        <v>253</v>
      </c>
      <c r="H344" s="140" t="s">
        <v>1218</v>
      </c>
      <c r="I344" s="140" t="s">
        <v>1221</v>
      </c>
      <c r="J344" s="132"/>
      <c r="K344" s="11"/>
      <c r="L344" s="142">
        <v>45267</v>
      </c>
      <c r="M344" s="96" t="str" cm="1">
        <f t="array" ref="M344">_xlfn.XLOOKUP(B344&amp;"", 'Registro EMO'!$C$13:$C$4248&amp;"", 'Registro EMO'!$F$13:$F$4248, "Sin registro", 0, -1)</f>
        <v>20/11/2026</v>
      </c>
      <c r="N344" s="11" t="str" cm="1">
        <f t="array" ref="N344">_xlfn.XLOOKUP(B344&amp;"", 'Registro EMO'!$C$13:$C$4248&amp;"", 'Registro EMO'!$E$13:$E$4248, "Sin registro", 0, -1)</f>
        <v>Pre-Ocupacional</v>
      </c>
      <c r="O344" s="11" t="str">
        <f t="shared" si="28"/>
        <v>NO</v>
      </c>
      <c r="P344" s="130" t="str" cm="1">
        <f t="array" ref="P344">_xlfn.LET(
    _xlpm.resultado, _xlfn.XLOOKUP(B344&amp;"", 'Registro EMO'!$C$13:$C$4248&amp;"", 'Registro EMO'!$I$13:$I$4248, "NO", 0, -1),
    IF(_xlpm.resultado=0, "NO", _xlpm.resultado)
)</f>
        <v>NO</v>
      </c>
      <c r="Q344" s="11" t="str">
        <f t="shared" ca="1" si="29"/>
        <v>Vigente</v>
      </c>
      <c r="R344" s="96"/>
      <c r="S344" s="11"/>
      <c r="T344" s="11"/>
      <c r="U344" s="11"/>
      <c r="V344" s="11" t="s">
        <v>796</v>
      </c>
      <c r="W344" s="29"/>
      <c r="X344" s="129"/>
      <c r="Y344" s="11"/>
      <c r="Z344" s="11"/>
      <c r="AA344" s="11"/>
      <c r="AB344" s="11"/>
      <c r="AC344" s="11"/>
      <c r="AD344" s="11"/>
      <c r="AE344" s="11"/>
      <c r="AF344" s="11"/>
      <c r="AG344" s="98"/>
      <c r="AH344" s="11" t="s">
        <v>32</v>
      </c>
    </row>
    <row r="345" spans="1:34" x14ac:dyDescent="0.3">
      <c r="A345" s="7" t="str">
        <f t="shared" si="26"/>
        <v>TR-1344</v>
      </c>
      <c r="B345" s="11" t="s">
        <v>1114</v>
      </c>
      <c r="C345" s="141" t="s">
        <v>913</v>
      </c>
      <c r="D345" s="98">
        <v>36128</v>
      </c>
      <c r="E345" s="111">
        <f t="shared" ca="1" si="27"/>
        <v>27</v>
      </c>
      <c r="F345" s="132" t="s">
        <v>743</v>
      </c>
      <c r="G345" s="11" t="s">
        <v>253</v>
      </c>
      <c r="H345" s="140" t="s">
        <v>1218</v>
      </c>
      <c r="I345" s="140" t="s">
        <v>1221</v>
      </c>
      <c r="J345" s="132"/>
      <c r="K345" s="11"/>
      <c r="L345" s="142">
        <v>46035</v>
      </c>
      <c r="M345" s="96" t="str" cm="1">
        <f t="array" ref="M345">_xlfn.XLOOKUP(B345&amp;"", 'Registro EMO'!$C$13:$C$4248&amp;"", 'Registro EMO'!$F$13:$F$4248, "Sin registro", 0, -1)</f>
        <v>Sin registro</v>
      </c>
      <c r="N345" s="11" t="str" cm="1">
        <f t="array" ref="N345">_xlfn.XLOOKUP(B345&amp;"", 'Registro EMO'!$C$13:$C$4248&amp;"", 'Registro EMO'!$E$13:$E$4248, "Sin registro", 0, -1)</f>
        <v>Sin registro</v>
      </c>
      <c r="O345" s="11" t="str">
        <f t="shared" si="28"/>
        <v>NO</v>
      </c>
      <c r="P345" s="130" t="str" cm="1">
        <f t="array" ref="P345">_xlfn.LET(
    _xlpm.resultado, _xlfn.XLOOKUP(B345&amp;"", 'Registro EMO'!$C$13:$C$4248&amp;"", 'Registro EMO'!$I$13:$I$4248, "NO", 0, -1),
    IF(_xlpm.resultado=0, "NO", _xlpm.resultado)
)</f>
        <v>NO</v>
      </c>
      <c r="Q345" s="11" t="str">
        <f t="shared" ca="1" si="29"/>
        <v>Pendiente</v>
      </c>
      <c r="R345" s="96"/>
      <c r="S345" s="11"/>
      <c r="T345" s="11" t="str">
        <f t="shared" si="30"/>
        <v/>
      </c>
      <c r="U345" s="11"/>
      <c r="V345" s="146"/>
      <c r="W345" s="29"/>
      <c r="X345" s="129"/>
      <c r="Y345" s="11"/>
      <c r="Z345" s="11"/>
      <c r="AA345" s="11"/>
      <c r="AB345" s="11"/>
      <c r="AC345" s="11"/>
      <c r="AD345" s="11"/>
      <c r="AE345" s="11"/>
      <c r="AF345" s="11"/>
      <c r="AG345" s="98"/>
      <c r="AH345" s="11"/>
    </row>
    <row r="346" spans="1:34" x14ac:dyDescent="0.3">
      <c r="A346" s="7" t="str">
        <f t="shared" si="26"/>
        <v>TR-1345</v>
      </c>
      <c r="B346" s="11" t="s">
        <v>1115</v>
      </c>
      <c r="C346" s="141" t="s">
        <v>914</v>
      </c>
      <c r="D346" s="98">
        <v>36090</v>
      </c>
      <c r="E346" s="111">
        <f t="shared" ca="1" si="27"/>
        <v>27</v>
      </c>
      <c r="F346" s="132" t="s">
        <v>743</v>
      </c>
      <c r="G346" s="11" t="s">
        <v>253</v>
      </c>
      <c r="H346" s="140" t="s">
        <v>1218</v>
      </c>
      <c r="I346" s="140" t="s">
        <v>1221</v>
      </c>
      <c r="J346" s="132"/>
      <c r="K346" s="11"/>
      <c r="L346" s="142">
        <v>45759</v>
      </c>
      <c r="M346" s="96" t="str" cm="1">
        <f t="array" ref="M346">_xlfn.XLOOKUP(B346&amp;"", 'Registro EMO'!$C$13:$C$4248&amp;"", 'Registro EMO'!$F$13:$F$4248, "Sin registro", 0, -1)</f>
        <v>Sin registro</v>
      </c>
      <c r="N346" s="11" t="str" cm="1">
        <f t="array" ref="N346">_xlfn.XLOOKUP(B346&amp;"", 'Registro EMO'!$C$13:$C$4248&amp;"", 'Registro EMO'!$E$13:$E$4248, "Sin registro", 0, -1)</f>
        <v>Sin registro</v>
      </c>
      <c r="O346" s="11" t="str">
        <f t="shared" si="28"/>
        <v>NO</v>
      </c>
      <c r="P346" s="130" t="str" cm="1">
        <f t="array" ref="P346">_xlfn.LET(
    _xlpm.resultado, _xlfn.XLOOKUP(B346&amp;"", 'Registro EMO'!$C$13:$C$4248&amp;"", 'Registro EMO'!$I$13:$I$4248, "NO", 0, -1),
    IF(_xlpm.resultado=0, "NO", _xlpm.resultado)
)</f>
        <v>NO</v>
      </c>
      <c r="Q346" s="11" t="str">
        <f t="shared" ca="1" si="29"/>
        <v>Pendiente</v>
      </c>
      <c r="R346" s="96"/>
      <c r="S346" s="11"/>
      <c r="T346" s="11" t="str">
        <f t="shared" si="30"/>
        <v/>
      </c>
      <c r="U346" s="11"/>
      <c r="V346" s="146"/>
      <c r="W346" s="29"/>
      <c r="X346" s="129"/>
      <c r="Y346" s="11"/>
      <c r="Z346" s="11"/>
      <c r="AA346" s="11"/>
      <c r="AB346" s="11"/>
      <c r="AC346" s="11"/>
      <c r="AD346" s="11"/>
      <c r="AE346" s="11"/>
      <c r="AF346" s="11"/>
      <c r="AG346" s="98"/>
      <c r="AH346" s="11"/>
    </row>
    <row r="347" spans="1:34" x14ac:dyDescent="0.3">
      <c r="A347" s="7" t="str">
        <f t="shared" si="26"/>
        <v>TR-1346</v>
      </c>
      <c r="B347" s="11" t="s">
        <v>1116</v>
      </c>
      <c r="C347" s="141" t="s">
        <v>915</v>
      </c>
      <c r="D347" s="98">
        <v>35057</v>
      </c>
      <c r="E347" s="111">
        <f t="shared" ca="1" si="27"/>
        <v>30</v>
      </c>
      <c r="F347" s="132" t="s">
        <v>762</v>
      </c>
      <c r="G347" s="11" t="s">
        <v>253</v>
      </c>
      <c r="H347" s="140" t="s">
        <v>1218</v>
      </c>
      <c r="I347" s="140" t="s">
        <v>1221</v>
      </c>
      <c r="J347" s="132"/>
      <c r="K347" s="11"/>
      <c r="L347" s="142">
        <v>46002</v>
      </c>
      <c r="M347" s="96" t="str" cm="1">
        <f t="array" ref="M347">_xlfn.XLOOKUP(B347&amp;"", 'Registro EMO'!$C$13:$C$4248&amp;"", 'Registro EMO'!$F$13:$F$4248, "Sin registro", 0, -1)</f>
        <v>23/08/2026</v>
      </c>
      <c r="N347" s="11" t="str" cm="1">
        <f t="array" ref="N347">_xlfn.XLOOKUP(B347&amp;"", 'Registro EMO'!$C$13:$C$4248&amp;"", 'Registro EMO'!$E$13:$E$4248, "Sin registro", 0, -1)</f>
        <v>Pre-Ocupacional</v>
      </c>
      <c r="O347" s="11" t="str">
        <f t="shared" si="28"/>
        <v>NO</v>
      </c>
      <c r="P347" s="130" t="str" cm="1">
        <f t="array" ref="P347">_xlfn.LET(
    _xlpm.resultado, _xlfn.XLOOKUP(B347&amp;"", 'Registro EMO'!$C$13:$C$4248&amp;"", 'Registro EMO'!$I$13:$I$4248, "NO", 0, -1),
    IF(_xlpm.resultado=0, "NO", _xlpm.resultado)
)</f>
        <v>NO</v>
      </c>
      <c r="Q347" s="11" t="str">
        <f t="shared" ca="1" si="29"/>
        <v>Vigente</v>
      </c>
      <c r="R347" s="96" t="s">
        <v>1331</v>
      </c>
      <c r="S347" s="11" t="s">
        <v>1232</v>
      </c>
      <c r="T347" s="11" t="str">
        <f t="shared" si="30"/>
        <v>NO</v>
      </c>
      <c r="U347" s="11"/>
      <c r="V347" s="146" t="s">
        <v>126</v>
      </c>
      <c r="W347" s="29"/>
      <c r="X347" s="129"/>
      <c r="Y347" s="11"/>
      <c r="Z347" s="11"/>
      <c r="AA347" s="11"/>
      <c r="AB347" s="11"/>
      <c r="AC347" s="11"/>
      <c r="AD347" s="11"/>
      <c r="AE347" s="11"/>
      <c r="AF347" s="11"/>
      <c r="AG347" s="98"/>
      <c r="AH347" s="11" t="s">
        <v>32</v>
      </c>
    </row>
    <row r="348" spans="1:34" x14ac:dyDescent="0.3">
      <c r="A348" s="7" t="str">
        <f t="shared" si="26"/>
        <v>TR-1347</v>
      </c>
      <c r="B348" s="11" t="s">
        <v>1117</v>
      </c>
      <c r="C348" s="141" t="s">
        <v>916</v>
      </c>
      <c r="D348" s="98">
        <v>28202</v>
      </c>
      <c r="E348" s="111">
        <f t="shared" ca="1" si="27"/>
        <v>48</v>
      </c>
      <c r="F348" s="132" t="s">
        <v>743</v>
      </c>
      <c r="G348" s="11" t="s">
        <v>253</v>
      </c>
      <c r="H348" s="140" t="s">
        <v>1218</v>
      </c>
      <c r="I348" s="140" t="s">
        <v>1223</v>
      </c>
      <c r="J348" s="132"/>
      <c r="K348" s="11"/>
      <c r="L348" s="142">
        <v>45931</v>
      </c>
      <c r="M348" s="96" t="str" cm="1">
        <f t="array" ref="M348">_xlfn.XLOOKUP(B348&amp;"", 'Registro EMO'!$C$13:$C$4248&amp;"", 'Registro EMO'!$F$13:$F$4248, "Sin registro", 0, -1)</f>
        <v>Sin registro</v>
      </c>
      <c r="N348" s="11" t="str" cm="1">
        <f t="array" ref="N348">_xlfn.XLOOKUP(B348&amp;"", 'Registro EMO'!$C$13:$C$4248&amp;"", 'Registro EMO'!$E$13:$E$4248, "Sin registro", 0, -1)</f>
        <v>Sin registro</v>
      </c>
      <c r="O348" s="11" t="str">
        <f t="shared" si="28"/>
        <v>NO</v>
      </c>
      <c r="P348" s="130" t="str" cm="1">
        <f t="array" ref="P348">_xlfn.LET(
    _xlpm.resultado, _xlfn.XLOOKUP(B348&amp;"", 'Registro EMO'!$C$13:$C$4248&amp;"", 'Registro EMO'!$I$13:$I$4248, "NO", 0, -1),
    IF(_xlpm.resultado=0, "NO", _xlpm.resultado)
)</f>
        <v>NO</v>
      </c>
      <c r="Q348" s="11" t="str">
        <f t="shared" ca="1" si="29"/>
        <v>Pendiente</v>
      </c>
      <c r="R348" s="96"/>
      <c r="S348" s="11"/>
      <c r="T348" s="11" t="str">
        <f t="shared" si="30"/>
        <v/>
      </c>
      <c r="U348" s="11"/>
      <c r="V348" s="146"/>
      <c r="W348" s="29"/>
      <c r="X348" s="129"/>
      <c r="Y348" s="11"/>
      <c r="Z348" s="11"/>
      <c r="AA348" s="11"/>
      <c r="AB348" s="11"/>
      <c r="AC348" s="11"/>
      <c r="AD348" s="11"/>
      <c r="AE348" s="11"/>
      <c r="AF348" s="11"/>
      <c r="AG348" s="98"/>
      <c r="AH348" s="11"/>
    </row>
    <row r="349" spans="1:34" x14ac:dyDescent="0.3">
      <c r="A349" s="7" t="str">
        <f t="shared" si="26"/>
        <v>TR-1348</v>
      </c>
      <c r="B349" s="11" t="s">
        <v>1118</v>
      </c>
      <c r="C349" s="141" t="s">
        <v>917</v>
      </c>
      <c r="D349" s="98">
        <v>26171</v>
      </c>
      <c r="E349" s="111">
        <f t="shared" ca="1" si="27"/>
        <v>54</v>
      </c>
      <c r="F349" s="132" t="s">
        <v>743</v>
      </c>
      <c r="G349" s="11" t="s">
        <v>253</v>
      </c>
      <c r="H349" s="140" t="s">
        <v>1218</v>
      </c>
      <c r="I349" s="140" t="s">
        <v>1223</v>
      </c>
      <c r="J349" s="132"/>
      <c r="K349" s="11"/>
      <c r="L349" s="142">
        <v>45425</v>
      </c>
      <c r="M349" s="96" t="str" cm="1">
        <f t="array" ref="M349">_xlfn.XLOOKUP(B349&amp;"", 'Registro EMO'!$C$13:$C$4248&amp;"", 'Registro EMO'!$F$13:$F$4248, "Sin registro", 0, -1)</f>
        <v>17/03/2026</v>
      </c>
      <c r="N349" s="11" t="str" cm="1">
        <f t="array" ref="N349">_xlfn.XLOOKUP(B349&amp;"", 'Registro EMO'!$C$13:$C$4248&amp;"", 'Registro EMO'!$E$13:$E$4248, "Sin registro", 0, -1)</f>
        <v>Pre-Ocupacional</v>
      </c>
      <c r="O349" s="11" t="str">
        <f t="shared" si="28"/>
        <v>NO</v>
      </c>
      <c r="P349" s="130" t="str" cm="1">
        <f t="array" ref="P349">_xlfn.LET(
    _xlpm.resultado, _xlfn.XLOOKUP(B349&amp;"", 'Registro EMO'!$C$13:$C$4248&amp;"", 'Registro EMO'!$I$13:$I$4248, "NO", 0, -1),
    IF(_xlpm.resultado=0, "NO", _xlpm.resultado)
)</f>
        <v>NO</v>
      </c>
      <c r="Q349" s="11" t="str">
        <f t="shared" ca="1" si="29"/>
        <v>Vigente</v>
      </c>
      <c r="R349" s="96"/>
      <c r="S349" s="11"/>
      <c r="T349" s="11"/>
      <c r="U349" s="11"/>
      <c r="V349" s="11" t="s">
        <v>796</v>
      </c>
      <c r="W349" s="29"/>
      <c r="X349" s="129"/>
      <c r="Y349" s="11"/>
      <c r="Z349" s="11"/>
      <c r="AA349" s="11"/>
      <c r="AB349" s="11"/>
      <c r="AC349" s="11"/>
      <c r="AD349" s="11"/>
      <c r="AE349" s="11"/>
      <c r="AF349" s="11"/>
      <c r="AG349" s="98"/>
      <c r="AH349" s="11" t="s">
        <v>32</v>
      </c>
    </row>
    <row r="350" spans="1:34" x14ac:dyDescent="0.3">
      <c r="A350" s="7" t="str">
        <f t="shared" si="26"/>
        <v>TR-1349</v>
      </c>
      <c r="B350" s="11" t="s">
        <v>1119</v>
      </c>
      <c r="C350" s="141" t="s">
        <v>918</v>
      </c>
      <c r="D350" s="98">
        <v>25099</v>
      </c>
      <c r="E350" s="111">
        <f t="shared" ca="1" si="27"/>
        <v>57</v>
      </c>
      <c r="F350" s="132" t="s">
        <v>762</v>
      </c>
      <c r="G350" s="11" t="s">
        <v>253</v>
      </c>
      <c r="H350" s="140" t="s">
        <v>752</v>
      </c>
      <c r="I350" s="140" t="s">
        <v>1224</v>
      </c>
      <c r="J350" s="132"/>
      <c r="K350" s="11"/>
      <c r="L350" s="142">
        <v>37895</v>
      </c>
      <c r="M350" s="96" t="str" cm="1">
        <f t="array" ref="M350">_xlfn.XLOOKUP(B350&amp;"", 'Registro EMO'!$C$13:$C$4248&amp;"", 'Registro EMO'!$F$13:$F$4248, "Sin registro", 0, -1)</f>
        <v>Sin registro</v>
      </c>
      <c r="N350" s="11" t="str" cm="1">
        <f t="array" ref="N350">_xlfn.XLOOKUP(B350&amp;"", 'Registro EMO'!$C$13:$C$4248&amp;"", 'Registro EMO'!$E$13:$E$4248, "Sin registro", 0, -1)</f>
        <v>Sin registro</v>
      </c>
      <c r="O350" s="11" t="str">
        <f t="shared" si="28"/>
        <v>NO</v>
      </c>
      <c r="P350" s="130" t="str" cm="1">
        <f t="array" ref="P350">_xlfn.LET(
    _xlpm.resultado, _xlfn.XLOOKUP(B350&amp;"", 'Registro EMO'!$C$13:$C$4248&amp;"", 'Registro EMO'!$I$13:$I$4248, "NO", 0, -1),
    IF(_xlpm.resultado=0, "NO", _xlpm.resultado)
)</f>
        <v>NO</v>
      </c>
      <c r="Q350" s="11" t="str">
        <f t="shared" ca="1" si="29"/>
        <v>Pendiente</v>
      </c>
      <c r="R350" s="96"/>
      <c r="S350" s="11"/>
      <c r="T350" s="11" t="str">
        <f t="shared" si="30"/>
        <v/>
      </c>
      <c r="U350" s="11"/>
      <c r="V350" s="146"/>
      <c r="W350" s="29"/>
      <c r="X350" s="129"/>
      <c r="Y350" s="11"/>
      <c r="Z350" s="11"/>
      <c r="AA350" s="11"/>
      <c r="AB350" s="11"/>
      <c r="AC350" s="11"/>
      <c r="AD350" s="11"/>
      <c r="AE350" s="11"/>
      <c r="AF350" s="11"/>
      <c r="AG350" s="98"/>
      <c r="AH350" s="11"/>
    </row>
    <row r="351" spans="1:34" x14ac:dyDescent="0.3">
      <c r="A351" s="7" t="str">
        <f t="shared" si="26"/>
        <v>TR-1350</v>
      </c>
      <c r="B351" s="11" t="s">
        <v>1120</v>
      </c>
      <c r="C351" s="141" t="s">
        <v>919</v>
      </c>
      <c r="D351" s="98">
        <v>27536</v>
      </c>
      <c r="E351" s="111">
        <f t="shared" ca="1" si="27"/>
        <v>50</v>
      </c>
      <c r="F351" s="132" t="s">
        <v>743</v>
      </c>
      <c r="G351" s="11" t="s">
        <v>253</v>
      </c>
      <c r="H351" s="140" t="s">
        <v>752</v>
      </c>
      <c r="I351" s="140" t="s">
        <v>753</v>
      </c>
      <c r="J351" s="132"/>
      <c r="K351" s="11"/>
      <c r="L351" s="142">
        <v>38808</v>
      </c>
      <c r="M351" s="96" t="str" cm="1">
        <f t="array" ref="M351">_xlfn.XLOOKUP(B351&amp;"", 'Registro EMO'!$C$13:$C$4248&amp;"", 'Registro EMO'!$F$13:$F$4248, "Sin registro", 0, -1)</f>
        <v>Sin registro</v>
      </c>
      <c r="N351" s="11" t="str" cm="1">
        <f t="array" ref="N351">_xlfn.XLOOKUP(B351&amp;"", 'Registro EMO'!$C$13:$C$4248&amp;"", 'Registro EMO'!$E$13:$E$4248, "Sin registro", 0, -1)</f>
        <v>Sin registro</v>
      </c>
      <c r="O351" s="11" t="str">
        <f t="shared" si="28"/>
        <v>NO</v>
      </c>
      <c r="P351" s="130" t="str" cm="1">
        <f t="array" ref="P351">_xlfn.LET(
    _xlpm.resultado, _xlfn.XLOOKUP(B351&amp;"", 'Registro EMO'!$C$13:$C$4248&amp;"", 'Registro EMO'!$I$13:$I$4248, "NO", 0, -1),
    IF(_xlpm.resultado=0, "NO", _xlpm.resultado)
)</f>
        <v>NO</v>
      </c>
      <c r="Q351" s="11" t="str">
        <f t="shared" ca="1" si="29"/>
        <v>Pendiente</v>
      </c>
      <c r="R351" s="96"/>
      <c r="S351" s="11"/>
      <c r="T351" s="11" t="str">
        <f t="shared" si="30"/>
        <v/>
      </c>
      <c r="U351" s="11"/>
      <c r="V351" s="146"/>
      <c r="W351" s="29"/>
      <c r="X351" s="129"/>
      <c r="Y351" s="11"/>
      <c r="Z351" s="11"/>
      <c r="AA351" s="11"/>
      <c r="AB351" s="11"/>
      <c r="AC351" s="11"/>
      <c r="AD351" s="11"/>
      <c r="AE351" s="11"/>
      <c r="AF351" s="11"/>
      <c r="AG351" s="98"/>
      <c r="AH351" s="11"/>
    </row>
    <row r="352" spans="1:34" x14ac:dyDescent="0.3">
      <c r="A352" s="7" t="str">
        <f t="shared" si="26"/>
        <v>TR-1351</v>
      </c>
      <c r="B352" s="11" t="s">
        <v>1121</v>
      </c>
      <c r="C352" s="141" t="s">
        <v>920</v>
      </c>
      <c r="D352" s="98">
        <v>29926</v>
      </c>
      <c r="E352" s="111">
        <f t="shared" ca="1" si="27"/>
        <v>44</v>
      </c>
      <c r="F352" s="132" t="s">
        <v>743</v>
      </c>
      <c r="G352" s="11" t="s">
        <v>253</v>
      </c>
      <c r="H352" s="140" t="s">
        <v>1218</v>
      </c>
      <c r="I352" s="140" t="s">
        <v>1219</v>
      </c>
      <c r="J352" s="132"/>
      <c r="K352" s="11"/>
      <c r="L352" s="142">
        <v>44302</v>
      </c>
      <c r="M352" s="96" cm="1">
        <f t="array" ref="M352">_xlfn.XLOOKUP(B352&amp;"", 'Registro EMO'!$C$13:$C$4248&amp;"", 'Registro EMO'!$F$13:$F$4248, "Sin registro", 0, -1)</f>
        <v>46337</v>
      </c>
      <c r="N352" s="11" t="str" cm="1">
        <f t="array" ref="N352">_xlfn.XLOOKUP(B352&amp;"", 'Registro EMO'!$C$13:$C$4248&amp;"", 'Registro EMO'!$E$13:$E$4248, "Sin registro", 0, -1)</f>
        <v>Pre-Ocupacional</v>
      </c>
      <c r="O352" s="11" t="str">
        <f t="shared" si="28"/>
        <v>NO</v>
      </c>
      <c r="P352" s="130" t="str" cm="1">
        <f t="array" ref="P352">_xlfn.LET(
    _xlpm.resultado, _xlfn.XLOOKUP(B352&amp;"", 'Registro EMO'!$C$13:$C$4248&amp;"", 'Registro EMO'!$I$13:$I$4248, "NO", 0, -1),
    IF(_xlpm.resultado=0, "NO", _xlpm.resultado)
)</f>
        <v>NO</v>
      </c>
      <c r="Q352" s="11" t="str">
        <f t="shared" ca="1" si="29"/>
        <v>Vigente</v>
      </c>
      <c r="R352" s="96"/>
      <c r="S352" s="11"/>
      <c r="T352" s="11"/>
      <c r="U352" s="11"/>
      <c r="V352" s="11" t="s">
        <v>796</v>
      </c>
      <c r="W352" s="29"/>
      <c r="X352" s="129"/>
      <c r="Y352" s="11"/>
      <c r="Z352" s="11"/>
      <c r="AA352" s="11"/>
      <c r="AB352" s="11"/>
      <c r="AC352" s="11"/>
      <c r="AD352" s="11"/>
      <c r="AE352" s="11"/>
      <c r="AF352" s="11"/>
      <c r="AG352" s="98"/>
      <c r="AH352" s="11" t="s">
        <v>32</v>
      </c>
    </row>
    <row r="353" spans="1:34" x14ac:dyDescent="0.3">
      <c r="A353" s="7" t="str">
        <f t="shared" si="26"/>
        <v>TR-1352</v>
      </c>
      <c r="B353" s="11" t="s">
        <v>1122</v>
      </c>
      <c r="C353" s="141" t="s">
        <v>921</v>
      </c>
      <c r="D353" s="98">
        <v>34829</v>
      </c>
      <c r="E353" s="111">
        <f t="shared" ca="1" si="27"/>
        <v>30</v>
      </c>
      <c r="F353" s="132" t="s">
        <v>743</v>
      </c>
      <c r="G353" s="11" t="s">
        <v>253</v>
      </c>
      <c r="H353" s="140" t="s">
        <v>1218</v>
      </c>
      <c r="I353" s="140" t="s">
        <v>1221</v>
      </c>
      <c r="J353" s="132"/>
      <c r="K353" s="11"/>
      <c r="L353" s="142">
        <v>44593</v>
      </c>
      <c r="M353" s="96" t="str" cm="1">
        <f t="array" ref="M353">_xlfn.XLOOKUP(B353&amp;"", 'Registro EMO'!$C$13:$C$4248&amp;"", 'Registro EMO'!$F$13:$F$4248, "Sin registro", 0, -1)</f>
        <v>Sin registro</v>
      </c>
      <c r="N353" s="11" t="str" cm="1">
        <f t="array" ref="N353">_xlfn.XLOOKUP(B353&amp;"", 'Registro EMO'!$C$13:$C$4248&amp;"", 'Registro EMO'!$E$13:$E$4248, "Sin registro", 0, -1)</f>
        <v>Sin registro</v>
      </c>
      <c r="O353" s="11" t="str">
        <f t="shared" si="28"/>
        <v>NO</v>
      </c>
      <c r="P353" s="130" t="str" cm="1">
        <f t="array" ref="P353">_xlfn.LET(
    _xlpm.resultado, _xlfn.XLOOKUP(B353&amp;"", 'Registro EMO'!$C$13:$C$4248&amp;"", 'Registro EMO'!$I$13:$I$4248, "NO", 0, -1),
    IF(_xlpm.resultado=0, "NO", _xlpm.resultado)
)</f>
        <v>NO</v>
      </c>
      <c r="Q353" s="11" t="str">
        <f t="shared" ca="1" si="29"/>
        <v>Pendiente</v>
      </c>
      <c r="R353" s="96"/>
      <c r="S353" s="11"/>
      <c r="T353" s="11" t="str">
        <f t="shared" si="30"/>
        <v/>
      </c>
      <c r="U353" s="11"/>
      <c r="V353" s="146"/>
      <c r="W353" s="29"/>
      <c r="X353" s="129"/>
      <c r="Y353" s="11"/>
      <c r="Z353" s="11"/>
      <c r="AA353" s="11"/>
      <c r="AB353" s="11"/>
      <c r="AC353" s="11"/>
      <c r="AD353" s="11"/>
      <c r="AE353" s="11"/>
      <c r="AF353" s="11"/>
      <c r="AG353" s="98"/>
      <c r="AH353" s="11"/>
    </row>
    <row r="354" spans="1:34" x14ac:dyDescent="0.3">
      <c r="A354" s="7" t="str">
        <f t="shared" si="26"/>
        <v>TR-1353</v>
      </c>
      <c r="B354" s="11" t="s">
        <v>1123</v>
      </c>
      <c r="C354" s="141" t="s">
        <v>922</v>
      </c>
      <c r="D354" s="98">
        <v>30385</v>
      </c>
      <c r="E354" s="111">
        <f t="shared" ca="1" si="27"/>
        <v>43</v>
      </c>
      <c r="F354" s="132" t="s">
        <v>762</v>
      </c>
      <c r="G354" s="11" t="s">
        <v>253</v>
      </c>
      <c r="H354" s="140" t="s">
        <v>1218</v>
      </c>
      <c r="I354" s="140" t="s">
        <v>1221</v>
      </c>
      <c r="J354" s="132"/>
      <c r="K354" s="11"/>
      <c r="L354" s="142">
        <v>45001</v>
      </c>
      <c r="M354" s="96" t="str" cm="1">
        <f t="array" ref="M354">_xlfn.XLOOKUP(B354&amp;"", 'Registro EMO'!$C$13:$C$4248&amp;"", 'Registro EMO'!$F$13:$F$4248, "Sin registro", 0, -1)</f>
        <v>Sin registro</v>
      </c>
      <c r="N354" s="11" t="str" cm="1">
        <f t="array" ref="N354">_xlfn.XLOOKUP(B354&amp;"", 'Registro EMO'!$C$13:$C$4248&amp;"", 'Registro EMO'!$E$13:$E$4248, "Sin registro", 0, -1)</f>
        <v>Sin registro</v>
      </c>
      <c r="O354" s="11" t="str">
        <f t="shared" si="28"/>
        <v>NO</v>
      </c>
      <c r="P354" s="130" t="str" cm="1">
        <f t="array" ref="P354">_xlfn.LET(
    _xlpm.resultado, _xlfn.XLOOKUP(B354&amp;"", 'Registro EMO'!$C$13:$C$4248&amp;"", 'Registro EMO'!$I$13:$I$4248, "NO", 0, -1),
    IF(_xlpm.resultado=0, "NO", _xlpm.resultado)
)</f>
        <v>NO</v>
      </c>
      <c r="Q354" s="11" t="str">
        <f t="shared" ca="1" si="29"/>
        <v>Pendiente</v>
      </c>
      <c r="R354" s="96" t="s">
        <v>1243</v>
      </c>
      <c r="S354" s="11" t="s">
        <v>1232</v>
      </c>
      <c r="T354" s="11" t="str">
        <f t="shared" si="30"/>
        <v>NO</v>
      </c>
      <c r="U354" s="11"/>
      <c r="V354" s="146" t="s">
        <v>126</v>
      </c>
      <c r="W354" s="29"/>
      <c r="X354" s="129"/>
      <c r="Y354" s="11"/>
      <c r="Z354" s="11"/>
      <c r="AA354" s="11"/>
      <c r="AB354" s="11"/>
      <c r="AC354" s="11"/>
      <c r="AD354" s="11"/>
      <c r="AE354" s="11"/>
      <c r="AF354" s="11"/>
      <c r="AG354" s="98"/>
      <c r="AH354" s="11" t="s">
        <v>32</v>
      </c>
    </row>
    <row r="355" spans="1:34" x14ac:dyDescent="0.3">
      <c r="A355" s="7" t="str">
        <f t="shared" si="26"/>
        <v>TR-1354</v>
      </c>
      <c r="B355" s="11" t="s">
        <v>1124</v>
      </c>
      <c r="C355" s="141" t="s">
        <v>923</v>
      </c>
      <c r="D355" s="98">
        <v>38115</v>
      </c>
      <c r="E355" s="111">
        <f t="shared" ca="1" si="27"/>
        <v>21</v>
      </c>
      <c r="F355" s="132" t="s">
        <v>743</v>
      </c>
      <c r="G355" s="11" t="s">
        <v>253</v>
      </c>
      <c r="H355" s="140" t="s">
        <v>1218</v>
      </c>
      <c r="I355" s="140" t="s">
        <v>1221</v>
      </c>
      <c r="J355" s="132"/>
      <c r="K355" s="11"/>
      <c r="L355" s="142">
        <v>45826</v>
      </c>
      <c r="M355" s="96" t="str" cm="1">
        <f t="array" ref="M355">_xlfn.XLOOKUP(B355&amp;"", 'Registro EMO'!$C$13:$C$4248&amp;"", 'Registro EMO'!$F$13:$F$4248, "Sin registro", 0, -1)</f>
        <v>Sin registro</v>
      </c>
      <c r="N355" s="11" t="str" cm="1">
        <f t="array" ref="N355">_xlfn.XLOOKUP(B355&amp;"", 'Registro EMO'!$C$13:$C$4248&amp;"", 'Registro EMO'!$E$13:$E$4248, "Sin registro", 0, -1)</f>
        <v>Sin registro</v>
      </c>
      <c r="O355" s="11" t="str">
        <f t="shared" si="28"/>
        <v>NO</v>
      </c>
      <c r="P355" s="130" t="str" cm="1">
        <f t="array" ref="P355">_xlfn.LET(
    _xlpm.resultado, _xlfn.XLOOKUP(B355&amp;"", 'Registro EMO'!$C$13:$C$4248&amp;"", 'Registro EMO'!$I$13:$I$4248, "NO", 0, -1),
    IF(_xlpm.resultado=0, "NO", _xlpm.resultado)
)</f>
        <v>NO</v>
      </c>
      <c r="Q355" s="11" t="str">
        <f t="shared" ca="1" si="29"/>
        <v>Pendiente</v>
      </c>
      <c r="R355" s="96"/>
      <c r="S355" s="11"/>
      <c r="T355" s="11" t="str">
        <f t="shared" si="30"/>
        <v/>
      </c>
      <c r="U355" s="11"/>
      <c r="V355" s="146"/>
      <c r="W355" s="29"/>
      <c r="X355" s="129"/>
      <c r="Y355" s="11"/>
      <c r="Z355" s="11"/>
      <c r="AA355" s="11"/>
      <c r="AB355" s="11"/>
      <c r="AC355" s="11"/>
      <c r="AD355" s="11"/>
      <c r="AE355" s="11"/>
      <c r="AF355" s="11"/>
      <c r="AG355" s="98"/>
      <c r="AH355" s="11"/>
    </row>
    <row r="356" spans="1:34" x14ac:dyDescent="0.3">
      <c r="A356" s="7" t="str">
        <f t="shared" si="26"/>
        <v>TR-1355</v>
      </c>
      <c r="B356" s="11" t="s">
        <v>1125</v>
      </c>
      <c r="C356" s="141" t="s">
        <v>924</v>
      </c>
      <c r="D356" s="98">
        <v>33435</v>
      </c>
      <c r="E356" s="111">
        <f t="shared" ca="1" si="27"/>
        <v>34</v>
      </c>
      <c r="F356" s="132" t="s">
        <v>743</v>
      </c>
      <c r="G356" s="11" t="s">
        <v>253</v>
      </c>
      <c r="H356" s="140" t="s">
        <v>1218</v>
      </c>
      <c r="I356" s="140" t="s">
        <v>1221</v>
      </c>
      <c r="J356" s="132"/>
      <c r="K356" s="11"/>
      <c r="L356" s="142">
        <v>44958</v>
      </c>
      <c r="M356" s="96" t="str" cm="1">
        <f t="array" ref="M356">_xlfn.XLOOKUP(B356&amp;"", 'Registro EMO'!$C$13:$C$4248&amp;"", 'Registro EMO'!$F$13:$F$4248, "Sin registro", 0, -1)</f>
        <v>Sin registro</v>
      </c>
      <c r="N356" s="11" t="str" cm="1">
        <f t="array" ref="N356">_xlfn.XLOOKUP(B356&amp;"", 'Registro EMO'!$C$13:$C$4248&amp;"", 'Registro EMO'!$E$13:$E$4248, "Sin registro", 0, -1)</f>
        <v>Sin registro</v>
      </c>
      <c r="O356" s="11" t="str">
        <f t="shared" si="28"/>
        <v>NO</v>
      </c>
      <c r="P356" s="130" t="str" cm="1">
        <f t="array" ref="P356">_xlfn.LET(
    _xlpm.resultado, _xlfn.XLOOKUP(B356&amp;"", 'Registro EMO'!$C$13:$C$4248&amp;"", 'Registro EMO'!$I$13:$I$4248, "NO", 0, -1),
    IF(_xlpm.resultado=0, "NO", _xlpm.resultado)
)</f>
        <v>NO</v>
      </c>
      <c r="Q356" s="11" t="str">
        <f t="shared" ca="1" si="29"/>
        <v>Pendiente</v>
      </c>
      <c r="R356" s="96" t="s">
        <v>1332</v>
      </c>
      <c r="S356" s="11" t="s">
        <v>1232</v>
      </c>
      <c r="T356" s="11" t="str">
        <f t="shared" si="30"/>
        <v>NO</v>
      </c>
      <c r="U356" s="11"/>
      <c r="V356" s="146" t="s">
        <v>126</v>
      </c>
      <c r="W356" s="29"/>
      <c r="X356" s="129"/>
      <c r="Y356" s="11"/>
      <c r="Z356" s="11"/>
      <c r="AA356" s="11"/>
      <c r="AB356" s="11"/>
      <c r="AC356" s="11"/>
      <c r="AD356" s="11"/>
      <c r="AE356" s="11"/>
      <c r="AF356" s="11"/>
      <c r="AG356" s="98"/>
      <c r="AH356" s="11" t="s">
        <v>32</v>
      </c>
    </row>
    <row r="357" spans="1:34" x14ac:dyDescent="0.3">
      <c r="A357" s="7" t="str">
        <f t="shared" si="26"/>
        <v>TR-1356</v>
      </c>
      <c r="B357" s="11" t="s">
        <v>1126</v>
      </c>
      <c r="C357" s="141" t="s">
        <v>925</v>
      </c>
      <c r="D357" s="98">
        <v>31321</v>
      </c>
      <c r="E357" s="111">
        <f t="shared" ca="1" si="27"/>
        <v>40</v>
      </c>
      <c r="F357" s="132" t="s">
        <v>743</v>
      </c>
      <c r="G357" s="11" t="s">
        <v>253</v>
      </c>
      <c r="H357" s="140" t="s">
        <v>1218</v>
      </c>
      <c r="I357" s="140" t="s">
        <v>1221</v>
      </c>
      <c r="J357" s="132"/>
      <c r="K357" s="11"/>
      <c r="L357" s="142">
        <v>43983</v>
      </c>
      <c r="M357" s="96" t="str" cm="1">
        <f t="array" ref="M357">_xlfn.XLOOKUP(B357&amp;"", 'Registro EMO'!$C$13:$C$4248&amp;"", 'Registro EMO'!$F$13:$F$4248, "Sin registro", 0, -1)</f>
        <v>Sin registro</v>
      </c>
      <c r="N357" s="11" t="str" cm="1">
        <f t="array" ref="N357">_xlfn.XLOOKUP(B357&amp;"", 'Registro EMO'!$C$13:$C$4248&amp;"", 'Registro EMO'!$E$13:$E$4248, "Sin registro", 0, -1)</f>
        <v>Sin registro</v>
      </c>
      <c r="O357" s="11" t="str">
        <f t="shared" si="28"/>
        <v>NO</v>
      </c>
      <c r="P357" s="130" t="str" cm="1">
        <f t="array" ref="P357">_xlfn.LET(
    _xlpm.resultado, _xlfn.XLOOKUP(B357&amp;"", 'Registro EMO'!$C$13:$C$4248&amp;"", 'Registro EMO'!$I$13:$I$4248, "NO", 0, -1),
    IF(_xlpm.resultado=0, "NO", _xlpm.resultado)
)</f>
        <v>NO</v>
      </c>
      <c r="Q357" s="11" t="str">
        <f t="shared" ca="1" si="29"/>
        <v>Pendiente</v>
      </c>
      <c r="R357" s="96">
        <v>46336</v>
      </c>
      <c r="S357" s="11" t="s">
        <v>1232</v>
      </c>
      <c r="T357" s="11" t="str">
        <f t="shared" si="30"/>
        <v>NO</v>
      </c>
      <c r="U357" s="11"/>
      <c r="V357" s="146" t="s">
        <v>126</v>
      </c>
      <c r="W357" s="29"/>
      <c r="X357" s="129"/>
      <c r="Y357" s="11"/>
      <c r="Z357" s="11"/>
      <c r="AA357" s="11"/>
      <c r="AB357" s="11"/>
      <c r="AC357" s="11"/>
      <c r="AD357" s="11"/>
      <c r="AE357" s="11"/>
      <c r="AF357" s="11"/>
      <c r="AG357" s="98"/>
      <c r="AH357" s="11" t="s">
        <v>32</v>
      </c>
    </row>
    <row r="358" spans="1:34" x14ac:dyDescent="0.3">
      <c r="A358" s="7" t="str">
        <f t="shared" si="26"/>
        <v>TR-1357</v>
      </c>
      <c r="B358" s="11" t="s">
        <v>1127</v>
      </c>
      <c r="C358" s="141" t="s">
        <v>926</v>
      </c>
      <c r="D358" s="98">
        <v>24172</v>
      </c>
      <c r="E358" s="111">
        <f t="shared" ca="1" si="27"/>
        <v>60</v>
      </c>
      <c r="F358" s="132" t="s">
        <v>743</v>
      </c>
      <c r="G358" s="11" t="s">
        <v>253</v>
      </c>
      <c r="H358" s="140" t="s">
        <v>752</v>
      </c>
      <c r="I358" s="140" t="s">
        <v>753</v>
      </c>
      <c r="J358" s="132"/>
      <c r="K358" s="11"/>
      <c r="L358" s="142">
        <v>45444</v>
      </c>
      <c r="M358" s="96" t="str" cm="1">
        <f t="array" ref="M358">_xlfn.XLOOKUP(B358&amp;"", 'Registro EMO'!$C$13:$C$4248&amp;"", 'Registro EMO'!$F$13:$F$4248, "Sin registro", 0, -1)</f>
        <v>Sin registro</v>
      </c>
      <c r="N358" s="11" t="str" cm="1">
        <f t="array" ref="N358">_xlfn.XLOOKUP(B358&amp;"", 'Registro EMO'!$C$13:$C$4248&amp;"", 'Registro EMO'!$E$13:$E$4248, "Sin registro", 0, -1)</f>
        <v>Sin registro</v>
      </c>
      <c r="O358" s="11" t="str">
        <f t="shared" si="28"/>
        <v>NO</v>
      </c>
      <c r="P358" s="130" t="str" cm="1">
        <f t="array" ref="P358">_xlfn.LET(
    _xlpm.resultado, _xlfn.XLOOKUP(B358&amp;"", 'Registro EMO'!$C$13:$C$4248&amp;"", 'Registro EMO'!$I$13:$I$4248, "NO", 0, -1),
    IF(_xlpm.resultado=0, "NO", _xlpm.resultado)
)</f>
        <v>NO</v>
      </c>
      <c r="Q358" s="11" t="str">
        <f t="shared" ca="1" si="29"/>
        <v>Pendiente</v>
      </c>
      <c r="R358" s="96"/>
      <c r="S358" s="11"/>
      <c r="T358" s="11" t="str">
        <f t="shared" si="30"/>
        <v/>
      </c>
      <c r="U358" s="11"/>
      <c r="V358" s="146"/>
      <c r="W358" s="29"/>
      <c r="X358" s="129"/>
      <c r="Y358" s="11"/>
      <c r="Z358" s="11"/>
      <c r="AA358" s="11"/>
      <c r="AB358" s="11"/>
      <c r="AC358" s="11"/>
      <c r="AD358" s="11"/>
      <c r="AE358" s="11"/>
      <c r="AF358" s="11"/>
      <c r="AG358" s="98"/>
      <c r="AH358" s="11"/>
    </row>
    <row r="359" spans="1:34" x14ac:dyDescent="0.3">
      <c r="A359" s="7" t="str">
        <f t="shared" si="26"/>
        <v>TR-1358</v>
      </c>
      <c r="B359" s="11" t="s">
        <v>1128</v>
      </c>
      <c r="C359" s="141" t="s">
        <v>927</v>
      </c>
      <c r="D359" s="98">
        <v>34433</v>
      </c>
      <c r="E359" s="111">
        <f t="shared" ca="1" si="27"/>
        <v>31</v>
      </c>
      <c r="F359" s="132" t="s">
        <v>743</v>
      </c>
      <c r="G359" s="11" t="s">
        <v>253</v>
      </c>
      <c r="H359" s="140" t="s">
        <v>1218</v>
      </c>
      <c r="I359" s="140" t="s">
        <v>1220</v>
      </c>
      <c r="J359" s="132"/>
      <c r="K359" s="11"/>
      <c r="L359" s="142">
        <v>45108</v>
      </c>
      <c r="M359" s="96" t="str" cm="1">
        <f t="array" ref="M359">_xlfn.XLOOKUP(B359&amp;"", 'Registro EMO'!$C$13:$C$4248&amp;"", 'Registro EMO'!$F$13:$F$4248, "Sin registro", 0, -1)</f>
        <v>Sin registro</v>
      </c>
      <c r="N359" s="11" t="str" cm="1">
        <f t="array" ref="N359">_xlfn.XLOOKUP(B359&amp;"", 'Registro EMO'!$C$13:$C$4248&amp;"", 'Registro EMO'!$E$13:$E$4248, "Sin registro", 0, -1)</f>
        <v>Sin registro</v>
      </c>
      <c r="O359" s="11" t="str">
        <f t="shared" si="28"/>
        <v>NO</v>
      </c>
      <c r="P359" s="130" t="str" cm="1">
        <f t="array" ref="P359">_xlfn.LET(
    _xlpm.resultado, _xlfn.XLOOKUP(B359&amp;"", 'Registro EMO'!$C$13:$C$4248&amp;"", 'Registro EMO'!$I$13:$I$4248, "NO", 0, -1),
    IF(_xlpm.resultado=0, "NO", _xlpm.resultado)
)</f>
        <v>NO</v>
      </c>
      <c r="Q359" s="11" t="str">
        <f t="shared" ca="1" si="29"/>
        <v>Pendiente</v>
      </c>
      <c r="R359" s="96" t="s">
        <v>1333</v>
      </c>
      <c r="S359" s="11" t="s">
        <v>1232</v>
      </c>
      <c r="T359" s="11" t="str">
        <f t="shared" si="30"/>
        <v>NO</v>
      </c>
      <c r="U359" s="11"/>
      <c r="V359" s="146" t="s">
        <v>126</v>
      </c>
      <c r="W359" s="29"/>
      <c r="X359" s="129"/>
      <c r="Y359" s="11"/>
      <c r="Z359" s="11"/>
      <c r="AA359" s="11"/>
      <c r="AB359" s="11"/>
      <c r="AC359" s="11"/>
      <c r="AD359" s="11"/>
      <c r="AE359" s="11"/>
      <c r="AF359" s="11"/>
      <c r="AG359" s="98"/>
      <c r="AH359" s="11" t="s">
        <v>32</v>
      </c>
    </row>
    <row r="360" spans="1:34" x14ac:dyDescent="0.3">
      <c r="A360" s="7" t="str">
        <f t="shared" si="26"/>
        <v>TR-1359</v>
      </c>
      <c r="B360" s="11" t="s">
        <v>1129</v>
      </c>
      <c r="C360" s="141" t="s">
        <v>928</v>
      </c>
      <c r="D360" s="98">
        <v>36107</v>
      </c>
      <c r="E360" s="111">
        <f t="shared" ca="1" si="27"/>
        <v>27</v>
      </c>
      <c r="F360" s="132" t="s">
        <v>762</v>
      </c>
      <c r="G360" s="11" t="s">
        <v>253</v>
      </c>
      <c r="H360" s="140" t="s">
        <v>1218</v>
      </c>
      <c r="I360" s="140" t="s">
        <v>1221</v>
      </c>
      <c r="J360" s="132"/>
      <c r="K360" s="11"/>
      <c r="L360" s="142">
        <v>45962</v>
      </c>
      <c r="M360" s="96" t="str" cm="1">
        <f t="array" ref="M360">_xlfn.XLOOKUP(B360&amp;"", 'Registro EMO'!$C$13:$C$4248&amp;"", 'Registro EMO'!$F$13:$F$4248, "Sin registro", 0, -1)</f>
        <v>Sin registro</v>
      </c>
      <c r="N360" s="11" t="str" cm="1">
        <f t="array" ref="N360">_xlfn.XLOOKUP(B360&amp;"", 'Registro EMO'!$C$13:$C$4248&amp;"", 'Registro EMO'!$E$13:$E$4248, "Sin registro", 0, -1)</f>
        <v>Sin registro</v>
      </c>
      <c r="O360" s="11" t="str">
        <f t="shared" si="28"/>
        <v>NO</v>
      </c>
      <c r="P360" s="130" t="str" cm="1">
        <f t="array" ref="P360">_xlfn.LET(
    _xlpm.resultado, _xlfn.XLOOKUP(B360&amp;"", 'Registro EMO'!$C$13:$C$4248&amp;"", 'Registro EMO'!$I$13:$I$4248, "NO", 0, -1),
    IF(_xlpm.resultado=0, "NO", _xlpm.resultado)
)</f>
        <v>NO</v>
      </c>
      <c r="Q360" s="11" t="str">
        <f t="shared" ca="1" si="29"/>
        <v>Pendiente</v>
      </c>
      <c r="R360" s="96"/>
      <c r="S360" s="11"/>
      <c r="T360" s="11" t="str">
        <f t="shared" si="30"/>
        <v/>
      </c>
      <c r="U360" s="11"/>
      <c r="V360" s="146"/>
      <c r="W360" s="29"/>
      <c r="X360" s="129"/>
      <c r="Y360" s="11"/>
      <c r="Z360" s="11"/>
      <c r="AA360" s="11"/>
      <c r="AB360" s="11"/>
      <c r="AC360" s="11"/>
      <c r="AD360" s="11"/>
      <c r="AE360" s="11"/>
      <c r="AF360" s="11"/>
      <c r="AG360" s="98"/>
      <c r="AH360" s="11"/>
    </row>
    <row r="361" spans="1:34" x14ac:dyDescent="0.3">
      <c r="A361" s="7" t="str">
        <f t="shared" si="26"/>
        <v>TR-1360</v>
      </c>
      <c r="B361" s="11" t="s">
        <v>1130</v>
      </c>
      <c r="C361" s="141" t="s">
        <v>929</v>
      </c>
      <c r="D361" s="98">
        <v>33951</v>
      </c>
      <c r="E361" s="111">
        <f t="shared" ca="1" si="27"/>
        <v>33</v>
      </c>
      <c r="F361" s="132" t="s">
        <v>743</v>
      </c>
      <c r="G361" s="11" t="s">
        <v>253</v>
      </c>
      <c r="H361" s="140" t="s">
        <v>1218</v>
      </c>
      <c r="I361" s="140" t="s">
        <v>1220</v>
      </c>
      <c r="J361" s="132"/>
      <c r="K361" s="11"/>
      <c r="L361" s="142">
        <v>45369</v>
      </c>
      <c r="M361" s="96" t="str" cm="1">
        <f t="array" ref="M361">_xlfn.XLOOKUP(B361&amp;"", 'Registro EMO'!$C$13:$C$4248&amp;"", 'Registro EMO'!$F$13:$F$4248, "Sin registro", 0, -1)</f>
        <v>Sin registro</v>
      </c>
      <c r="N361" s="11" t="str" cm="1">
        <f t="array" ref="N361">_xlfn.XLOOKUP(B361&amp;"", 'Registro EMO'!$C$13:$C$4248&amp;"", 'Registro EMO'!$E$13:$E$4248, "Sin registro", 0, -1)</f>
        <v>Sin registro</v>
      </c>
      <c r="O361" s="11" t="str">
        <f t="shared" si="28"/>
        <v>NO</v>
      </c>
      <c r="P361" s="130" t="str" cm="1">
        <f t="array" ref="P361">_xlfn.LET(
    _xlpm.resultado, _xlfn.XLOOKUP(B361&amp;"", 'Registro EMO'!$C$13:$C$4248&amp;"", 'Registro EMO'!$I$13:$I$4248, "NO", 0, -1),
    IF(_xlpm.resultado=0, "NO", _xlpm.resultado)
)</f>
        <v>NO</v>
      </c>
      <c r="Q361" s="11" t="str">
        <f t="shared" ca="1" si="29"/>
        <v>Pendiente</v>
      </c>
      <c r="R361" s="96" t="s">
        <v>1238</v>
      </c>
      <c r="S361" s="11" t="s">
        <v>1232</v>
      </c>
      <c r="T361" s="11" t="str">
        <f t="shared" si="30"/>
        <v>NO</v>
      </c>
      <c r="U361" s="11"/>
      <c r="V361" s="146" t="s">
        <v>126</v>
      </c>
      <c r="W361" s="29"/>
      <c r="X361" s="129"/>
      <c r="Y361" s="11"/>
      <c r="Z361" s="11"/>
      <c r="AA361" s="11"/>
      <c r="AB361" s="11"/>
      <c r="AC361" s="11"/>
      <c r="AD361" s="11"/>
      <c r="AE361" s="11"/>
      <c r="AF361" s="11"/>
      <c r="AG361" s="98"/>
      <c r="AH361" s="11" t="s">
        <v>32</v>
      </c>
    </row>
    <row r="362" spans="1:34" x14ac:dyDescent="0.3">
      <c r="A362" s="7" t="str">
        <f t="shared" si="26"/>
        <v>TR-1361</v>
      </c>
      <c r="B362" s="11" t="s">
        <v>1131</v>
      </c>
      <c r="C362" s="141" t="s">
        <v>930</v>
      </c>
      <c r="D362" s="98">
        <v>34387</v>
      </c>
      <c r="E362" s="111">
        <f t="shared" ca="1" si="27"/>
        <v>32</v>
      </c>
      <c r="F362" s="132" t="s">
        <v>743</v>
      </c>
      <c r="G362" s="11" t="s">
        <v>253</v>
      </c>
      <c r="H362" s="140" t="s">
        <v>1218</v>
      </c>
      <c r="I362" s="140" t="s">
        <v>1221</v>
      </c>
      <c r="J362" s="132"/>
      <c r="K362" s="11"/>
      <c r="L362" s="142">
        <v>45871</v>
      </c>
      <c r="M362" s="96" t="str" cm="1">
        <f t="array" ref="M362">_xlfn.XLOOKUP(B362&amp;"", 'Registro EMO'!$C$13:$C$4248&amp;"", 'Registro EMO'!$F$13:$F$4248, "Sin registro", 0, -1)</f>
        <v>Sin registro</v>
      </c>
      <c r="N362" s="11" t="str" cm="1">
        <f t="array" ref="N362">_xlfn.XLOOKUP(B362&amp;"", 'Registro EMO'!$C$13:$C$4248&amp;"", 'Registro EMO'!$E$13:$E$4248, "Sin registro", 0, -1)</f>
        <v>Sin registro</v>
      </c>
      <c r="O362" s="11" t="str">
        <f t="shared" si="28"/>
        <v>NO</v>
      </c>
      <c r="P362" s="130" t="str" cm="1">
        <f t="array" ref="P362">_xlfn.LET(
    _xlpm.resultado, _xlfn.XLOOKUP(B362&amp;"", 'Registro EMO'!$C$13:$C$4248&amp;"", 'Registro EMO'!$I$13:$I$4248, "NO", 0, -1),
    IF(_xlpm.resultado=0, "NO", _xlpm.resultado)
)</f>
        <v>NO</v>
      </c>
      <c r="Q362" s="11" t="str">
        <f t="shared" ca="1" si="29"/>
        <v>Pendiente</v>
      </c>
      <c r="R362" s="96" t="s">
        <v>1326</v>
      </c>
      <c r="S362" s="11" t="s">
        <v>1232</v>
      </c>
      <c r="T362" s="11" t="str">
        <f t="shared" si="30"/>
        <v>NO</v>
      </c>
      <c r="U362" s="11"/>
      <c r="V362" s="146" t="s">
        <v>126</v>
      </c>
      <c r="W362" s="29"/>
      <c r="X362" s="129"/>
      <c r="Y362" s="11"/>
      <c r="Z362" s="11"/>
      <c r="AA362" s="11"/>
      <c r="AB362" s="11"/>
      <c r="AC362" s="11"/>
      <c r="AD362" s="11"/>
      <c r="AE362" s="11"/>
      <c r="AF362" s="11"/>
      <c r="AG362" s="98"/>
      <c r="AH362" s="11" t="s">
        <v>32</v>
      </c>
    </row>
    <row r="363" spans="1:34" x14ac:dyDescent="0.3">
      <c r="A363" s="7" t="str">
        <f t="shared" si="26"/>
        <v>TR-1362</v>
      </c>
      <c r="B363" s="11" t="s">
        <v>1132</v>
      </c>
      <c r="C363" s="141" t="s">
        <v>931</v>
      </c>
      <c r="D363" s="98">
        <v>36892</v>
      </c>
      <c r="E363" s="111">
        <f t="shared" ca="1" si="27"/>
        <v>25</v>
      </c>
      <c r="F363" s="132" t="s">
        <v>743</v>
      </c>
      <c r="G363" s="11" t="s">
        <v>253</v>
      </c>
      <c r="H363" s="140" t="s">
        <v>1218</v>
      </c>
      <c r="I363" s="140" t="s">
        <v>1221</v>
      </c>
      <c r="J363" s="132"/>
      <c r="K363" s="11"/>
      <c r="L363" s="142">
        <v>45388</v>
      </c>
      <c r="M363" s="96" t="str" cm="1">
        <f t="array" ref="M363">_xlfn.XLOOKUP(B363&amp;"", 'Registro EMO'!$C$13:$C$4248&amp;"", 'Registro EMO'!$F$13:$F$4248, "Sin registro", 0, -1)</f>
        <v>Sin registro</v>
      </c>
      <c r="N363" s="11" t="str" cm="1">
        <f t="array" ref="N363">_xlfn.XLOOKUP(B363&amp;"", 'Registro EMO'!$C$13:$C$4248&amp;"", 'Registro EMO'!$E$13:$E$4248, "Sin registro", 0, -1)</f>
        <v>Sin registro</v>
      </c>
      <c r="O363" s="11" t="str">
        <f t="shared" si="28"/>
        <v>NO</v>
      </c>
      <c r="P363" s="130" t="str" cm="1">
        <f t="array" ref="P363">_xlfn.LET(
    _xlpm.resultado, _xlfn.XLOOKUP(B363&amp;"", 'Registro EMO'!$C$13:$C$4248&amp;"", 'Registro EMO'!$I$13:$I$4248, "NO", 0, -1),
    IF(_xlpm.resultado=0, "NO", _xlpm.resultado)
)</f>
        <v>NO</v>
      </c>
      <c r="Q363" s="11" t="str">
        <f t="shared" ca="1" si="29"/>
        <v>Pendiente</v>
      </c>
      <c r="R363" s="96" t="s">
        <v>1329</v>
      </c>
      <c r="S363" s="11" t="s">
        <v>1232</v>
      </c>
      <c r="T363" s="11" t="str">
        <f t="shared" si="30"/>
        <v>NO</v>
      </c>
      <c r="U363" s="11"/>
      <c r="V363" s="146" t="s">
        <v>126</v>
      </c>
      <c r="W363" s="29"/>
      <c r="X363" s="129"/>
      <c r="Y363" s="11"/>
      <c r="Z363" s="11"/>
      <c r="AA363" s="11"/>
      <c r="AB363" s="11"/>
      <c r="AC363" s="11"/>
      <c r="AD363" s="11"/>
      <c r="AE363" s="11"/>
      <c r="AF363" s="11"/>
      <c r="AG363" s="98"/>
      <c r="AH363" s="11" t="s">
        <v>32</v>
      </c>
    </row>
    <row r="364" spans="1:34" x14ac:dyDescent="0.3">
      <c r="A364" s="7" t="str">
        <f t="shared" si="26"/>
        <v>TR-1363</v>
      </c>
      <c r="B364" s="11" t="s">
        <v>1133</v>
      </c>
      <c r="C364" s="141" t="s">
        <v>932</v>
      </c>
      <c r="D364" s="98">
        <v>37140</v>
      </c>
      <c r="E364" s="111">
        <f t="shared" ca="1" si="27"/>
        <v>24</v>
      </c>
      <c r="F364" s="132" t="s">
        <v>762</v>
      </c>
      <c r="G364" s="11" t="s">
        <v>253</v>
      </c>
      <c r="H364" s="140" t="s">
        <v>752</v>
      </c>
      <c r="I364" s="140" t="s">
        <v>753</v>
      </c>
      <c r="J364" s="132"/>
      <c r="K364" s="11"/>
      <c r="L364" s="142">
        <v>45709</v>
      </c>
      <c r="M364" s="96" t="str" cm="1">
        <f t="array" ref="M364">_xlfn.XLOOKUP(B364&amp;"", 'Registro EMO'!$C$13:$C$4248&amp;"", 'Registro EMO'!$F$13:$F$4248, "Sin registro", 0, -1)</f>
        <v>Sin registro</v>
      </c>
      <c r="N364" s="11" t="str" cm="1">
        <f t="array" ref="N364">_xlfn.XLOOKUP(B364&amp;"", 'Registro EMO'!$C$13:$C$4248&amp;"", 'Registro EMO'!$E$13:$E$4248, "Sin registro", 0, -1)</f>
        <v>Sin registro</v>
      </c>
      <c r="O364" s="11" t="str">
        <f t="shared" si="28"/>
        <v>NO</v>
      </c>
      <c r="P364" s="130" t="str" cm="1">
        <f t="array" ref="P364">_xlfn.LET(
    _xlpm.resultado, _xlfn.XLOOKUP(B364&amp;"", 'Registro EMO'!$C$13:$C$4248&amp;"", 'Registro EMO'!$I$13:$I$4248, "NO", 0, -1),
    IF(_xlpm.resultado=0, "NO", _xlpm.resultado)
)</f>
        <v>NO</v>
      </c>
      <c r="Q364" s="11" t="str">
        <f t="shared" ca="1" si="29"/>
        <v>Pendiente</v>
      </c>
      <c r="R364" s="96"/>
      <c r="S364" s="11"/>
      <c r="T364" s="11" t="str">
        <f t="shared" si="30"/>
        <v/>
      </c>
      <c r="U364" s="11"/>
      <c r="V364" s="146"/>
      <c r="W364" s="29"/>
      <c r="X364" s="129"/>
      <c r="Y364" s="11"/>
      <c r="Z364" s="11"/>
      <c r="AA364" s="11"/>
      <c r="AB364" s="11"/>
      <c r="AC364" s="11"/>
      <c r="AD364" s="11"/>
      <c r="AE364" s="11"/>
      <c r="AF364" s="11"/>
      <c r="AG364" s="98"/>
      <c r="AH364" s="11"/>
    </row>
    <row r="365" spans="1:34" x14ac:dyDescent="0.3">
      <c r="A365" s="7" t="str">
        <f t="shared" si="26"/>
        <v>TR-1364</v>
      </c>
      <c r="B365" s="11" t="s">
        <v>1134</v>
      </c>
      <c r="C365" s="141" t="s">
        <v>933</v>
      </c>
      <c r="D365" s="98">
        <v>32299</v>
      </c>
      <c r="E365" s="111">
        <f t="shared" ca="1" si="27"/>
        <v>37</v>
      </c>
      <c r="F365" s="132" t="s">
        <v>762</v>
      </c>
      <c r="G365" s="11" t="s">
        <v>253</v>
      </c>
      <c r="H365" s="140" t="s">
        <v>1218</v>
      </c>
      <c r="I365" s="140" t="s">
        <v>1221</v>
      </c>
      <c r="J365" s="132"/>
      <c r="K365" s="11"/>
      <c r="L365" s="142">
        <v>44758</v>
      </c>
      <c r="M365" s="96" t="str" cm="1">
        <f t="array" ref="M365">_xlfn.XLOOKUP(B365&amp;"", 'Registro EMO'!$C$13:$C$4248&amp;"", 'Registro EMO'!$F$13:$F$4248, "Sin registro", 0, -1)</f>
        <v>Sin registro</v>
      </c>
      <c r="N365" s="11" t="str" cm="1">
        <f t="array" ref="N365">_xlfn.XLOOKUP(B365&amp;"", 'Registro EMO'!$C$13:$C$4248&amp;"", 'Registro EMO'!$E$13:$E$4248, "Sin registro", 0, -1)</f>
        <v>Sin registro</v>
      </c>
      <c r="O365" s="11" t="str">
        <f t="shared" si="28"/>
        <v>NO</v>
      </c>
      <c r="P365" s="130" t="str" cm="1">
        <f t="array" ref="P365">_xlfn.LET(
    _xlpm.resultado, _xlfn.XLOOKUP(B365&amp;"", 'Registro EMO'!$C$13:$C$4248&amp;"", 'Registro EMO'!$I$13:$I$4248, "NO", 0, -1),
    IF(_xlpm.resultado=0, "NO", _xlpm.resultado)
)</f>
        <v>NO</v>
      </c>
      <c r="Q365" s="11" t="str">
        <f t="shared" ca="1" si="29"/>
        <v>Pendiente</v>
      </c>
      <c r="R365" s="96" t="s">
        <v>1240</v>
      </c>
      <c r="S365" s="11" t="s">
        <v>1232</v>
      </c>
      <c r="T365" s="11" t="str">
        <f t="shared" si="30"/>
        <v>NO</v>
      </c>
      <c r="U365" s="11"/>
      <c r="V365" s="146" t="s">
        <v>126</v>
      </c>
      <c r="W365" s="29"/>
      <c r="X365" s="129"/>
      <c r="Y365" s="11"/>
      <c r="Z365" s="11"/>
      <c r="AA365" s="11"/>
      <c r="AB365" s="11"/>
      <c r="AC365" s="11"/>
      <c r="AD365" s="11"/>
      <c r="AE365" s="11"/>
      <c r="AF365" s="11"/>
      <c r="AG365" s="98"/>
      <c r="AH365" s="11" t="s">
        <v>32</v>
      </c>
    </row>
    <row r="366" spans="1:34" x14ac:dyDescent="0.3">
      <c r="A366" s="7" t="str">
        <f t="shared" si="26"/>
        <v>TR-1365</v>
      </c>
      <c r="B366" s="11" t="s">
        <v>1135</v>
      </c>
      <c r="C366" s="141" t="s">
        <v>934</v>
      </c>
      <c r="D366" s="98">
        <v>32879</v>
      </c>
      <c r="E366" s="111">
        <f t="shared" ca="1" si="27"/>
        <v>36</v>
      </c>
      <c r="F366" s="132" t="s">
        <v>743</v>
      </c>
      <c r="G366" s="11" t="s">
        <v>253</v>
      </c>
      <c r="H366" s="140" t="s">
        <v>1218</v>
      </c>
      <c r="I366" s="140" t="s">
        <v>1221</v>
      </c>
      <c r="J366" s="132"/>
      <c r="K366" s="11"/>
      <c r="L366" s="142">
        <v>45778</v>
      </c>
      <c r="M366" s="96" t="str" cm="1">
        <f t="array" ref="M366">_xlfn.XLOOKUP(B366&amp;"", 'Registro EMO'!$C$13:$C$4248&amp;"", 'Registro EMO'!$F$13:$F$4248, "Sin registro", 0, -1)</f>
        <v>Sin registro</v>
      </c>
      <c r="N366" s="11" t="str" cm="1">
        <f t="array" ref="N366">_xlfn.XLOOKUP(B366&amp;"", 'Registro EMO'!$C$13:$C$4248&amp;"", 'Registro EMO'!$E$13:$E$4248, "Sin registro", 0, -1)</f>
        <v>Sin registro</v>
      </c>
      <c r="O366" s="11" t="str">
        <f t="shared" si="28"/>
        <v>NO</v>
      </c>
      <c r="P366" s="130" t="str" cm="1">
        <f t="array" ref="P366">_xlfn.LET(
    _xlpm.resultado, _xlfn.XLOOKUP(B366&amp;"", 'Registro EMO'!$C$13:$C$4248&amp;"", 'Registro EMO'!$I$13:$I$4248, "NO", 0, -1),
    IF(_xlpm.resultado=0, "NO", _xlpm.resultado)
)</f>
        <v>NO</v>
      </c>
      <c r="Q366" s="11" t="str">
        <f t="shared" ca="1" si="29"/>
        <v>Pendiente</v>
      </c>
      <c r="R366" s="96"/>
      <c r="S366" s="11"/>
      <c r="T366" s="11" t="str">
        <f t="shared" si="30"/>
        <v/>
      </c>
      <c r="U366" s="11"/>
      <c r="V366" s="146"/>
      <c r="W366" s="29"/>
      <c r="X366" s="129"/>
      <c r="Y366" s="11"/>
      <c r="Z366" s="11"/>
      <c r="AA366" s="11"/>
      <c r="AB366" s="11"/>
      <c r="AC366" s="11"/>
      <c r="AD366" s="11"/>
      <c r="AE366" s="11"/>
      <c r="AF366" s="11"/>
      <c r="AG366" s="98"/>
      <c r="AH366" s="11"/>
    </row>
    <row r="367" spans="1:34" x14ac:dyDescent="0.3">
      <c r="A367" s="7" t="str">
        <f t="shared" si="26"/>
        <v>TR-1366</v>
      </c>
      <c r="B367" s="11" t="s">
        <v>1136</v>
      </c>
      <c r="C367" s="141" t="s">
        <v>935</v>
      </c>
      <c r="D367" s="98">
        <v>29265</v>
      </c>
      <c r="E367" s="111">
        <f t="shared" ca="1" si="27"/>
        <v>46</v>
      </c>
      <c r="F367" s="132" t="s">
        <v>743</v>
      </c>
      <c r="G367" s="11" t="s">
        <v>253</v>
      </c>
      <c r="H367" s="140" t="s">
        <v>1218</v>
      </c>
      <c r="I367" s="140" t="s">
        <v>1220</v>
      </c>
      <c r="J367" s="132"/>
      <c r="K367" s="11"/>
      <c r="L367" s="142">
        <v>45742</v>
      </c>
      <c r="M367" s="96" t="str" cm="1">
        <f t="array" ref="M367">_xlfn.XLOOKUP(B367&amp;"", 'Registro EMO'!$C$13:$C$4248&amp;"", 'Registro EMO'!$F$13:$F$4248, "Sin registro", 0, -1)</f>
        <v>Sin registro</v>
      </c>
      <c r="N367" s="11" t="str" cm="1">
        <f t="array" ref="N367">_xlfn.XLOOKUP(B367&amp;"", 'Registro EMO'!$C$13:$C$4248&amp;"", 'Registro EMO'!$E$13:$E$4248, "Sin registro", 0, -1)</f>
        <v>Sin registro</v>
      </c>
      <c r="O367" s="11" t="str">
        <f t="shared" si="28"/>
        <v>NO</v>
      </c>
      <c r="P367" s="130" t="str" cm="1">
        <f t="array" ref="P367">_xlfn.LET(
    _xlpm.resultado, _xlfn.XLOOKUP(B367&amp;"", 'Registro EMO'!$C$13:$C$4248&amp;"", 'Registro EMO'!$I$13:$I$4248, "NO", 0, -1),
    IF(_xlpm.resultado=0, "NO", _xlpm.resultado)
)</f>
        <v>NO</v>
      </c>
      <c r="Q367" s="11" t="str">
        <f t="shared" ca="1" si="29"/>
        <v>Pendiente</v>
      </c>
      <c r="R367" s="96"/>
      <c r="S367" s="11"/>
      <c r="T367" s="11" t="str">
        <f t="shared" si="30"/>
        <v/>
      </c>
      <c r="U367" s="11"/>
      <c r="V367" s="146"/>
      <c r="W367" s="29"/>
      <c r="X367" s="129"/>
      <c r="Y367" s="11"/>
      <c r="Z367" s="11"/>
      <c r="AA367" s="11"/>
      <c r="AB367" s="11"/>
      <c r="AC367" s="11"/>
      <c r="AD367" s="11"/>
      <c r="AE367" s="11"/>
      <c r="AF367" s="11"/>
      <c r="AG367" s="98"/>
      <c r="AH367" s="11"/>
    </row>
    <row r="368" spans="1:34" x14ac:dyDescent="0.3">
      <c r="A368" s="7" t="str">
        <f t="shared" si="26"/>
        <v>TR-1367</v>
      </c>
      <c r="B368" s="11" t="s">
        <v>1137</v>
      </c>
      <c r="C368" s="141" t="s">
        <v>936</v>
      </c>
      <c r="D368" s="98">
        <v>37817</v>
      </c>
      <c r="E368" s="111">
        <f t="shared" ca="1" si="27"/>
        <v>22</v>
      </c>
      <c r="F368" s="132" t="s">
        <v>743</v>
      </c>
      <c r="G368" s="11" t="s">
        <v>253</v>
      </c>
      <c r="H368" s="140" t="s">
        <v>1218</v>
      </c>
      <c r="I368" s="140" t="s">
        <v>1221</v>
      </c>
      <c r="J368" s="132"/>
      <c r="K368" s="11"/>
      <c r="L368" s="142">
        <v>45855</v>
      </c>
      <c r="M368" s="96" t="str" cm="1">
        <f t="array" ref="M368">_xlfn.XLOOKUP(B368&amp;"", 'Registro EMO'!$C$13:$C$4248&amp;"", 'Registro EMO'!$F$13:$F$4248, "Sin registro", 0, -1)</f>
        <v>Sin registro</v>
      </c>
      <c r="N368" s="11" t="str" cm="1">
        <f t="array" ref="N368">_xlfn.XLOOKUP(B368&amp;"", 'Registro EMO'!$C$13:$C$4248&amp;"", 'Registro EMO'!$E$13:$E$4248, "Sin registro", 0, -1)</f>
        <v>Sin registro</v>
      </c>
      <c r="O368" s="11" t="str">
        <f t="shared" si="28"/>
        <v>NO</v>
      </c>
      <c r="P368" s="130" t="str" cm="1">
        <f t="array" ref="P368">_xlfn.LET(
    _xlpm.resultado, _xlfn.XLOOKUP(B368&amp;"", 'Registro EMO'!$C$13:$C$4248&amp;"", 'Registro EMO'!$I$13:$I$4248, "NO", 0, -1),
    IF(_xlpm.resultado=0, "NO", _xlpm.resultado)
)</f>
        <v>NO</v>
      </c>
      <c r="Q368" s="11" t="str">
        <f t="shared" ca="1" si="29"/>
        <v>Pendiente</v>
      </c>
      <c r="R368" s="96"/>
      <c r="S368" s="11"/>
      <c r="T368" s="11" t="str">
        <f t="shared" si="30"/>
        <v/>
      </c>
      <c r="U368" s="11"/>
      <c r="V368" s="146"/>
      <c r="W368" s="29"/>
      <c r="X368" s="129"/>
      <c r="Y368" s="11"/>
      <c r="Z368" s="11"/>
      <c r="AA368" s="11"/>
      <c r="AB368" s="11"/>
      <c r="AC368" s="11"/>
      <c r="AD368" s="11"/>
      <c r="AE368" s="11"/>
      <c r="AF368" s="11"/>
      <c r="AG368" s="98"/>
      <c r="AH368" s="11"/>
    </row>
    <row r="369" spans="1:34" x14ac:dyDescent="0.3">
      <c r="A369" s="7" t="str">
        <f t="shared" si="26"/>
        <v>TR-1368</v>
      </c>
      <c r="B369" s="11" t="s">
        <v>1138</v>
      </c>
      <c r="C369" s="141" t="s">
        <v>937</v>
      </c>
      <c r="D369" s="98">
        <v>38048</v>
      </c>
      <c r="E369" s="111">
        <f t="shared" ca="1" si="27"/>
        <v>22</v>
      </c>
      <c r="F369" s="132" t="s">
        <v>743</v>
      </c>
      <c r="G369" s="11" t="s">
        <v>253</v>
      </c>
      <c r="H369" s="140" t="s">
        <v>1218</v>
      </c>
      <c r="I369" s="140" t="s">
        <v>1221</v>
      </c>
      <c r="J369" s="132"/>
      <c r="K369" s="11"/>
      <c r="L369" s="142">
        <v>45885</v>
      </c>
      <c r="M369" s="96" t="str" cm="1">
        <f t="array" ref="M369">_xlfn.XLOOKUP(B369&amp;"", 'Registro EMO'!$C$13:$C$4248&amp;"", 'Registro EMO'!$F$13:$F$4248, "Sin registro", 0, -1)</f>
        <v>Sin registro</v>
      </c>
      <c r="N369" s="11" t="str" cm="1">
        <f t="array" ref="N369">_xlfn.XLOOKUP(B369&amp;"", 'Registro EMO'!$C$13:$C$4248&amp;"", 'Registro EMO'!$E$13:$E$4248, "Sin registro", 0, -1)</f>
        <v>Sin registro</v>
      </c>
      <c r="O369" s="11" t="str">
        <f t="shared" si="28"/>
        <v>NO</v>
      </c>
      <c r="P369" s="130" t="str" cm="1">
        <f t="array" ref="P369">_xlfn.LET(
    _xlpm.resultado, _xlfn.XLOOKUP(B369&amp;"", 'Registro EMO'!$C$13:$C$4248&amp;"", 'Registro EMO'!$I$13:$I$4248, "NO", 0, -1),
    IF(_xlpm.resultado=0, "NO", _xlpm.resultado)
)</f>
        <v>NO</v>
      </c>
      <c r="Q369" s="11" t="str">
        <f t="shared" ca="1" si="29"/>
        <v>Pendiente</v>
      </c>
      <c r="R369" s="96"/>
      <c r="S369" s="11"/>
      <c r="T369" s="11" t="str">
        <f t="shared" si="30"/>
        <v/>
      </c>
      <c r="U369" s="11"/>
      <c r="V369" s="146"/>
      <c r="W369" s="29"/>
      <c r="X369" s="129"/>
      <c r="Y369" s="11"/>
      <c r="Z369" s="11"/>
      <c r="AA369" s="11"/>
      <c r="AB369" s="11"/>
      <c r="AC369" s="11"/>
      <c r="AD369" s="11"/>
      <c r="AE369" s="11"/>
      <c r="AF369" s="11"/>
      <c r="AG369" s="98"/>
      <c r="AH369" s="11"/>
    </row>
    <row r="370" spans="1:34" x14ac:dyDescent="0.3">
      <c r="A370" s="7" t="str">
        <f t="shared" si="26"/>
        <v>TR-1369</v>
      </c>
      <c r="B370" s="11" t="s">
        <v>1139</v>
      </c>
      <c r="C370" s="141" t="s">
        <v>938</v>
      </c>
      <c r="D370" s="98">
        <v>35713</v>
      </c>
      <c r="E370" s="111">
        <f t="shared" ca="1" si="27"/>
        <v>28</v>
      </c>
      <c r="F370" s="132" t="s">
        <v>762</v>
      </c>
      <c r="G370" s="11" t="s">
        <v>253</v>
      </c>
      <c r="H370" s="140" t="s">
        <v>1218</v>
      </c>
      <c r="I370" s="140" t="s">
        <v>1219</v>
      </c>
      <c r="J370" s="132"/>
      <c r="K370" s="11"/>
      <c r="L370" s="142">
        <v>44013</v>
      </c>
      <c r="M370" s="96" t="str" cm="1">
        <f t="array" ref="M370">_xlfn.XLOOKUP(B370&amp;"", 'Registro EMO'!$C$13:$C$4248&amp;"", 'Registro EMO'!$F$13:$F$4248, "Sin registro", 0, -1)</f>
        <v>Sin registro</v>
      </c>
      <c r="N370" s="11" t="str" cm="1">
        <f t="array" ref="N370">_xlfn.XLOOKUP(B370&amp;"", 'Registro EMO'!$C$13:$C$4248&amp;"", 'Registro EMO'!$E$13:$E$4248, "Sin registro", 0, -1)</f>
        <v>Sin registro</v>
      </c>
      <c r="O370" s="11" t="str">
        <f t="shared" si="28"/>
        <v>NO</v>
      </c>
      <c r="P370" s="130" t="str" cm="1">
        <f t="array" ref="P370">_xlfn.LET(
    _xlpm.resultado, _xlfn.XLOOKUP(B370&amp;"", 'Registro EMO'!$C$13:$C$4248&amp;"", 'Registro EMO'!$I$13:$I$4248, "NO", 0, -1),
    IF(_xlpm.resultado=0, "NO", _xlpm.resultado)
)</f>
        <v>NO</v>
      </c>
      <c r="Q370" s="11" t="str">
        <f t="shared" ca="1" si="29"/>
        <v>Pendiente</v>
      </c>
      <c r="R370" s="96" t="s">
        <v>1251</v>
      </c>
      <c r="S370" s="11" t="s">
        <v>1232</v>
      </c>
      <c r="T370" s="11" t="str">
        <f t="shared" si="30"/>
        <v>NO</v>
      </c>
      <c r="U370" s="11"/>
      <c r="V370" s="146" t="s">
        <v>126</v>
      </c>
      <c r="W370" s="29"/>
      <c r="X370" s="129"/>
      <c r="Y370" s="11"/>
      <c r="Z370" s="11"/>
      <c r="AA370" s="11"/>
      <c r="AB370" s="11"/>
      <c r="AC370" s="11"/>
      <c r="AD370" s="11"/>
      <c r="AE370" s="11"/>
      <c r="AF370" s="11"/>
      <c r="AG370" s="98"/>
      <c r="AH370" s="11" t="s">
        <v>32</v>
      </c>
    </row>
    <row r="371" spans="1:34" x14ac:dyDescent="0.3">
      <c r="A371" s="7" t="str">
        <f t="shared" si="26"/>
        <v>TR-1370</v>
      </c>
      <c r="B371" s="11" t="s">
        <v>1140</v>
      </c>
      <c r="C371" s="141" t="s">
        <v>939</v>
      </c>
      <c r="D371" s="98">
        <v>30755</v>
      </c>
      <c r="E371" s="111">
        <f t="shared" ca="1" si="27"/>
        <v>41</v>
      </c>
      <c r="F371" s="132" t="s">
        <v>743</v>
      </c>
      <c r="G371" s="11" t="s">
        <v>253</v>
      </c>
      <c r="H371" s="140" t="s">
        <v>1218</v>
      </c>
      <c r="I371" s="140" t="s">
        <v>1221</v>
      </c>
      <c r="J371" s="132"/>
      <c r="K371" s="11"/>
      <c r="L371" s="142">
        <v>46048</v>
      </c>
      <c r="M371" s="96" t="str" cm="1">
        <f t="array" ref="M371">_xlfn.XLOOKUP(B371&amp;"", 'Registro EMO'!$C$13:$C$4248&amp;"", 'Registro EMO'!$F$13:$F$4248, "Sin registro", 0, -1)</f>
        <v>Sin registro</v>
      </c>
      <c r="N371" s="11" t="str" cm="1">
        <f t="array" ref="N371">_xlfn.XLOOKUP(B371&amp;"", 'Registro EMO'!$C$13:$C$4248&amp;"", 'Registro EMO'!$E$13:$E$4248, "Sin registro", 0, -1)</f>
        <v>Sin registro</v>
      </c>
      <c r="O371" s="11" t="str">
        <f t="shared" si="28"/>
        <v>NO</v>
      </c>
      <c r="P371" s="130" t="str" cm="1">
        <f t="array" ref="P371">_xlfn.LET(
    _xlpm.resultado, _xlfn.XLOOKUP(B371&amp;"", 'Registro EMO'!$C$13:$C$4248&amp;"", 'Registro EMO'!$I$13:$I$4248, "NO", 0, -1),
    IF(_xlpm.resultado=0, "NO", _xlpm.resultado)
)</f>
        <v>NO</v>
      </c>
      <c r="Q371" s="11" t="str">
        <f t="shared" ca="1" si="29"/>
        <v>Pendiente</v>
      </c>
      <c r="R371" s="96"/>
      <c r="S371" s="11"/>
      <c r="T371" s="11" t="str">
        <f t="shared" si="30"/>
        <v/>
      </c>
      <c r="U371" s="11"/>
      <c r="V371" s="146"/>
      <c r="W371" s="29"/>
      <c r="X371" s="129"/>
      <c r="Y371" s="11"/>
      <c r="Z371" s="11"/>
      <c r="AA371" s="11"/>
      <c r="AB371" s="11"/>
      <c r="AC371" s="11"/>
      <c r="AD371" s="11"/>
      <c r="AE371" s="11"/>
      <c r="AF371" s="11"/>
      <c r="AG371" s="98"/>
      <c r="AH371" s="11"/>
    </row>
    <row r="372" spans="1:34" x14ac:dyDescent="0.3">
      <c r="A372" s="7" t="str">
        <f t="shared" si="26"/>
        <v>TR-1371</v>
      </c>
      <c r="B372" s="11" t="s">
        <v>1141</v>
      </c>
      <c r="C372" s="141" t="s">
        <v>940</v>
      </c>
      <c r="D372" s="98">
        <v>32741</v>
      </c>
      <c r="E372" s="111">
        <f t="shared" ca="1" si="27"/>
        <v>36</v>
      </c>
      <c r="F372" s="132" t="s">
        <v>743</v>
      </c>
      <c r="G372" s="11" t="s">
        <v>253</v>
      </c>
      <c r="H372" s="140" t="s">
        <v>1218</v>
      </c>
      <c r="I372" s="140" t="s">
        <v>1221</v>
      </c>
      <c r="J372" s="132"/>
      <c r="K372" s="11"/>
      <c r="L372" s="142">
        <v>45366</v>
      </c>
      <c r="M372" s="96" t="str" cm="1">
        <f t="array" ref="M372">_xlfn.XLOOKUP(B372&amp;"", 'Registro EMO'!$C$13:$C$4248&amp;"", 'Registro EMO'!$F$13:$F$4248, "Sin registro", 0, -1)</f>
        <v>Sin registro</v>
      </c>
      <c r="N372" s="11" t="str" cm="1">
        <f t="array" ref="N372">_xlfn.XLOOKUP(B372&amp;"", 'Registro EMO'!$C$13:$C$4248&amp;"", 'Registro EMO'!$E$13:$E$4248, "Sin registro", 0, -1)</f>
        <v>Sin registro</v>
      </c>
      <c r="O372" s="11" t="str">
        <f t="shared" si="28"/>
        <v>NO</v>
      </c>
      <c r="P372" s="130" t="str" cm="1">
        <f t="array" ref="P372">_xlfn.LET(
    _xlpm.resultado, _xlfn.XLOOKUP(B372&amp;"", 'Registro EMO'!$C$13:$C$4248&amp;"", 'Registro EMO'!$I$13:$I$4248, "NO", 0, -1),
    IF(_xlpm.resultado=0, "NO", _xlpm.resultado)
)</f>
        <v>NO</v>
      </c>
      <c r="Q372" s="11" t="str">
        <f t="shared" ca="1" si="29"/>
        <v>Pendiente</v>
      </c>
      <c r="R372" s="96" t="s">
        <v>1293</v>
      </c>
      <c r="S372" s="11" t="s">
        <v>1232</v>
      </c>
      <c r="T372" s="11" t="str">
        <f t="shared" si="30"/>
        <v>NO</v>
      </c>
      <c r="U372" s="11"/>
      <c r="V372" s="146" t="s">
        <v>126</v>
      </c>
      <c r="W372" s="29"/>
      <c r="X372" s="129"/>
      <c r="Y372" s="11"/>
      <c r="Z372" s="11"/>
      <c r="AA372" s="11"/>
      <c r="AB372" s="11"/>
      <c r="AC372" s="11"/>
      <c r="AD372" s="11"/>
      <c r="AE372" s="11"/>
      <c r="AF372" s="11"/>
      <c r="AG372" s="98"/>
      <c r="AH372" s="11" t="s">
        <v>32</v>
      </c>
    </row>
    <row r="373" spans="1:34" x14ac:dyDescent="0.3">
      <c r="A373" s="7" t="str">
        <f t="shared" si="26"/>
        <v>TR-1372</v>
      </c>
      <c r="B373" s="11" t="s">
        <v>1142</v>
      </c>
      <c r="C373" s="141" t="s">
        <v>941</v>
      </c>
      <c r="D373" s="98">
        <v>31962</v>
      </c>
      <c r="E373" s="111">
        <f t="shared" ca="1" si="27"/>
        <v>38</v>
      </c>
      <c r="F373" s="132" t="s">
        <v>743</v>
      </c>
      <c r="G373" s="11" t="s">
        <v>253</v>
      </c>
      <c r="H373" s="140" t="s">
        <v>1218</v>
      </c>
      <c r="I373" s="140" t="s">
        <v>1221</v>
      </c>
      <c r="J373" s="132"/>
      <c r="K373" s="11"/>
      <c r="L373" s="142">
        <v>45909</v>
      </c>
      <c r="M373" s="96" t="str" cm="1">
        <f t="array" ref="M373">_xlfn.XLOOKUP(B373&amp;"", 'Registro EMO'!$C$13:$C$4248&amp;"", 'Registro EMO'!$F$13:$F$4248, "Sin registro", 0, -1)</f>
        <v>Sin registro</v>
      </c>
      <c r="N373" s="11" t="str" cm="1">
        <f t="array" ref="N373">_xlfn.XLOOKUP(B373&amp;"", 'Registro EMO'!$C$13:$C$4248&amp;"", 'Registro EMO'!$E$13:$E$4248, "Sin registro", 0, -1)</f>
        <v>Sin registro</v>
      </c>
      <c r="O373" s="11" t="str">
        <f t="shared" si="28"/>
        <v>NO</v>
      </c>
      <c r="P373" s="130" t="str" cm="1">
        <f t="array" ref="P373">_xlfn.LET(
    _xlpm.resultado, _xlfn.XLOOKUP(B373&amp;"", 'Registro EMO'!$C$13:$C$4248&amp;"", 'Registro EMO'!$I$13:$I$4248, "NO", 0, -1),
    IF(_xlpm.resultado=0, "NO", _xlpm.resultado)
)</f>
        <v>NO</v>
      </c>
      <c r="Q373" s="11" t="str">
        <f t="shared" ca="1" si="29"/>
        <v>Pendiente</v>
      </c>
      <c r="R373" s="96"/>
      <c r="S373" s="11"/>
      <c r="T373" s="11" t="str">
        <f t="shared" si="30"/>
        <v/>
      </c>
      <c r="U373" s="11"/>
      <c r="V373" s="146"/>
      <c r="W373" s="29"/>
      <c r="X373" s="129"/>
      <c r="Y373" s="11"/>
      <c r="Z373" s="11"/>
      <c r="AA373" s="11"/>
      <c r="AB373" s="11"/>
      <c r="AC373" s="11"/>
      <c r="AD373" s="11"/>
      <c r="AE373" s="11"/>
      <c r="AF373" s="11"/>
      <c r="AG373" s="98"/>
      <c r="AH373" s="11"/>
    </row>
    <row r="374" spans="1:34" x14ac:dyDescent="0.3">
      <c r="A374" s="7" t="str">
        <f t="shared" si="26"/>
        <v>TR-1373</v>
      </c>
      <c r="B374" s="11" t="s">
        <v>1143</v>
      </c>
      <c r="C374" s="141" t="s">
        <v>942</v>
      </c>
      <c r="D374" s="98">
        <v>31883</v>
      </c>
      <c r="E374" s="111">
        <f t="shared" ca="1" si="27"/>
        <v>38</v>
      </c>
      <c r="F374" s="132" t="s">
        <v>762</v>
      </c>
      <c r="G374" s="11" t="s">
        <v>253</v>
      </c>
      <c r="H374" s="140" t="s">
        <v>1218</v>
      </c>
      <c r="I374" s="140" t="s">
        <v>1220</v>
      </c>
      <c r="J374" s="132"/>
      <c r="K374" s="11"/>
      <c r="L374" s="142">
        <v>45730</v>
      </c>
      <c r="M374" s="96" t="str" cm="1">
        <f t="array" ref="M374">_xlfn.XLOOKUP(B374&amp;"", 'Registro EMO'!$C$13:$C$4248&amp;"", 'Registro EMO'!$F$13:$F$4248, "Sin registro", 0, -1)</f>
        <v>Sin registro</v>
      </c>
      <c r="N374" s="11" t="str" cm="1">
        <f t="array" ref="N374">_xlfn.XLOOKUP(B374&amp;"", 'Registro EMO'!$C$13:$C$4248&amp;"", 'Registro EMO'!$E$13:$E$4248, "Sin registro", 0, -1)</f>
        <v>Sin registro</v>
      </c>
      <c r="O374" s="11" t="str">
        <f t="shared" si="28"/>
        <v>NO</v>
      </c>
      <c r="P374" s="130" t="str" cm="1">
        <f t="array" ref="P374">_xlfn.LET(
    _xlpm.resultado, _xlfn.XLOOKUP(B374&amp;"", 'Registro EMO'!$C$13:$C$4248&amp;"", 'Registro EMO'!$I$13:$I$4248, "NO", 0, -1),
    IF(_xlpm.resultado=0, "NO", _xlpm.resultado)
)</f>
        <v>NO</v>
      </c>
      <c r="Q374" s="11" t="str">
        <f t="shared" ca="1" si="29"/>
        <v>Pendiente</v>
      </c>
      <c r="R374" s="96"/>
      <c r="S374" s="11"/>
      <c r="T374" s="11" t="str">
        <f t="shared" si="30"/>
        <v/>
      </c>
      <c r="U374" s="11"/>
      <c r="V374" s="146"/>
      <c r="W374" s="29"/>
      <c r="X374" s="129"/>
      <c r="Y374" s="11"/>
      <c r="Z374" s="11"/>
      <c r="AA374" s="11"/>
      <c r="AB374" s="11"/>
      <c r="AC374" s="11"/>
      <c r="AD374" s="11"/>
      <c r="AE374" s="11"/>
      <c r="AF374" s="11"/>
      <c r="AG374" s="98"/>
      <c r="AH374" s="11"/>
    </row>
    <row r="375" spans="1:34" x14ac:dyDescent="0.3">
      <c r="A375" s="7" t="str">
        <f t="shared" si="26"/>
        <v>TR-1374</v>
      </c>
      <c r="B375" s="11" t="s">
        <v>1144</v>
      </c>
      <c r="C375" s="141" t="s">
        <v>943</v>
      </c>
      <c r="D375" s="98">
        <v>34141</v>
      </c>
      <c r="E375" s="111">
        <f t="shared" ca="1" si="27"/>
        <v>32</v>
      </c>
      <c r="F375" s="132" t="s">
        <v>762</v>
      </c>
      <c r="G375" s="11" t="s">
        <v>253</v>
      </c>
      <c r="H375" s="140" t="s">
        <v>1218</v>
      </c>
      <c r="I375" s="140" t="s">
        <v>1220</v>
      </c>
      <c r="J375" s="132"/>
      <c r="K375" s="11"/>
      <c r="L375" s="142">
        <v>45717</v>
      </c>
      <c r="M375" s="96" t="str" cm="1">
        <f t="array" ref="M375">_xlfn.XLOOKUP(B375&amp;"", 'Registro EMO'!$C$13:$C$4248&amp;"", 'Registro EMO'!$F$13:$F$4248, "Sin registro", 0, -1)</f>
        <v>Sin registro</v>
      </c>
      <c r="N375" s="11" t="str" cm="1">
        <f t="array" ref="N375">_xlfn.XLOOKUP(B375&amp;"", 'Registro EMO'!$C$13:$C$4248&amp;"", 'Registro EMO'!$E$13:$E$4248, "Sin registro", 0, -1)</f>
        <v>Sin registro</v>
      </c>
      <c r="O375" s="11" t="str">
        <f t="shared" si="28"/>
        <v>NO</v>
      </c>
      <c r="P375" s="130" t="str" cm="1">
        <f t="array" ref="P375">_xlfn.LET(
    _xlpm.resultado, _xlfn.XLOOKUP(B375&amp;"", 'Registro EMO'!$C$13:$C$4248&amp;"", 'Registro EMO'!$I$13:$I$4248, "NO", 0, -1),
    IF(_xlpm.resultado=0, "NO", _xlpm.resultado)
)</f>
        <v>NO</v>
      </c>
      <c r="Q375" s="11" t="str">
        <f t="shared" ca="1" si="29"/>
        <v>Pendiente</v>
      </c>
      <c r="R375" s="96"/>
      <c r="S375" s="11"/>
      <c r="T375" s="11" t="str">
        <f t="shared" si="30"/>
        <v/>
      </c>
      <c r="U375" s="11"/>
      <c r="V375" s="146"/>
      <c r="W375" s="29"/>
      <c r="X375" s="129"/>
      <c r="Y375" s="11"/>
      <c r="Z375" s="11"/>
      <c r="AA375" s="11"/>
      <c r="AB375" s="11"/>
      <c r="AC375" s="11"/>
      <c r="AD375" s="11"/>
      <c r="AE375" s="11"/>
      <c r="AF375" s="11"/>
      <c r="AG375" s="98"/>
      <c r="AH375" s="11"/>
    </row>
    <row r="376" spans="1:34" x14ac:dyDescent="0.3">
      <c r="A376" s="7" t="str">
        <f t="shared" si="26"/>
        <v>TR-1375</v>
      </c>
      <c r="B376" s="11" t="s">
        <v>1145</v>
      </c>
      <c r="C376" s="141" t="s">
        <v>944</v>
      </c>
      <c r="D376" s="98">
        <v>34457</v>
      </c>
      <c r="E376" s="111">
        <f t="shared" ca="1" si="27"/>
        <v>31</v>
      </c>
      <c r="F376" s="132" t="s">
        <v>762</v>
      </c>
      <c r="G376" s="11" t="s">
        <v>253</v>
      </c>
      <c r="H376" s="140" t="s">
        <v>1218</v>
      </c>
      <c r="I376" s="140" t="s">
        <v>1221</v>
      </c>
      <c r="J376" s="132"/>
      <c r="K376" s="11"/>
      <c r="L376" s="142">
        <v>45308</v>
      </c>
      <c r="M376" s="96" t="str" cm="1">
        <f t="array" ref="M376">_xlfn.XLOOKUP(B376&amp;"", 'Registro EMO'!$C$13:$C$4248&amp;"", 'Registro EMO'!$F$13:$F$4248, "Sin registro", 0, -1)</f>
        <v>Sin registro</v>
      </c>
      <c r="N376" s="11" t="str" cm="1">
        <f t="array" ref="N376">_xlfn.XLOOKUP(B376&amp;"", 'Registro EMO'!$C$13:$C$4248&amp;"", 'Registro EMO'!$E$13:$E$4248, "Sin registro", 0, -1)</f>
        <v>Sin registro</v>
      </c>
      <c r="O376" s="11" t="str">
        <f t="shared" si="28"/>
        <v>NO</v>
      </c>
      <c r="P376" s="130" t="str" cm="1">
        <f t="array" ref="P376">_xlfn.LET(
    _xlpm.resultado, _xlfn.XLOOKUP(B376&amp;"", 'Registro EMO'!$C$13:$C$4248&amp;"", 'Registro EMO'!$I$13:$I$4248, "NO", 0, -1),
    IF(_xlpm.resultado=0, "NO", _xlpm.resultado)
)</f>
        <v>NO</v>
      </c>
      <c r="Q376" s="11" t="str">
        <f t="shared" ca="1" si="29"/>
        <v>Pendiente</v>
      </c>
      <c r="R376" s="96"/>
      <c r="S376" s="11"/>
      <c r="T376" s="11" t="str">
        <f t="shared" si="30"/>
        <v/>
      </c>
      <c r="U376" s="11"/>
      <c r="V376" s="146"/>
      <c r="W376" s="29"/>
      <c r="X376" s="129"/>
      <c r="Y376" s="11"/>
      <c r="Z376" s="11"/>
      <c r="AA376" s="11"/>
      <c r="AB376" s="11"/>
      <c r="AC376" s="11"/>
      <c r="AD376" s="11"/>
      <c r="AE376" s="11"/>
      <c r="AF376" s="11"/>
      <c r="AG376" s="98"/>
      <c r="AH376" s="11"/>
    </row>
    <row r="377" spans="1:34" x14ac:dyDescent="0.3">
      <c r="A377" s="7" t="str">
        <f t="shared" si="26"/>
        <v>TR-1376</v>
      </c>
      <c r="B377" s="11" t="s">
        <v>1146</v>
      </c>
      <c r="C377" s="141" t="s">
        <v>945</v>
      </c>
      <c r="D377" s="98">
        <v>30932</v>
      </c>
      <c r="E377" s="111">
        <f t="shared" ca="1" si="27"/>
        <v>41</v>
      </c>
      <c r="F377" s="132" t="s">
        <v>762</v>
      </c>
      <c r="G377" s="11" t="s">
        <v>253</v>
      </c>
      <c r="H377" s="140" t="s">
        <v>1218</v>
      </c>
      <c r="I377" s="140" t="s">
        <v>1221</v>
      </c>
      <c r="J377" s="132"/>
      <c r="K377" s="11"/>
      <c r="L377" s="142">
        <v>45505</v>
      </c>
      <c r="M377" s="96" t="str" cm="1">
        <f t="array" ref="M377">_xlfn.XLOOKUP(B377&amp;"", 'Registro EMO'!$C$13:$C$4248&amp;"", 'Registro EMO'!$F$13:$F$4248, "Sin registro", 0, -1)</f>
        <v>Sin registro</v>
      </c>
      <c r="N377" s="11" t="str" cm="1">
        <f t="array" ref="N377">_xlfn.XLOOKUP(B377&amp;"", 'Registro EMO'!$C$13:$C$4248&amp;"", 'Registro EMO'!$E$13:$E$4248, "Sin registro", 0, -1)</f>
        <v>Sin registro</v>
      </c>
      <c r="O377" s="11" t="str">
        <f t="shared" si="28"/>
        <v>NO</v>
      </c>
      <c r="P377" s="130" t="str" cm="1">
        <f t="array" ref="P377">_xlfn.LET(
    _xlpm.resultado, _xlfn.XLOOKUP(B377&amp;"", 'Registro EMO'!$C$13:$C$4248&amp;"", 'Registro EMO'!$I$13:$I$4248, "NO", 0, -1),
    IF(_xlpm.resultado=0, "NO", _xlpm.resultado)
)</f>
        <v>NO</v>
      </c>
      <c r="Q377" s="11" t="str">
        <f t="shared" ca="1" si="29"/>
        <v>Pendiente</v>
      </c>
      <c r="R377" s="96"/>
      <c r="S377" s="11"/>
      <c r="T377" s="11" t="str">
        <f t="shared" si="30"/>
        <v/>
      </c>
      <c r="U377" s="11"/>
      <c r="V377" s="146"/>
      <c r="W377" s="29"/>
      <c r="X377" s="129"/>
      <c r="Y377" s="11"/>
      <c r="Z377" s="11"/>
      <c r="AA377" s="11"/>
      <c r="AB377" s="11"/>
      <c r="AC377" s="11"/>
      <c r="AD377" s="11"/>
      <c r="AE377" s="11"/>
      <c r="AF377" s="11"/>
      <c r="AG377" s="98"/>
      <c r="AH377" s="11"/>
    </row>
    <row r="378" spans="1:34" x14ac:dyDescent="0.3">
      <c r="A378" s="7" t="str">
        <f t="shared" si="26"/>
        <v>TR-1377</v>
      </c>
      <c r="B378" s="11" t="s">
        <v>1147</v>
      </c>
      <c r="C378" s="141" t="s">
        <v>946</v>
      </c>
      <c r="D378" s="98">
        <v>36711</v>
      </c>
      <c r="E378" s="111">
        <f t="shared" ca="1" si="27"/>
        <v>25</v>
      </c>
      <c r="F378" s="132" t="s">
        <v>743</v>
      </c>
      <c r="G378" s="11" t="s">
        <v>253</v>
      </c>
      <c r="H378" s="140" t="s">
        <v>1218</v>
      </c>
      <c r="I378" s="140" t="s">
        <v>1221</v>
      </c>
      <c r="J378" s="132"/>
      <c r="K378" s="11"/>
      <c r="L378" s="142">
        <v>46042</v>
      </c>
      <c r="M378" s="96" t="str" cm="1">
        <f t="array" ref="M378">_xlfn.XLOOKUP(B378&amp;"", 'Registro EMO'!$C$13:$C$4248&amp;"", 'Registro EMO'!$F$13:$F$4248, "Sin registro", 0, -1)</f>
        <v>Sin registro</v>
      </c>
      <c r="N378" s="11" t="str" cm="1">
        <f t="array" ref="N378">_xlfn.XLOOKUP(B378&amp;"", 'Registro EMO'!$C$13:$C$4248&amp;"", 'Registro EMO'!$E$13:$E$4248, "Sin registro", 0, -1)</f>
        <v>Sin registro</v>
      </c>
      <c r="O378" s="11" t="str">
        <f t="shared" si="28"/>
        <v>NO</v>
      </c>
      <c r="P378" s="130" t="str" cm="1">
        <f t="array" ref="P378">_xlfn.LET(
    _xlpm.resultado, _xlfn.XLOOKUP(B378&amp;"", 'Registro EMO'!$C$13:$C$4248&amp;"", 'Registro EMO'!$I$13:$I$4248, "NO", 0, -1),
    IF(_xlpm.resultado=0, "NO", _xlpm.resultado)
)</f>
        <v>NO</v>
      </c>
      <c r="Q378" s="11" t="str">
        <f t="shared" ca="1" si="29"/>
        <v>Pendiente</v>
      </c>
      <c r="R378" s="96"/>
      <c r="S378" s="11"/>
      <c r="T378" s="11" t="str">
        <f t="shared" si="30"/>
        <v/>
      </c>
      <c r="U378" s="11"/>
      <c r="V378" s="146"/>
      <c r="W378" s="29"/>
      <c r="X378" s="129"/>
      <c r="Y378" s="11"/>
      <c r="Z378" s="11"/>
      <c r="AA378" s="11"/>
      <c r="AB378" s="11"/>
      <c r="AC378" s="11"/>
      <c r="AD378" s="11"/>
      <c r="AE378" s="11"/>
      <c r="AF378" s="11"/>
      <c r="AG378" s="98"/>
      <c r="AH378" s="11"/>
    </row>
    <row r="379" spans="1:34" x14ac:dyDescent="0.3">
      <c r="A379" s="7" t="str">
        <f t="shared" si="26"/>
        <v>TR-1378</v>
      </c>
      <c r="B379" s="11" t="s">
        <v>1148</v>
      </c>
      <c r="C379" s="141" t="s">
        <v>947</v>
      </c>
      <c r="D379" s="98">
        <v>36839</v>
      </c>
      <c r="E379" s="111">
        <f t="shared" ca="1" si="27"/>
        <v>25</v>
      </c>
      <c r="F379" s="132" t="s">
        <v>743</v>
      </c>
      <c r="G379" s="11" t="s">
        <v>253</v>
      </c>
      <c r="H379" s="140" t="s">
        <v>1218</v>
      </c>
      <c r="I379" s="140" t="s">
        <v>1221</v>
      </c>
      <c r="J379" s="132"/>
      <c r="K379" s="11"/>
      <c r="L379" s="142">
        <v>46023</v>
      </c>
      <c r="M379" s="96" t="str" cm="1">
        <f t="array" ref="M379">_xlfn.XLOOKUP(B379&amp;"", 'Registro EMO'!$C$13:$C$4248&amp;"", 'Registro EMO'!$F$13:$F$4248, "Sin registro", 0, -1)</f>
        <v>Sin registro</v>
      </c>
      <c r="N379" s="11" t="str" cm="1">
        <f t="array" ref="N379">_xlfn.XLOOKUP(B379&amp;"", 'Registro EMO'!$C$13:$C$4248&amp;"", 'Registro EMO'!$E$13:$E$4248, "Sin registro", 0, -1)</f>
        <v>Sin registro</v>
      </c>
      <c r="O379" s="11" t="str">
        <f t="shared" si="28"/>
        <v>NO</v>
      </c>
      <c r="P379" s="130" t="str" cm="1">
        <f t="array" ref="P379">_xlfn.LET(
    _xlpm.resultado, _xlfn.XLOOKUP(B379&amp;"", 'Registro EMO'!$C$13:$C$4248&amp;"", 'Registro EMO'!$I$13:$I$4248, "NO", 0, -1),
    IF(_xlpm.resultado=0, "NO", _xlpm.resultado)
)</f>
        <v>NO</v>
      </c>
      <c r="Q379" s="11" t="str">
        <f t="shared" ca="1" si="29"/>
        <v>Pendiente</v>
      </c>
      <c r="R379" s="96"/>
      <c r="S379" s="11"/>
      <c r="T379" s="11" t="str">
        <f t="shared" si="30"/>
        <v/>
      </c>
      <c r="U379" s="11"/>
      <c r="V379" s="146"/>
      <c r="W379" s="29"/>
      <c r="X379" s="129"/>
      <c r="Y379" s="11"/>
      <c r="Z379" s="11"/>
      <c r="AA379" s="11"/>
      <c r="AB379" s="11"/>
      <c r="AC379" s="11"/>
      <c r="AD379" s="11"/>
      <c r="AE379" s="11"/>
      <c r="AF379" s="11"/>
      <c r="AG379" s="98"/>
      <c r="AH379" s="11"/>
    </row>
    <row r="380" spans="1:34" x14ac:dyDescent="0.3">
      <c r="A380" s="7" t="str">
        <f t="shared" si="26"/>
        <v>TR-1379</v>
      </c>
      <c r="B380" s="11" t="s">
        <v>1149</v>
      </c>
      <c r="C380" s="141" t="s">
        <v>948</v>
      </c>
      <c r="D380" s="98">
        <v>32407</v>
      </c>
      <c r="E380" s="111">
        <f t="shared" ca="1" si="27"/>
        <v>37</v>
      </c>
      <c r="F380" s="132" t="s">
        <v>762</v>
      </c>
      <c r="G380" s="11" t="s">
        <v>253</v>
      </c>
      <c r="H380" s="140" t="s">
        <v>1218</v>
      </c>
      <c r="I380" s="140" t="s">
        <v>1219</v>
      </c>
      <c r="J380" s="132"/>
      <c r="K380" s="11"/>
      <c r="L380" s="142">
        <v>45505</v>
      </c>
      <c r="M380" s="96" t="str" cm="1">
        <f t="array" ref="M380">_xlfn.XLOOKUP(B380&amp;"", 'Registro EMO'!$C$13:$C$4248&amp;"", 'Registro EMO'!$F$13:$F$4248, "Sin registro", 0, -1)</f>
        <v>Sin registro</v>
      </c>
      <c r="N380" s="11" t="str" cm="1">
        <f t="array" ref="N380">_xlfn.XLOOKUP(B380&amp;"", 'Registro EMO'!$C$13:$C$4248&amp;"", 'Registro EMO'!$E$13:$E$4248, "Sin registro", 0, -1)</f>
        <v>Sin registro</v>
      </c>
      <c r="O380" s="11" t="str">
        <f t="shared" si="28"/>
        <v>NO</v>
      </c>
      <c r="P380" s="130" t="str" cm="1">
        <f t="array" ref="P380">_xlfn.LET(
    _xlpm.resultado, _xlfn.XLOOKUP(B380&amp;"", 'Registro EMO'!$C$13:$C$4248&amp;"", 'Registro EMO'!$I$13:$I$4248, "NO", 0, -1),
    IF(_xlpm.resultado=0, "NO", _xlpm.resultado)
)</f>
        <v>NO</v>
      </c>
      <c r="Q380" s="11" t="str">
        <f t="shared" ca="1" si="29"/>
        <v>Pendiente</v>
      </c>
      <c r="R380" s="96" t="s">
        <v>1239</v>
      </c>
      <c r="S380" s="11" t="s">
        <v>1232</v>
      </c>
      <c r="T380" s="11" t="str">
        <f t="shared" si="30"/>
        <v>NO</v>
      </c>
      <c r="U380" s="11"/>
      <c r="V380" s="146" t="s">
        <v>126</v>
      </c>
      <c r="W380" s="29"/>
      <c r="X380" s="129"/>
      <c r="Y380" s="11"/>
      <c r="Z380" s="11"/>
      <c r="AA380" s="11"/>
      <c r="AB380" s="11"/>
      <c r="AC380" s="11"/>
      <c r="AD380" s="11"/>
      <c r="AE380" s="11"/>
      <c r="AF380" s="11"/>
      <c r="AG380" s="98"/>
      <c r="AH380" s="11" t="s">
        <v>32</v>
      </c>
    </row>
    <row r="381" spans="1:34" x14ac:dyDescent="0.3">
      <c r="A381" s="7" t="str">
        <f t="shared" si="26"/>
        <v>TR-1380</v>
      </c>
      <c r="B381" s="11" t="s">
        <v>1150</v>
      </c>
      <c r="C381" s="141" t="s">
        <v>949</v>
      </c>
      <c r="D381" s="98">
        <v>35970</v>
      </c>
      <c r="E381" s="111">
        <f t="shared" ca="1" si="27"/>
        <v>27</v>
      </c>
      <c r="F381" s="132" t="s">
        <v>762</v>
      </c>
      <c r="G381" s="11" t="s">
        <v>253</v>
      </c>
      <c r="H381" s="140" t="s">
        <v>1218</v>
      </c>
      <c r="I381" s="140" t="s">
        <v>1221</v>
      </c>
      <c r="J381" s="132"/>
      <c r="K381" s="11"/>
      <c r="L381" s="142">
        <v>45413</v>
      </c>
      <c r="M381" s="96" t="str" cm="1">
        <f t="array" ref="M381">_xlfn.XLOOKUP(B381&amp;"", 'Registro EMO'!$C$13:$C$4248&amp;"", 'Registro EMO'!$F$13:$F$4248, "Sin registro", 0, -1)</f>
        <v>Sin registro</v>
      </c>
      <c r="N381" s="11" t="str" cm="1">
        <f t="array" ref="N381">_xlfn.XLOOKUP(B381&amp;"", 'Registro EMO'!$C$13:$C$4248&amp;"", 'Registro EMO'!$E$13:$E$4248, "Sin registro", 0, -1)</f>
        <v>Sin registro</v>
      </c>
      <c r="O381" s="11" t="str">
        <f t="shared" si="28"/>
        <v>NO</v>
      </c>
      <c r="P381" s="130" t="str" cm="1">
        <f t="array" ref="P381">_xlfn.LET(
    _xlpm.resultado, _xlfn.XLOOKUP(B381&amp;"", 'Registro EMO'!$C$13:$C$4248&amp;"", 'Registro EMO'!$I$13:$I$4248, "NO", 0, -1),
    IF(_xlpm.resultado=0, "NO", _xlpm.resultado)
)</f>
        <v>NO</v>
      </c>
      <c r="Q381" s="11" t="str">
        <f t="shared" ca="1" si="29"/>
        <v>Pendiente</v>
      </c>
      <c r="R381" s="96" t="s">
        <v>1242</v>
      </c>
      <c r="S381" s="11" t="s">
        <v>1232</v>
      </c>
      <c r="T381" s="11" t="str">
        <f t="shared" si="30"/>
        <v>NO</v>
      </c>
      <c r="U381" s="11"/>
      <c r="V381" s="146" t="s">
        <v>126</v>
      </c>
      <c r="W381" s="29"/>
      <c r="X381" s="129"/>
      <c r="Y381" s="11"/>
      <c r="Z381" s="11"/>
      <c r="AA381" s="11"/>
      <c r="AB381" s="11"/>
      <c r="AC381" s="11"/>
      <c r="AD381" s="11"/>
      <c r="AE381" s="11"/>
      <c r="AF381" s="11"/>
      <c r="AG381" s="98"/>
      <c r="AH381" s="11" t="s">
        <v>32</v>
      </c>
    </row>
    <row r="382" spans="1:34" x14ac:dyDescent="0.3">
      <c r="A382" s="7" t="str">
        <f t="shared" si="26"/>
        <v>TR-1381</v>
      </c>
      <c r="B382" s="11" t="s">
        <v>1151</v>
      </c>
      <c r="C382" s="141" t="s">
        <v>950</v>
      </c>
      <c r="D382" s="98">
        <v>34742</v>
      </c>
      <c r="E382" s="111">
        <f t="shared" ca="1" si="27"/>
        <v>31</v>
      </c>
      <c r="F382" s="132" t="s">
        <v>743</v>
      </c>
      <c r="G382" s="11" t="s">
        <v>253</v>
      </c>
      <c r="H382" s="140" t="s">
        <v>1218</v>
      </c>
      <c r="I382" s="140" t="s">
        <v>1221</v>
      </c>
      <c r="J382" s="132"/>
      <c r="K382" s="11"/>
      <c r="L382" s="142">
        <v>45597</v>
      </c>
      <c r="M382" s="96" t="str" cm="1">
        <f t="array" ref="M382">_xlfn.XLOOKUP(B382&amp;"", 'Registro EMO'!$C$13:$C$4248&amp;"", 'Registro EMO'!$F$13:$F$4248, "Sin registro", 0, -1)</f>
        <v>Sin registro</v>
      </c>
      <c r="N382" s="11" t="str" cm="1">
        <f t="array" ref="N382">_xlfn.XLOOKUP(B382&amp;"", 'Registro EMO'!$C$13:$C$4248&amp;"", 'Registro EMO'!$E$13:$E$4248, "Sin registro", 0, -1)</f>
        <v>Sin registro</v>
      </c>
      <c r="O382" s="11" t="str">
        <f t="shared" si="28"/>
        <v>NO</v>
      </c>
      <c r="P382" s="130" t="str" cm="1">
        <f t="array" ref="P382">_xlfn.LET(
    _xlpm.resultado, _xlfn.XLOOKUP(B382&amp;"", 'Registro EMO'!$C$13:$C$4248&amp;"", 'Registro EMO'!$I$13:$I$4248, "NO", 0, -1),
    IF(_xlpm.resultado=0, "NO", _xlpm.resultado)
)</f>
        <v>NO</v>
      </c>
      <c r="Q382" s="11" t="str">
        <f t="shared" ca="1" si="29"/>
        <v>Pendiente</v>
      </c>
      <c r="R382" s="96" t="s">
        <v>1334</v>
      </c>
      <c r="S382" s="11" t="s">
        <v>1232</v>
      </c>
      <c r="T382" s="11" t="str">
        <f t="shared" si="30"/>
        <v>NO</v>
      </c>
      <c r="U382" s="11"/>
      <c r="V382" s="146" t="s">
        <v>126</v>
      </c>
      <c r="W382" s="29"/>
      <c r="X382" s="129"/>
      <c r="Y382" s="11"/>
      <c r="Z382" s="11"/>
      <c r="AA382" s="11"/>
      <c r="AB382" s="11"/>
      <c r="AC382" s="11"/>
      <c r="AD382" s="11"/>
      <c r="AE382" s="11"/>
      <c r="AF382" s="11"/>
      <c r="AG382" s="98"/>
      <c r="AH382" s="11" t="s">
        <v>32</v>
      </c>
    </row>
    <row r="383" spans="1:34" x14ac:dyDescent="0.3">
      <c r="A383" s="7" t="str">
        <f t="shared" si="26"/>
        <v>TR-1382</v>
      </c>
      <c r="B383" s="11" t="s">
        <v>1152</v>
      </c>
      <c r="C383" s="141" t="s">
        <v>951</v>
      </c>
      <c r="D383" s="98">
        <v>35923</v>
      </c>
      <c r="E383" s="111">
        <f t="shared" ca="1" si="27"/>
        <v>27</v>
      </c>
      <c r="F383" s="132" t="s">
        <v>743</v>
      </c>
      <c r="G383" s="11" t="s">
        <v>253</v>
      </c>
      <c r="H383" s="140" t="s">
        <v>752</v>
      </c>
      <c r="I383" s="140" t="s">
        <v>753</v>
      </c>
      <c r="J383" s="132"/>
      <c r="K383" s="11"/>
      <c r="L383" s="142">
        <v>45264</v>
      </c>
      <c r="M383" s="96" t="str" cm="1">
        <f t="array" ref="M383">_xlfn.XLOOKUP(B383&amp;"", 'Registro EMO'!$C$13:$C$4248&amp;"", 'Registro EMO'!$F$13:$F$4248, "Sin registro", 0, -1)</f>
        <v>Sin registro</v>
      </c>
      <c r="N383" s="11" t="str" cm="1">
        <f t="array" ref="N383">_xlfn.XLOOKUP(B383&amp;"", 'Registro EMO'!$C$13:$C$4248&amp;"", 'Registro EMO'!$E$13:$E$4248, "Sin registro", 0, -1)</f>
        <v>Sin registro</v>
      </c>
      <c r="O383" s="11" t="str">
        <f t="shared" si="28"/>
        <v>NO</v>
      </c>
      <c r="P383" s="130" t="str" cm="1">
        <f t="array" ref="P383">_xlfn.LET(
    _xlpm.resultado, _xlfn.XLOOKUP(B383&amp;"", 'Registro EMO'!$C$13:$C$4248&amp;"", 'Registro EMO'!$I$13:$I$4248, "NO", 0, -1),
    IF(_xlpm.resultado=0, "NO", _xlpm.resultado)
)</f>
        <v>NO</v>
      </c>
      <c r="Q383" s="11" t="str">
        <f t="shared" ca="1" si="29"/>
        <v>Pendiente</v>
      </c>
      <c r="R383" s="96"/>
      <c r="S383" s="11"/>
      <c r="T383" s="11" t="str">
        <f t="shared" si="30"/>
        <v/>
      </c>
      <c r="U383" s="11"/>
      <c r="V383" s="146"/>
      <c r="W383" s="29"/>
      <c r="X383" s="129"/>
      <c r="Y383" s="11"/>
      <c r="Z383" s="11"/>
      <c r="AA383" s="11"/>
      <c r="AB383" s="11"/>
      <c r="AC383" s="11"/>
      <c r="AD383" s="11"/>
      <c r="AE383" s="11"/>
      <c r="AF383" s="11"/>
      <c r="AG383" s="98"/>
      <c r="AH383" s="11"/>
    </row>
    <row r="384" spans="1:34" x14ac:dyDescent="0.3">
      <c r="A384" s="7" t="str">
        <f t="shared" si="26"/>
        <v>TR-1383</v>
      </c>
      <c r="B384" s="11" t="s">
        <v>1153</v>
      </c>
      <c r="C384" s="141" t="s">
        <v>952</v>
      </c>
      <c r="D384" s="98">
        <v>33345</v>
      </c>
      <c r="E384" s="111">
        <f t="shared" ca="1" si="27"/>
        <v>34</v>
      </c>
      <c r="F384" s="132" t="s">
        <v>762</v>
      </c>
      <c r="G384" s="11" t="s">
        <v>253</v>
      </c>
      <c r="H384" s="140" t="s">
        <v>1218</v>
      </c>
      <c r="I384" s="140" t="s">
        <v>1221</v>
      </c>
      <c r="J384" s="132"/>
      <c r="K384" s="11"/>
      <c r="L384" s="142">
        <v>44958</v>
      </c>
      <c r="M384" s="96" t="str" cm="1">
        <f t="array" ref="M384">_xlfn.XLOOKUP(B384&amp;"", 'Registro EMO'!$C$13:$C$4248&amp;"", 'Registro EMO'!$F$13:$F$4248, "Sin registro", 0, -1)</f>
        <v>Sin registro</v>
      </c>
      <c r="N384" s="11" t="str" cm="1">
        <f t="array" ref="N384">_xlfn.XLOOKUP(B384&amp;"", 'Registro EMO'!$C$13:$C$4248&amp;"", 'Registro EMO'!$E$13:$E$4248, "Sin registro", 0, -1)</f>
        <v>Sin registro</v>
      </c>
      <c r="O384" s="11" t="str">
        <f t="shared" si="28"/>
        <v>NO</v>
      </c>
      <c r="P384" s="130" t="str" cm="1">
        <f t="array" ref="P384">_xlfn.LET(
    _xlpm.resultado, _xlfn.XLOOKUP(B384&amp;"", 'Registro EMO'!$C$13:$C$4248&amp;"", 'Registro EMO'!$I$13:$I$4248, "NO", 0, -1),
    IF(_xlpm.resultado=0, "NO", _xlpm.resultado)
)</f>
        <v>NO</v>
      </c>
      <c r="Q384" s="11" t="str">
        <f t="shared" ca="1" si="29"/>
        <v>Pendiente</v>
      </c>
      <c r="R384" s="96" t="s">
        <v>1335</v>
      </c>
      <c r="S384" s="11" t="s">
        <v>1232</v>
      </c>
      <c r="T384" s="11" t="str">
        <f t="shared" si="30"/>
        <v>NO</v>
      </c>
      <c r="U384" s="11"/>
      <c r="V384" s="146" t="s">
        <v>126</v>
      </c>
      <c r="W384" s="29"/>
      <c r="X384" s="129"/>
      <c r="Y384" s="11"/>
      <c r="Z384" s="11"/>
      <c r="AA384" s="11"/>
      <c r="AB384" s="11"/>
      <c r="AC384" s="11"/>
      <c r="AD384" s="11"/>
      <c r="AE384" s="11"/>
      <c r="AF384" s="11"/>
      <c r="AG384" s="98"/>
      <c r="AH384" s="11" t="s">
        <v>32</v>
      </c>
    </row>
    <row r="385" spans="1:34" x14ac:dyDescent="0.3">
      <c r="A385" s="7" t="str">
        <f t="shared" si="26"/>
        <v>TR-1384</v>
      </c>
      <c r="B385" s="11" t="s">
        <v>1154</v>
      </c>
      <c r="C385" s="141" t="s">
        <v>953</v>
      </c>
      <c r="D385" s="98">
        <v>28198</v>
      </c>
      <c r="E385" s="111">
        <f t="shared" ca="1" si="27"/>
        <v>48</v>
      </c>
      <c r="F385" s="132" t="s">
        <v>743</v>
      </c>
      <c r="G385" s="11" t="s">
        <v>253</v>
      </c>
      <c r="H385" s="140" t="s">
        <v>1218</v>
      </c>
      <c r="I385" s="140" t="s">
        <v>1219</v>
      </c>
      <c r="J385" s="132"/>
      <c r="K385" s="11"/>
      <c r="L385" s="142">
        <v>44774</v>
      </c>
      <c r="M385" s="96" t="str" cm="1">
        <f t="array" ref="M385">_xlfn.XLOOKUP(B385&amp;"", 'Registro EMO'!$C$13:$C$4248&amp;"", 'Registro EMO'!$F$13:$F$4248, "Sin registro", 0, -1)</f>
        <v>Sin registro</v>
      </c>
      <c r="N385" s="11" t="str" cm="1">
        <f t="array" ref="N385">_xlfn.XLOOKUP(B385&amp;"", 'Registro EMO'!$C$13:$C$4248&amp;"", 'Registro EMO'!$E$13:$E$4248, "Sin registro", 0, -1)</f>
        <v>Sin registro</v>
      </c>
      <c r="O385" s="11" t="str">
        <f t="shared" si="28"/>
        <v>NO</v>
      </c>
      <c r="P385" s="130" t="str" cm="1">
        <f t="array" ref="P385">_xlfn.LET(
    _xlpm.resultado, _xlfn.XLOOKUP(B385&amp;"", 'Registro EMO'!$C$13:$C$4248&amp;"", 'Registro EMO'!$I$13:$I$4248, "NO", 0, -1),
    IF(_xlpm.resultado=0, "NO", _xlpm.resultado)
)</f>
        <v>NO</v>
      </c>
      <c r="Q385" s="11" t="str">
        <f t="shared" ca="1" si="29"/>
        <v>Pendiente</v>
      </c>
      <c r="R385" s="96">
        <v>46091</v>
      </c>
      <c r="S385" s="11" t="s">
        <v>1232</v>
      </c>
      <c r="T385" s="11" t="str">
        <f t="shared" si="30"/>
        <v>NO</v>
      </c>
      <c r="U385" s="11"/>
      <c r="V385" s="146" t="s">
        <v>126</v>
      </c>
      <c r="W385" s="29"/>
      <c r="X385" s="129"/>
      <c r="Y385" s="11"/>
      <c r="Z385" s="11"/>
      <c r="AA385" s="11"/>
      <c r="AB385" s="11"/>
      <c r="AC385" s="11"/>
      <c r="AD385" s="11"/>
      <c r="AE385" s="11"/>
      <c r="AF385" s="11"/>
      <c r="AG385" s="98"/>
      <c r="AH385" s="11" t="s">
        <v>32</v>
      </c>
    </row>
    <row r="386" spans="1:34" x14ac:dyDescent="0.3">
      <c r="A386" s="7" t="str">
        <f t="shared" ref="A386:A449" si="31">IF(B386&lt;&gt;"", "TR-" &amp; TEXT(1000 + ROW(A386) - 1, "0000"), "")</f>
        <v>TR-1385</v>
      </c>
      <c r="B386" s="11" t="s">
        <v>1155</v>
      </c>
      <c r="C386" s="141" t="s">
        <v>954</v>
      </c>
      <c r="D386" s="98">
        <v>32146</v>
      </c>
      <c r="E386" s="111">
        <f t="shared" ref="E386:E449" ca="1" si="32">IF(D386&lt;&gt;"", DATEDIF(D386, TODAY(), "y"), "")</f>
        <v>38</v>
      </c>
      <c r="F386" s="132" t="s">
        <v>743</v>
      </c>
      <c r="G386" s="11" t="s">
        <v>253</v>
      </c>
      <c r="H386" s="140" t="s">
        <v>1218</v>
      </c>
      <c r="I386" s="140" t="s">
        <v>1221</v>
      </c>
      <c r="J386" s="132"/>
      <c r="K386" s="11"/>
      <c r="L386" s="142">
        <v>45809</v>
      </c>
      <c r="M386" s="96" t="str" cm="1">
        <f t="array" ref="M386">_xlfn.XLOOKUP(B386&amp;"", 'Registro EMO'!$C$13:$C$4248&amp;"", 'Registro EMO'!$F$13:$F$4248, "Sin registro", 0, -1)</f>
        <v>Sin registro</v>
      </c>
      <c r="N386" s="11" t="str" cm="1">
        <f t="array" ref="N386">_xlfn.XLOOKUP(B386&amp;"", 'Registro EMO'!$C$13:$C$4248&amp;"", 'Registro EMO'!$E$13:$E$4248, "Sin registro", 0, -1)</f>
        <v>Sin registro</v>
      </c>
      <c r="O386" s="11" t="str">
        <f t="shared" ref="O386:O449" si="33">IF(P386="NO", "NO", "SI")</f>
        <v>NO</v>
      </c>
      <c r="P386" s="130" t="str" cm="1">
        <f t="array" ref="P386">_xlfn.LET(
    _xlpm.resultado, _xlfn.XLOOKUP(B386&amp;"", 'Registro EMO'!$C$13:$C$4248&amp;"", 'Registro EMO'!$I$13:$I$4248, "NO", 0, -1),
    IF(_xlpm.resultado=0, "NO", _xlpm.resultado)
)</f>
        <v>NO</v>
      </c>
      <c r="Q386" s="11" t="str">
        <f t="shared" ref="Q386:Q450" ca="1" si="34">IF(M386="Sin registro", "Pendiente", IF(EDATE(M386, IF(K386="Oficina", 24, 12)) &gt;= TODAY(), "Vigente", "Vencido"))</f>
        <v>Pendiente</v>
      </c>
      <c r="R386" s="96"/>
      <c r="S386" s="11"/>
      <c r="T386" s="11" t="str">
        <f t="shared" ref="T386:T449" si="35">IF(R386="", "", IF(U386="", "NO", "SI"))</f>
        <v/>
      </c>
      <c r="U386" s="11"/>
      <c r="V386" s="146"/>
      <c r="W386" s="29"/>
      <c r="X386" s="129"/>
      <c r="Y386" s="11"/>
      <c r="Z386" s="11"/>
      <c r="AA386" s="11"/>
      <c r="AB386" s="11"/>
      <c r="AC386" s="11"/>
      <c r="AD386" s="11"/>
      <c r="AE386" s="11"/>
      <c r="AF386" s="11"/>
      <c r="AG386" s="98"/>
      <c r="AH386" s="11"/>
    </row>
    <row r="387" spans="1:34" x14ac:dyDescent="0.3">
      <c r="A387" s="7" t="str">
        <f t="shared" si="31"/>
        <v>TR-1386</v>
      </c>
      <c r="B387" s="11" t="s">
        <v>1156</v>
      </c>
      <c r="C387" s="141" t="s">
        <v>955</v>
      </c>
      <c r="D387" s="98">
        <v>33971</v>
      </c>
      <c r="E387" s="111">
        <f t="shared" ca="1" si="32"/>
        <v>33</v>
      </c>
      <c r="F387" s="132" t="s">
        <v>743</v>
      </c>
      <c r="G387" s="11" t="s">
        <v>253</v>
      </c>
      <c r="H387" s="140" t="s">
        <v>1218</v>
      </c>
      <c r="I387" s="140" t="s">
        <v>1221</v>
      </c>
      <c r="J387" s="132"/>
      <c r="K387" s="11"/>
      <c r="L387" s="142">
        <v>45901</v>
      </c>
      <c r="M387" s="96" t="str" cm="1">
        <f t="array" ref="M387">_xlfn.XLOOKUP(B387&amp;"", 'Registro EMO'!$C$13:$C$4248&amp;"", 'Registro EMO'!$F$13:$F$4248, "Sin registro", 0, -1)</f>
        <v>Sin registro</v>
      </c>
      <c r="N387" s="11" t="str" cm="1">
        <f t="array" ref="N387">_xlfn.XLOOKUP(B387&amp;"", 'Registro EMO'!$C$13:$C$4248&amp;"", 'Registro EMO'!$E$13:$E$4248, "Sin registro", 0, -1)</f>
        <v>Sin registro</v>
      </c>
      <c r="O387" s="11" t="str">
        <f t="shared" si="33"/>
        <v>NO</v>
      </c>
      <c r="P387" s="130" t="str" cm="1">
        <f t="array" ref="P387">_xlfn.LET(
    _xlpm.resultado, _xlfn.XLOOKUP(B387&amp;"", 'Registro EMO'!$C$13:$C$4248&amp;"", 'Registro EMO'!$I$13:$I$4248, "NO", 0, -1),
    IF(_xlpm.resultado=0, "NO", _xlpm.resultado)
)</f>
        <v>NO</v>
      </c>
      <c r="Q387" s="11" t="str">
        <f t="shared" ca="1" si="34"/>
        <v>Pendiente</v>
      </c>
      <c r="R387" s="96"/>
      <c r="S387" s="11"/>
      <c r="T387" s="11" t="str">
        <f t="shared" si="35"/>
        <v/>
      </c>
      <c r="U387" s="11"/>
      <c r="V387" s="146"/>
      <c r="W387" s="29"/>
      <c r="X387" s="129"/>
      <c r="Y387" s="11"/>
      <c r="Z387" s="11"/>
      <c r="AA387" s="11"/>
      <c r="AB387" s="11"/>
      <c r="AC387" s="11"/>
      <c r="AD387" s="11"/>
      <c r="AE387" s="11"/>
      <c r="AF387" s="11"/>
      <c r="AG387" s="98"/>
      <c r="AH387" s="11"/>
    </row>
    <row r="388" spans="1:34" x14ac:dyDescent="0.3">
      <c r="A388" s="7" t="str">
        <f t="shared" si="31"/>
        <v>TR-1387</v>
      </c>
      <c r="B388" s="11" t="s">
        <v>1157</v>
      </c>
      <c r="C388" s="141" t="s">
        <v>956</v>
      </c>
      <c r="D388" s="98">
        <v>34161</v>
      </c>
      <c r="E388" s="111">
        <f t="shared" ca="1" si="32"/>
        <v>32</v>
      </c>
      <c r="F388" s="132" t="s">
        <v>762</v>
      </c>
      <c r="G388" s="11" t="s">
        <v>253</v>
      </c>
      <c r="H388" s="140" t="s">
        <v>1218</v>
      </c>
      <c r="I388" s="140" t="s">
        <v>1221</v>
      </c>
      <c r="J388" s="132"/>
      <c r="K388" s="11"/>
      <c r="L388" s="142">
        <v>46028</v>
      </c>
      <c r="M388" s="96" t="str" cm="1">
        <f t="array" ref="M388">_xlfn.XLOOKUP(B388&amp;"", 'Registro EMO'!$C$13:$C$4248&amp;"", 'Registro EMO'!$F$13:$F$4248, "Sin registro", 0, -1)</f>
        <v>Sin registro</v>
      </c>
      <c r="N388" s="11" t="str" cm="1">
        <f t="array" ref="N388">_xlfn.XLOOKUP(B388&amp;"", 'Registro EMO'!$C$13:$C$4248&amp;"", 'Registro EMO'!$E$13:$E$4248, "Sin registro", 0, -1)</f>
        <v>Sin registro</v>
      </c>
      <c r="O388" s="11" t="str">
        <f t="shared" si="33"/>
        <v>NO</v>
      </c>
      <c r="P388" s="130" t="str" cm="1">
        <f t="array" ref="P388">_xlfn.LET(
    _xlpm.resultado, _xlfn.XLOOKUP(B388&amp;"", 'Registro EMO'!$C$13:$C$4248&amp;"", 'Registro EMO'!$I$13:$I$4248, "NO", 0, -1),
    IF(_xlpm.resultado=0, "NO", _xlpm.resultado)
)</f>
        <v>NO</v>
      </c>
      <c r="Q388" s="11" t="str">
        <f t="shared" ca="1" si="34"/>
        <v>Pendiente</v>
      </c>
      <c r="R388" s="96"/>
      <c r="S388" s="11"/>
      <c r="T388" s="11" t="str">
        <f t="shared" si="35"/>
        <v/>
      </c>
      <c r="U388" s="11"/>
      <c r="V388" s="146"/>
      <c r="W388" s="29"/>
      <c r="X388" s="129"/>
      <c r="Y388" s="11"/>
      <c r="Z388" s="11"/>
      <c r="AA388" s="11"/>
      <c r="AB388" s="11"/>
      <c r="AC388" s="11"/>
      <c r="AD388" s="11"/>
      <c r="AE388" s="11"/>
      <c r="AF388" s="11"/>
      <c r="AG388" s="98"/>
      <c r="AH388" s="11"/>
    </row>
    <row r="389" spans="1:34" x14ac:dyDescent="0.3">
      <c r="A389" s="7" t="str">
        <f t="shared" si="31"/>
        <v>TR-1388</v>
      </c>
      <c r="B389" s="11" t="s">
        <v>1158</v>
      </c>
      <c r="C389" s="141" t="s">
        <v>957</v>
      </c>
      <c r="D389" s="98">
        <v>35009</v>
      </c>
      <c r="E389" s="111">
        <f t="shared" ca="1" si="32"/>
        <v>30</v>
      </c>
      <c r="F389" s="132" t="s">
        <v>762</v>
      </c>
      <c r="G389" s="11" t="s">
        <v>253</v>
      </c>
      <c r="H389" s="140" t="s">
        <v>752</v>
      </c>
      <c r="I389" s="140" t="s">
        <v>753</v>
      </c>
      <c r="J389" s="132"/>
      <c r="K389" s="11"/>
      <c r="L389" s="142">
        <v>44137</v>
      </c>
      <c r="M389" s="96" t="str" cm="1">
        <f t="array" ref="M389">_xlfn.XLOOKUP(B389&amp;"", 'Registro EMO'!$C$13:$C$4248&amp;"", 'Registro EMO'!$F$13:$F$4248, "Sin registro", 0, -1)</f>
        <v>Sin registro</v>
      </c>
      <c r="N389" s="11" t="str" cm="1">
        <f t="array" ref="N389">_xlfn.XLOOKUP(B389&amp;"", 'Registro EMO'!$C$13:$C$4248&amp;"", 'Registro EMO'!$E$13:$E$4248, "Sin registro", 0, -1)</f>
        <v>Sin registro</v>
      </c>
      <c r="O389" s="11" t="str">
        <f t="shared" si="33"/>
        <v>NO</v>
      </c>
      <c r="P389" s="130" t="str" cm="1">
        <f t="array" ref="P389">_xlfn.LET(
    _xlpm.resultado, _xlfn.XLOOKUP(B389&amp;"", 'Registro EMO'!$C$13:$C$4248&amp;"", 'Registro EMO'!$I$13:$I$4248, "NO", 0, -1),
    IF(_xlpm.resultado=0, "NO", _xlpm.resultado)
)</f>
        <v>NO</v>
      </c>
      <c r="Q389" s="11" t="str">
        <f t="shared" ca="1" si="34"/>
        <v>Pendiente</v>
      </c>
      <c r="R389" s="96"/>
      <c r="S389" s="11"/>
      <c r="T389" s="11" t="str">
        <f t="shared" si="35"/>
        <v/>
      </c>
      <c r="U389" s="11"/>
      <c r="V389" s="146"/>
      <c r="W389" s="29"/>
      <c r="X389" s="129"/>
      <c r="Y389" s="11"/>
      <c r="Z389" s="11"/>
      <c r="AA389" s="11"/>
      <c r="AB389" s="11"/>
      <c r="AC389" s="11"/>
      <c r="AD389" s="11"/>
      <c r="AE389" s="11"/>
      <c r="AF389" s="11"/>
      <c r="AG389" s="98"/>
      <c r="AH389" s="11"/>
    </row>
    <row r="390" spans="1:34" x14ac:dyDescent="0.3">
      <c r="A390" s="7" t="str">
        <f t="shared" si="31"/>
        <v>TR-1389</v>
      </c>
      <c r="B390" s="11" t="s">
        <v>1159</v>
      </c>
      <c r="C390" s="141" t="s">
        <v>958</v>
      </c>
      <c r="D390" s="98">
        <v>35028</v>
      </c>
      <c r="E390" s="111">
        <f t="shared" ca="1" si="32"/>
        <v>30</v>
      </c>
      <c r="F390" s="132" t="s">
        <v>762</v>
      </c>
      <c r="G390" s="11" t="s">
        <v>253</v>
      </c>
      <c r="H390" s="140" t="s">
        <v>1218</v>
      </c>
      <c r="I390" s="140" t="s">
        <v>1221</v>
      </c>
      <c r="J390" s="132"/>
      <c r="K390" s="11"/>
      <c r="L390" s="142">
        <v>45139</v>
      </c>
      <c r="M390" s="96" t="str" cm="1">
        <f t="array" ref="M390">_xlfn.XLOOKUP(B390&amp;"", 'Registro EMO'!$C$13:$C$4248&amp;"", 'Registro EMO'!$F$13:$F$4248, "Sin registro", 0, -1)</f>
        <v>Sin registro</v>
      </c>
      <c r="N390" s="11" t="str" cm="1">
        <f t="array" ref="N390">_xlfn.XLOOKUP(B390&amp;"", 'Registro EMO'!$C$13:$C$4248&amp;"", 'Registro EMO'!$E$13:$E$4248, "Sin registro", 0, -1)</f>
        <v>Sin registro</v>
      </c>
      <c r="O390" s="11" t="str">
        <f t="shared" si="33"/>
        <v>NO</v>
      </c>
      <c r="P390" s="130" t="str" cm="1">
        <f t="array" ref="P390">_xlfn.LET(
    _xlpm.resultado, _xlfn.XLOOKUP(B390&amp;"", 'Registro EMO'!$C$13:$C$4248&amp;"", 'Registro EMO'!$I$13:$I$4248, "NO", 0, -1),
    IF(_xlpm.resultado=0, "NO", _xlpm.resultado)
)</f>
        <v>NO</v>
      </c>
      <c r="Q390" s="11" t="str">
        <f t="shared" ca="1" si="34"/>
        <v>Pendiente</v>
      </c>
      <c r="R390" s="96" t="s">
        <v>1319</v>
      </c>
      <c r="S390" s="11" t="s">
        <v>1232</v>
      </c>
      <c r="T390" s="11" t="str">
        <f t="shared" si="35"/>
        <v>NO</v>
      </c>
      <c r="U390" s="11"/>
      <c r="V390" s="146" t="s">
        <v>126</v>
      </c>
      <c r="W390" s="29"/>
      <c r="X390" s="129"/>
      <c r="Y390" s="11"/>
      <c r="Z390" s="11"/>
      <c r="AA390" s="11"/>
      <c r="AB390" s="11"/>
      <c r="AC390" s="11"/>
      <c r="AD390" s="11"/>
      <c r="AE390" s="11"/>
      <c r="AF390" s="11"/>
      <c r="AG390" s="98"/>
      <c r="AH390" s="11" t="s">
        <v>32</v>
      </c>
    </row>
    <row r="391" spans="1:34" x14ac:dyDescent="0.3">
      <c r="A391" s="7" t="str">
        <f t="shared" si="31"/>
        <v>TR-1390</v>
      </c>
      <c r="B391" s="11" t="s">
        <v>1160</v>
      </c>
      <c r="C391" s="141" t="s">
        <v>959</v>
      </c>
      <c r="D391" s="98">
        <v>35072</v>
      </c>
      <c r="E391" s="111">
        <f t="shared" ca="1" si="32"/>
        <v>30</v>
      </c>
      <c r="F391" s="132" t="s">
        <v>743</v>
      </c>
      <c r="G391" s="11" t="s">
        <v>253</v>
      </c>
      <c r="H391" s="140" t="s">
        <v>1218</v>
      </c>
      <c r="I391" s="140" t="s">
        <v>1221</v>
      </c>
      <c r="J391" s="132"/>
      <c r="K391" s="11"/>
      <c r="L391" s="142">
        <v>45139</v>
      </c>
      <c r="M391" s="96" t="str" cm="1">
        <f t="array" ref="M391">_xlfn.XLOOKUP(B391&amp;"", 'Registro EMO'!$C$13:$C$4248&amp;"", 'Registro EMO'!$F$13:$F$4248, "Sin registro", 0, -1)</f>
        <v>Sin registro</v>
      </c>
      <c r="N391" s="11" t="str" cm="1">
        <f t="array" ref="N391">_xlfn.XLOOKUP(B391&amp;"", 'Registro EMO'!$C$13:$C$4248&amp;"", 'Registro EMO'!$E$13:$E$4248, "Sin registro", 0, -1)</f>
        <v>Sin registro</v>
      </c>
      <c r="O391" s="11" t="str">
        <f t="shared" si="33"/>
        <v>NO</v>
      </c>
      <c r="P391" s="130" t="str" cm="1">
        <f t="array" ref="P391">_xlfn.LET(
    _xlpm.resultado, _xlfn.XLOOKUP(B391&amp;"", 'Registro EMO'!$C$13:$C$4248&amp;"", 'Registro EMO'!$I$13:$I$4248, "NO", 0, -1),
    IF(_xlpm.resultado=0, "NO", _xlpm.resultado)
)</f>
        <v>NO</v>
      </c>
      <c r="Q391" s="11" t="str">
        <f t="shared" ca="1" si="34"/>
        <v>Pendiente</v>
      </c>
      <c r="R391" s="96" t="s">
        <v>1336</v>
      </c>
      <c r="S391" s="11" t="s">
        <v>1232</v>
      </c>
      <c r="T391" s="11" t="str">
        <f t="shared" si="35"/>
        <v>NO</v>
      </c>
      <c r="U391" s="11"/>
      <c r="V391" s="146" t="s">
        <v>126</v>
      </c>
      <c r="W391" s="29"/>
      <c r="X391" s="129"/>
      <c r="Y391" s="11"/>
      <c r="Z391" s="11"/>
      <c r="AA391" s="11"/>
      <c r="AB391" s="11"/>
      <c r="AC391" s="11"/>
      <c r="AD391" s="11"/>
      <c r="AE391" s="11"/>
      <c r="AF391" s="11"/>
      <c r="AG391" s="98"/>
      <c r="AH391" s="11" t="s">
        <v>32</v>
      </c>
    </row>
    <row r="392" spans="1:34" x14ac:dyDescent="0.3">
      <c r="A392" s="7" t="str">
        <f t="shared" si="31"/>
        <v>TR-1391</v>
      </c>
      <c r="B392" s="11" t="s">
        <v>1161</v>
      </c>
      <c r="C392" s="141" t="s">
        <v>960</v>
      </c>
      <c r="D392" s="98">
        <v>34283</v>
      </c>
      <c r="E392" s="111">
        <f t="shared" ca="1" si="32"/>
        <v>32</v>
      </c>
      <c r="F392" s="132" t="s">
        <v>743</v>
      </c>
      <c r="G392" s="11" t="s">
        <v>253</v>
      </c>
      <c r="H392" s="140" t="s">
        <v>1218</v>
      </c>
      <c r="I392" s="140" t="s">
        <v>1219</v>
      </c>
      <c r="J392" s="132"/>
      <c r="K392" s="11"/>
      <c r="L392" s="142">
        <v>44455</v>
      </c>
      <c r="M392" s="96" t="str" cm="1">
        <f t="array" ref="M392">_xlfn.XLOOKUP(B392&amp;"", 'Registro EMO'!$C$13:$C$4248&amp;"", 'Registro EMO'!$F$13:$F$4248, "Sin registro", 0, -1)</f>
        <v>Sin registro</v>
      </c>
      <c r="N392" s="11" t="str" cm="1">
        <f t="array" ref="N392">_xlfn.XLOOKUP(B392&amp;"", 'Registro EMO'!$C$13:$C$4248&amp;"", 'Registro EMO'!$E$13:$E$4248, "Sin registro", 0, -1)</f>
        <v>Sin registro</v>
      </c>
      <c r="O392" s="11" t="str">
        <f t="shared" si="33"/>
        <v>NO</v>
      </c>
      <c r="P392" s="130" t="str" cm="1">
        <f t="array" ref="P392">_xlfn.LET(
    _xlpm.resultado, _xlfn.XLOOKUP(B392&amp;"", 'Registro EMO'!$C$13:$C$4248&amp;"", 'Registro EMO'!$I$13:$I$4248, "NO", 0, -1),
    IF(_xlpm.resultado=0, "NO", _xlpm.resultado)
)</f>
        <v>NO</v>
      </c>
      <c r="Q392" s="11" t="str">
        <f t="shared" ca="1" si="34"/>
        <v>Pendiente</v>
      </c>
      <c r="R392" s="96" t="s">
        <v>1280</v>
      </c>
      <c r="S392" s="11" t="s">
        <v>1232</v>
      </c>
      <c r="T392" s="11" t="str">
        <f t="shared" si="35"/>
        <v>NO</v>
      </c>
      <c r="U392" s="11"/>
      <c r="V392" s="146" t="s">
        <v>126</v>
      </c>
      <c r="W392" s="29"/>
      <c r="X392" s="129"/>
      <c r="Y392" s="11"/>
      <c r="Z392" s="11"/>
      <c r="AA392" s="11"/>
      <c r="AB392" s="11"/>
      <c r="AC392" s="11"/>
      <c r="AD392" s="11"/>
      <c r="AE392" s="11"/>
      <c r="AF392" s="11"/>
      <c r="AG392" s="98"/>
      <c r="AH392" s="11" t="s">
        <v>32</v>
      </c>
    </row>
    <row r="393" spans="1:34" x14ac:dyDescent="0.3">
      <c r="A393" s="7" t="str">
        <f t="shared" si="31"/>
        <v>TR-1392</v>
      </c>
      <c r="B393" s="11" t="s">
        <v>1162</v>
      </c>
      <c r="C393" s="141" t="s">
        <v>961</v>
      </c>
      <c r="D393" s="98">
        <v>32939</v>
      </c>
      <c r="E393" s="111">
        <f t="shared" ca="1" si="32"/>
        <v>36</v>
      </c>
      <c r="F393" s="132" t="s">
        <v>743</v>
      </c>
      <c r="G393" s="11" t="s">
        <v>253</v>
      </c>
      <c r="H393" s="140" t="s">
        <v>1218</v>
      </c>
      <c r="I393" s="140" t="s">
        <v>1221</v>
      </c>
      <c r="J393" s="132"/>
      <c r="K393" s="11"/>
      <c r="L393" s="142">
        <v>45142</v>
      </c>
      <c r="M393" s="96" t="str" cm="1">
        <f t="array" ref="M393">_xlfn.XLOOKUP(B393&amp;"", 'Registro EMO'!$C$13:$C$4248&amp;"", 'Registro EMO'!$F$13:$F$4248, "Sin registro", 0, -1)</f>
        <v>Sin registro</v>
      </c>
      <c r="N393" s="11" t="str" cm="1">
        <f t="array" ref="N393">_xlfn.XLOOKUP(B393&amp;"", 'Registro EMO'!$C$13:$C$4248&amp;"", 'Registro EMO'!$E$13:$E$4248, "Sin registro", 0, -1)</f>
        <v>Sin registro</v>
      </c>
      <c r="O393" s="11" t="str">
        <f t="shared" si="33"/>
        <v>NO</v>
      </c>
      <c r="P393" s="130" t="str" cm="1">
        <f t="array" ref="P393">_xlfn.LET(
    _xlpm.resultado, _xlfn.XLOOKUP(B393&amp;"", 'Registro EMO'!$C$13:$C$4248&amp;"", 'Registro EMO'!$I$13:$I$4248, "NO", 0, -1),
    IF(_xlpm.resultado=0, "NO", _xlpm.resultado)
)</f>
        <v>NO</v>
      </c>
      <c r="Q393" s="11" t="str">
        <f t="shared" ca="1" si="34"/>
        <v>Pendiente</v>
      </c>
      <c r="R393" s="96" t="s">
        <v>1292</v>
      </c>
      <c r="S393" s="11" t="s">
        <v>1232</v>
      </c>
      <c r="T393" s="11" t="str">
        <f t="shared" si="35"/>
        <v>NO</v>
      </c>
      <c r="U393" s="11"/>
      <c r="V393" s="146" t="s">
        <v>126</v>
      </c>
      <c r="W393" s="29"/>
      <c r="X393" s="129"/>
      <c r="Y393" s="11"/>
      <c r="Z393" s="11"/>
      <c r="AA393" s="11"/>
      <c r="AB393" s="11"/>
      <c r="AC393" s="11"/>
      <c r="AD393" s="11"/>
      <c r="AE393" s="11"/>
      <c r="AF393" s="11"/>
      <c r="AG393" s="98"/>
      <c r="AH393" s="11" t="s">
        <v>32</v>
      </c>
    </row>
    <row r="394" spans="1:34" x14ac:dyDescent="0.3">
      <c r="A394" s="7" t="str">
        <f t="shared" si="31"/>
        <v>TR-1393</v>
      </c>
      <c r="B394" s="11" t="s">
        <v>1163</v>
      </c>
      <c r="C394" s="141" t="s">
        <v>962</v>
      </c>
      <c r="D394" s="98">
        <v>32766</v>
      </c>
      <c r="E394" s="111">
        <f t="shared" ca="1" si="32"/>
        <v>36</v>
      </c>
      <c r="F394" s="132" t="s">
        <v>743</v>
      </c>
      <c r="G394" s="11" t="s">
        <v>253</v>
      </c>
      <c r="H394" s="140" t="s">
        <v>1218</v>
      </c>
      <c r="I394" s="140" t="s">
        <v>1221</v>
      </c>
      <c r="J394" s="132"/>
      <c r="K394" s="11"/>
      <c r="L394" s="142">
        <v>46043</v>
      </c>
      <c r="M394" s="96" t="str" cm="1">
        <f t="array" ref="M394">_xlfn.XLOOKUP(B394&amp;"", 'Registro EMO'!$C$13:$C$4248&amp;"", 'Registro EMO'!$F$13:$F$4248, "Sin registro", 0, -1)</f>
        <v>Sin registro</v>
      </c>
      <c r="N394" s="11" t="str" cm="1">
        <f t="array" ref="N394">_xlfn.XLOOKUP(B394&amp;"", 'Registro EMO'!$C$13:$C$4248&amp;"", 'Registro EMO'!$E$13:$E$4248, "Sin registro", 0, -1)</f>
        <v>Sin registro</v>
      </c>
      <c r="O394" s="11" t="str">
        <f t="shared" si="33"/>
        <v>NO</v>
      </c>
      <c r="P394" s="130" t="str" cm="1">
        <f t="array" ref="P394">_xlfn.LET(
    _xlpm.resultado, _xlfn.XLOOKUP(B394&amp;"", 'Registro EMO'!$C$13:$C$4248&amp;"", 'Registro EMO'!$I$13:$I$4248, "NO", 0, -1),
    IF(_xlpm.resultado=0, "NO", _xlpm.resultado)
)</f>
        <v>NO</v>
      </c>
      <c r="Q394" s="11" t="str">
        <f t="shared" ca="1" si="34"/>
        <v>Pendiente</v>
      </c>
      <c r="R394" s="96"/>
      <c r="S394" s="11"/>
      <c r="T394" s="11" t="str">
        <f t="shared" si="35"/>
        <v/>
      </c>
      <c r="U394" s="11"/>
      <c r="V394" s="146"/>
      <c r="W394" s="29"/>
      <c r="X394" s="129"/>
      <c r="Y394" s="11"/>
      <c r="Z394" s="11"/>
      <c r="AA394" s="11"/>
      <c r="AB394" s="11"/>
      <c r="AC394" s="11"/>
      <c r="AD394" s="11"/>
      <c r="AE394" s="11"/>
      <c r="AF394" s="11"/>
      <c r="AG394" s="98"/>
      <c r="AH394" s="11"/>
    </row>
    <row r="395" spans="1:34" x14ac:dyDescent="0.3">
      <c r="A395" s="7" t="str">
        <f t="shared" si="31"/>
        <v>TR-1394</v>
      </c>
      <c r="B395" s="11" t="s">
        <v>1164</v>
      </c>
      <c r="C395" s="141" t="s">
        <v>963</v>
      </c>
      <c r="D395" s="98">
        <v>37218</v>
      </c>
      <c r="E395" s="111">
        <f t="shared" ca="1" si="32"/>
        <v>24</v>
      </c>
      <c r="F395" s="132" t="s">
        <v>762</v>
      </c>
      <c r="G395" s="11" t="s">
        <v>253</v>
      </c>
      <c r="H395" s="140" t="s">
        <v>1218</v>
      </c>
      <c r="I395" s="140" t="s">
        <v>1221</v>
      </c>
      <c r="J395" s="132"/>
      <c r="K395" s="11"/>
      <c r="L395" s="142">
        <v>46023</v>
      </c>
      <c r="M395" s="96" t="str" cm="1">
        <f t="array" ref="M395">_xlfn.XLOOKUP(B395&amp;"", 'Registro EMO'!$C$13:$C$4248&amp;"", 'Registro EMO'!$F$13:$F$4248, "Sin registro", 0, -1)</f>
        <v>Sin registro</v>
      </c>
      <c r="N395" s="11" t="str" cm="1">
        <f t="array" ref="N395">_xlfn.XLOOKUP(B395&amp;"", 'Registro EMO'!$C$13:$C$4248&amp;"", 'Registro EMO'!$E$13:$E$4248, "Sin registro", 0, -1)</f>
        <v>Sin registro</v>
      </c>
      <c r="O395" s="11" t="str">
        <f t="shared" si="33"/>
        <v>NO</v>
      </c>
      <c r="P395" s="130" t="str" cm="1">
        <f t="array" ref="P395">_xlfn.LET(
    _xlpm.resultado, _xlfn.XLOOKUP(B395&amp;"", 'Registro EMO'!$C$13:$C$4248&amp;"", 'Registro EMO'!$I$13:$I$4248, "NO", 0, -1),
    IF(_xlpm.resultado=0, "NO", _xlpm.resultado)
)</f>
        <v>NO</v>
      </c>
      <c r="Q395" s="11" t="str">
        <f t="shared" ca="1" si="34"/>
        <v>Pendiente</v>
      </c>
      <c r="R395" s="96"/>
      <c r="S395" s="11"/>
      <c r="T395" s="11" t="str">
        <f t="shared" si="35"/>
        <v/>
      </c>
      <c r="U395" s="11"/>
      <c r="V395" s="146"/>
      <c r="W395" s="29"/>
      <c r="X395" s="129"/>
      <c r="Y395" s="11"/>
      <c r="Z395" s="11"/>
      <c r="AA395" s="11"/>
      <c r="AB395" s="11"/>
      <c r="AC395" s="11"/>
      <c r="AD395" s="11"/>
      <c r="AE395" s="11"/>
      <c r="AF395" s="11"/>
      <c r="AG395" s="98"/>
      <c r="AH395" s="11"/>
    </row>
    <row r="396" spans="1:34" x14ac:dyDescent="0.3">
      <c r="A396" s="7" t="str">
        <f t="shared" si="31"/>
        <v>TR-1395</v>
      </c>
      <c r="B396" s="11" t="s">
        <v>1165</v>
      </c>
      <c r="C396" s="141" t="s">
        <v>964</v>
      </c>
      <c r="D396" s="98">
        <v>33237</v>
      </c>
      <c r="E396" s="111">
        <f t="shared" ca="1" si="32"/>
        <v>35</v>
      </c>
      <c r="F396" s="132" t="s">
        <v>762</v>
      </c>
      <c r="G396" s="11" t="s">
        <v>253</v>
      </c>
      <c r="H396" s="140" t="s">
        <v>1218</v>
      </c>
      <c r="I396" s="140" t="s">
        <v>1221</v>
      </c>
      <c r="J396" s="132"/>
      <c r="K396" s="11"/>
      <c r="L396" s="142">
        <v>45474</v>
      </c>
      <c r="M396" s="96" t="str" cm="1">
        <f t="array" ref="M396">_xlfn.XLOOKUP(B396&amp;"", 'Registro EMO'!$C$13:$C$4248&amp;"", 'Registro EMO'!$F$13:$F$4248, "Sin registro", 0, -1)</f>
        <v>Sin registro</v>
      </c>
      <c r="N396" s="11" t="str" cm="1">
        <f t="array" ref="N396">_xlfn.XLOOKUP(B396&amp;"", 'Registro EMO'!$C$13:$C$4248&amp;"", 'Registro EMO'!$E$13:$E$4248, "Sin registro", 0, -1)</f>
        <v>Sin registro</v>
      </c>
      <c r="O396" s="11" t="str">
        <f t="shared" si="33"/>
        <v>NO</v>
      </c>
      <c r="P396" s="130" t="str" cm="1">
        <f t="array" ref="P396">_xlfn.LET(
    _xlpm.resultado, _xlfn.XLOOKUP(B396&amp;"", 'Registro EMO'!$C$13:$C$4248&amp;"", 'Registro EMO'!$I$13:$I$4248, "NO", 0, -1),
    IF(_xlpm.resultado=0, "NO", _xlpm.resultado)
)</f>
        <v>NO</v>
      </c>
      <c r="Q396" s="11" t="str">
        <f t="shared" ca="1" si="34"/>
        <v>Pendiente</v>
      </c>
      <c r="R396" s="96" t="s">
        <v>1289</v>
      </c>
      <c r="S396" s="11" t="s">
        <v>1232</v>
      </c>
      <c r="T396" s="11" t="str">
        <f t="shared" si="35"/>
        <v>NO</v>
      </c>
      <c r="U396" s="11"/>
      <c r="V396" s="146" t="s">
        <v>126</v>
      </c>
      <c r="W396" s="29"/>
      <c r="X396" s="129"/>
      <c r="Y396" s="11"/>
      <c r="Z396" s="11"/>
      <c r="AA396" s="11"/>
      <c r="AB396" s="11"/>
      <c r="AC396" s="11"/>
      <c r="AD396" s="11"/>
      <c r="AE396" s="11"/>
      <c r="AF396" s="11"/>
      <c r="AG396" s="98"/>
      <c r="AH396" s="11" t="s">
        <v>32</v>
      </c>
    </row>
    <row r="397" spans="1:34" x14ac:dyDescent="0.3">
      <c r="A397" s="7" t="str">
        <f t="shared" si="31"/>
        <v>TR-1396</v>
      </c>
      <c r="B397" s="11" t="s">
        <v>1166</v>
      </c>
      <c r="C397" s="141" t="s">
        <v>965</v>
      </c>
      <c r="D397" s="98">
        <v>30904</v>
      </c>
      <c r="E397" s="111">
        <f t="shared" ca="1" si="32"/>
        <v>41</v>
      </c>
      <c r="F397" s="132" t="s">
        <v>743</v>
      </c>
      <c r="G397" s="11" t="s">
        <v>253</v>
      </c>
      <c r="H397" s="140" t="s">
        <v>1218</v>
      </c>
      <c r="I397" s="140" t="s">
        <v>1219</v>
      </c>
      <c r="J397" s="132"/>
      <c r="K397" s="11"/>
      <c r="L397" s="142">
        <v>45150</v>
      </c>
      <c r="M397" s="96" t="str" cm="1">
        <f t="array" ref="M397">_xlfn.XLOOKUP(B397&amp;"", 'Registro EMO'!$C$13:$C$4248&amp;"", 'Registro EMO'!$F$13:$F$4248, "Sin registro", 0, -1)</f>
        <v>Sin registro</v>
      </c>
      <c r="N397" s="11" t="str" cm="1">
        <f t="array" ref="N397">_xlfn.XLOOKUP(B397&amp;"", 'Registro EMO'!$C$13:$C$4248&amp;"", 'Registro EMO'!$E$13:$E$4248, "Sin registro", 0, -1)</f>
        <v>Sin registro</v>
      </c>
      <c r="O397" s="11" t="str">
        <f t="shared" si="33"/>
        <v>NO</v>
      </c>
      <c r="P397" s="130" t="str" cm="1">
        <f t="array" ref="P397">_xlfn.LET(
    _xlpm.resultado, _xlfn.XLOOKUP(B397&amp;"", 'Registro EMO'!$C$13:$C$4248&amp;"", 'Registro EMO'!$I$13:$I$4248, "NO", 0, -1),
    IF(_xlpm.resultado=0, "NO", _xlpm.resultado)
)</f>
        <v>NO</v>
      </c>
      <c r="Q397" s="11" t="str">
        <f t="shared" ca="1" si="34"/>
        <v>Pendiente</v>
      </c>
      <c r="R397" s="96" t="s">
        <v>1308</v>
      </c>
      <c r="S397" s="11" t="s">
        <v>1232</v>
      </c>
      <c r="T397" s="11" t="str">
        <f t="shared" si="35"/>
        <v>NO</v>
      </c>
      <c r="U397" s="11"/>
      <c r="V397" s="146" t="s">
        <v>126</v>
      </c>
      <c r="W397" s="29"/>
      <c r="X397" s="129"/>
      <c r="Y397" s="11"/>
      <c r="Z397" s="11"/>
      <c r="AA397" s="11"/>
      <c r="AB397" s="11"/>
      <c r="AC397" s="11"/>
      <c r="AD397" s="11"/>
      <c r="AE397" s="11"/>
      <c r="AF397" s="11"/>
      <c r="AG397" s="98"/>
      <c r="AH397" s="11" t="s">
        <v>32</v>
      </c>
    </row>
    <row r="398" spans="1:34" x14ac:dyDescent="0.3">
      <c r="A398" s="7" t="str">
        <f t="shared" si="31"/>
        <v>TR-1397</v>
      </c>
      <c r="B398" s="11" t="s">
        <v>1167</v>
      </c>
      <c r="C398" s="141" t="s">
        <v>966</v>
      </c>
      <c r="D398" s="98">
        <v>36898</v>
      </c>
      <c r="E398" s="111">
        <f t="shared" ca="1" si="32"/>
        <v>25</v>
      </c>
      <c r="F398" s="132" t="s">
        <v>743</v>
      </c>
      <c r="G398" s="11" t="s">
        <v>253</v>
      </c>
      <c r="H398" s="140" t="s">
        <v>1218</v>
      </c>
      <c r="I398" s="140" t="s">
        <v>1221</v>
      </c>
      <c r="J398" s="132"/>
      <c r="K398" s="11"/>
      <c r="L398" s="142">
        <v>45164</v>
      </c>
      <c r="M398" s="96" t="str" cm="1">
        <f t="array" ref="M398">_xlfn.XLOOKUP(B398&amp;"", 'Registro EMO'!$C$13:$C$4248&amp;"", 'Registro EMO'!$F$13:$F$4248, "Sin registro", 0, -1)</f>
        <v>Sin registro</v>
      </c>
      <c r="N398" s="11" t="str" cm="1">
        <f t="array" ref="N398">_xlfn.XLOOKUP(B398&amp;"", 'Registro EMO'!$C$13:$C$4248&amp;"", 'Registro EMO'!$E$13:$E$4248, "Sin registro", 0, -1)</f>
        <v>Sin registro</v>
      </c>
      <c r="O398" s="11" t="str">
        <f t="shared" si="33"/>
        <v>NO</v>
      </c>
      <c r="P398" s="130" t="str" cm="1">
        <f t="array" ref="P398">_xlfn.LET(
    _xlpm.resultado, _xlfn.XLOOKUP(B398&amp;"", 'Registro EMO'!$C$13:$C$4248&amp;"", 'Registro EMO'!$I$13:$I$4248, "NO", 0, -1),
    IF(_xlpm.resultado=0, "NO", _xlpm.resultado)
)</f>
        <v>NO</v>
      </c>
      <c r="Q398" s="11" t="str">
        <f t="shared" ca="1" si="34"/>
        <v>Pendiente</v>
      </c>
      <c r="R398" s="96" t="s">
        <v>1337</v>
      </c>
      <c r="S398" s="11" t="s">
        <v>1232</v>
      </c>
      <c r="T398" s="11" t="str">
        <f t="shared" si="35"/>
        <v>NO</v>
      </c>
      <c r="U398" s="11"/>
      <c r="V398" s="146" t="s">
        <v>126</v>
      </c>
      <c r="W398" s="29"/>
      <c r="X398" s="129"/>
      <c r="Y398" s="11"/>
      <c r="Z398" s="11"/>
      <c r="AA398" s="11"/>
      <c r="AB398" s="11"/>
      <c r="AC398" s="11"/>
      <c r="AD398" s="11"/>
      <c r="AE398" s="11"/>
      <c r="AF398" s="11"/>
      <c r="AG398" s="98"/>
      <c r="AH398" s="11" t="s">
        <v>32</v>
      </c>
    </row>
    <row r="399" spans="1:34" x14ac:dyDescent="0.3">
      <c r="A399" s="7" t="str">
        <f t="shared" si="31"/>
        <v>TR-1398</v>
      </c>
      <c r="B399" s="11" t="s">
        <v>1168</v>
      </c>
      <c r="C399" s="141" t="s">
        <v>967</v>
      </c>
      <c r="D399" s="98">
        <v>32805</v>
      </c>
      <c r="E399" s="111">
        <f t="shared" ca="1" si="32"/>
        <v>36</v>
      </c>
      <c r="F399" s="132" t="s">
        <v>743</v>
      </c>
      <c r="G399" s="11" t="s">
        <v>253</v>
      </c>
      <c r="H399" s="140" t="s">
        <v>1218</v>
      </c>
      <c r="I399" s="140" t="s">
        <v>1221</v>
      </c>
      <c r="J399" s="132"/>
      <c r="K399" s="11"/>
      <c r="L399" s="142">
        <v>45608</v>
      </c>
      <c r="M399" s="96" t="str" cm="1">
        <f t="array" ref="M399">_xlfn.XLOOKUP(B399&amp;"", 'Registro EMO'!$C$13:$C$4248&amp;"", 'Registro EMO'!$F$13:$F$4248, "Sin registro", 0, -1)</f>
        <v>Sin registro</v>
      </c>
      <c r="N399" s="11" t="str" cm="1">
        <f t="array" ref="N399">_xlfn.XLOOKUP(B399&amp;"", 'Registro EMO'!$C$13:$C$4248&amp;"", 'Registro EMO'!$E$13:$E$4248, "Sin registro", 0, -1)</f>
        <v>Sin registro</v>
      </c>
      <c r="O399" s="11" t="str">
        <f t="shared" si="33"/>
        <v>NO</v>
      </c>
      <c r="P399" s="130" t="str" cm="1">
        <f t="array" ref="P399">_xlfn.LET(
    _xlpm.resultado, _xlfn.XLOOKUP(B399&amp;"", 'Registro EMO'!$C$13:$C$4248&amp;"", 'Registro EMO'!$I$13:$I$4248, "NO", 0, -1),
    IF(_xlpm.resultado=0, "NO", _xlpm.resultado)
)</f>
        <v>NO</v>
      </c>
      <c r="Q399" s="11" t="str">
        <f t="shared" ca="1" si="34"/>
        <v>Pendiente</v>
      </c>
      <c r="R399" s="96" t="s">
        <v>1323</v>
      </c>
      <c r="S399" s="11" t="s">
        <v>1232</v>
      </c>
      <c r="T399" s="11" t="str">
        <f t="shared" si="35"/>
        <v>NO</v>
      </c>
      <c r="U399" s="11"/>
      <c r="V399" s="146" t="s">
        <v>126</v>
      </c>
      <c r="W399" s="29"/>
      <c r="X399" s="129"/>
      <c r="Y399" s="11"/>
      <c r="Z399" s="11"/>
      <c r="AA399" s="11"/>
      <c r="AB399" s="11"/>
      <c r="AC399" s="11"/>
      <c r="AD399" s="11"/>
      <c r="AE399" s="11"/>
      <c r="AF399" s="11"/>
      <c r="AG399" s="98"/>
      <c r="AH399" s="11" t="s">
        <v>32</v>
      </c>
    </row>
    <row r="400" spans="1:34" x14ac:dyDescent="0.3">
      <c r="A400" s="7" t="str">
        <f t="shared" si="31"/>
        <v>TR-1399</v>
      </c>
      <c r="B400" s="11" t="s">
        <v>1169</v>
      </c>
      <c r="C400" s="141" t="s">
        <v>968</v>
      </c>
      <c r="D400" s="98">
        <v>34287</v>
      </c>
      <c r="E400" s="111">
        <f t="shared" ca="1" si="32"/>
        <v>32</v>
      </c>
      <c r="F400" s="132" t="s">
        <v>743</v>
      </c>
      <c r="G400" s="11" t="s">
        <v>253</v>
      </c>
      <c r="H400" s="140" t="s">
        <v>1218</v>
      </c>
      <c r="I400" s="140" t="s">
        <v>1221</v>
      </c>
      <c r="J400" s="132"/>
      <c r="K400" s="11"/>
      <c r="L400" s="142">
        <v>46031</v>
      </c>
      <c r="M400" s="96" t="str" cm="1">
        <f t="array" ref="M400">_xlfn.XLOOKUP(B400&amp;"", 'Registro EMO'!$C$13:$C$4248&amp;"", 'Registro EMO'!$F$13:$F$4248, "Sin registro", 0, -1)</f>
        <v>Sin registro</v>
      </c>
      <c r="N400" s="11" t="str" cm="1">
        <f t="array" ref="N400">_xlfn.XLOOKUP(B400&amp;"", 'Registro EMO'!$C$13:$C$4248&amp;"", 'Registro EMO'!$E$13:$E$4248, "Sin registro", 0, -1)</f>
        <v>Sin registro</v>
      </c>
      <c r="O400" s="11" t="str">
        <f t="shared" si="33"/>
        <v>NO</v>
      </c>
      <c r="P400" s="130" t="str" cm="1">
        <f t="array" ref="P400">_xlfn.LET(
    _xlpm.resultado, _xlfn.XLOOKUP(B400&amp;"", 'Registro EMO'!$C$13:$C$4248&amp;"", 'Registro EMO'!$I$13:$I$4248, "NO", 0, -1),
    IF(_xlpm.resultado=0, "NO", _xlpm.resultado)
)</f>
        <v>NO</v>
      </c>
      <c r="Q400" s="11" t="str">
        <f t="shared" ca="1" si="34"/>
        <v>Pendiente</v>
      </c>
      <c r="R400" s="96"/>
      <c r="S400" s="11"/>
      <c r="T400" s="11" t="str">
        <f t="shared" si="35"/>
        <v/>
      </c>
      <c r="U400" s="11"/>
      <c r="V400" s="146"/>
      <c r="W400" s="29"/>
      <c r="X400" s="129"/>
      <c r="Y400" s="11"/>
      <c r="Z400" s="11"/>
      <c r="AA400" s="11"/>
      <c r="AB400" s="11"/>
      <c r="AC400" s="11"/>
      <c r="AD400" s="11"/>
      <c r="AE400" s="11"/>
      <c r="AF400" s="11"/>
      <c r="AG400" s="98"/>
      <c r="AH400" s="11"/>
    </row>
    <row r="401" spans="1:34" x14ac:dyDescent="0.3">
      <c r="A401" s="7" t="str">
        <f t="shared" si="31"/>
        <v>TR-1400</v>
      </c>
      <c r="B401" s="11" t="s">
        <v>1170</v>
      </c>
      <c r="C401" s="141" t="s">
        <v>969</v>
      </c>
      <c r="D401" s="98">
        <v>36799</v>
      </c>
      <c r="E401" s="111">
        <f t="shared" ca="1" si="32"/>
        <v>25</v>
      </c>
      <c r="F401" s="132" t="s">
        <v>762</v>
      </c>
      <c r="G401" s="11" t="s">
        <v>253</v>
      </c>
      <c r="H401" s="140" t="s">
        <v>1218</v>
      </c>
      <c r="I401" s="140" t="s">
        <v>1221</v>
      </c>
      <c r="J401" s="132"/>
      <c r="K401" s="11"/>
      <c r="L401" s="142">
        <v>45813</v>
      </c>
      <c r="M401" s="96" t="str" cm="1">
        <f t="array" ref="M401">_xlfn.XLOOKUP(B401&amp;"", 'Registro EMO'!$C$13:$C$4248&amp;"", 'Registro EMO'!$F$13:$F$4248, "Sin registro", 0, -1)</f>
        <v>Sin registro</v>
      </c>
      <c r="N401" s="11" t="str" cm="1">
        <f t="array" ref="N401">_xlfn.XLOOKUP(B401&amp;"", 'Registro EMO'!$C$13:$C$4248&amp;"", 'Registro EMO'!$E$13:$E$4248, "Sin registro", 0, -1)</f>
        <v>Sin registro</v>
      </c>
      <c r="O401" s="11" t="str">
        <f t="shared" si="33"/>
        <v>NO</v>
      </c>
      <c r="P401" s="130" t="str" cm="1">
        <f t="array" ref="P401">_xlfn.LET(
    _xlpm.resultado, _xlfn.XLOOKUP(B401&amp;"", 'Registro EMO'!$C$13:$C$4248&amp;"", 'Registro EMO'!$I$13:$I$4248, "NO", 0, -1),
    IF(_xlpm.resultado=0, "NO", _xlpm.resultado)
)</f>
        <v>NO</v>
      </c>
      <c r="Q401" s="11" t="str">
        <f t="shared" ca="1" si="34"/>
        <v>Pendiente</v>
      </c>
      <c r="R401" s="96"/>
      <c r="S401" s="11"/>
      <c r="T401" s="11" t="str">
        <f t="shared" si="35"/>
        <v/>
      </c>
      <c r="U401" s="11"/>
      <c r="V401" s="146"/>
      <c r="W401" s="29"/>
      <c r="X401" s="129"/>
      <c r="Y401" s="11"/>
      <c r="Z401" s="11"/>
      <c r="AA401" s="11"/>
      <c r="AB401" s="11"/>
      <c r="AC401" s="11"/>
      <c r="AD401" s="11"/>
      <c r="AE401" s="11"/>
      <c r="AF401" s="11"/>
      <c r="AG401" s="98"/>
      <c r="AH401" s="11"/>
    </row>
    <row r="402" spans="1:34" x14ac:dyDescent="0.3">
      <c r="A402" s="7" t="str">
        <f t="shared" si="31"/>
        <v>TR-1401</v>
      </c>
      <c r="B402" s="11" t="s">
        <v>1171</v>
      </c>
      <c r="C402" s="141" t="s">
        <v>970</v>
      </c>
      <c r="D402" s="98">
        <v>32267</v>
      </c>
      <c r="E402" s="111">
        <f t="shared" ca="1" si="32"/>
        <v>37</v>
      </c>
      <c r="F402" s="132" t="s">
        <v>743</v>
      </c>
      <c r="G402" s="11" t="s">
        <v>253</v>
      </c>
      <c r="H402" s="140" t="s">
        <v>1218</v>
      </c>
      <c r="I402" s="140" t="s">
        <v>1221</v>
      </c>
      <c r="J402" s="132"/>
      <c r="K402" s="11"/>
      <c r="L402" s="142">
        <v>45729</v>
      </c>
      <c r="M402" s="96" t="str" cm="1">
        <f t="array" ref="M402">_xlfn.XLOOKUP(B402&amp;"", 'Registro EMO'!$C$13:$C$4248&amp;"", 'Registro EMO'!$F$13:$F$4248, "Sin registro", 0, -1)</f>
        <v>Sin registro</v>
      </c>
      <c r="N402" s="11" t="str" cm="1">
        <f t="array" ref="N402">_xlfn.XLOOKUP(B402&amp;"", 'Registro EMO'!$C$13:$C$4248&amp;"", 'Registro EMO'!$E$13:$E$4248, "Sin registro", 0, -1)</f>
        <v>Sin registro</v>
      </c>
      <c r="O402" s="11" t="str">
        <f t="shared" si="33"/>
        <v>NO</v>
      </c>
      <c r="P402" s="130" t="str" cm="1">
        <f t="array" ref="P402">_xlfn.LET(
    _xlpm.resultado, _xlfn.XLOOKUP(B402&amp;"", 'Registro EMO'!$C$13:$C$4248&amp;"", 'Registro EMO'!$I$13:$I$4248, "NO", 0, -1),
    IF(_xlpm.resultado=0, "NO", _xlpm.resultado)
)</f>
        <v>NO</v>
      </c>
      <c r="Q402" s="11" t="str">
        <f t="shared" ca="1" si="34"/>
        <v>Pendiente</v>
      </c>
      <c r="R402" s="96"/>
      <c r="S402" s="11"/>
      <c r="T402" s="11" t="str">
        <f t="shared" si="35"/>
        <v/>
      </c>
      <c r="U402" s="11"/>
      <c r="V402" s="146"/>
      <c r="W402" s="29"/>
      <c r="X402" s="129"/>
      <c r="Y402" s="11"/>
      <c r="Z402" s="11"/>
      <c r="AA402" s="11"/>
      <c r="AB402" s="11"/>
      <c r="AC402" s="11"/>
      <c r="AD402" s="11"/>
      <c r="AE402" s="11"/>
      <c r="AF402" s="11"/>
      <c r="AG402" s="98"/>
      <c r="AH402" s="11"/>
    </row>
    <row r="403" spans="1:34" x14ac:dyDescent="0.3">
      <c r="A403" s="7" t="str">
        <f t="shared" si="31"/>
        <v>TR-1402</v>
      </c>
      <c r="B403" s="11" t="s">
        <v>1172</v>
      </c>
      <c r="C403" s="141" t="s">
        <v>971</v>
      </c>
      <c r="D403" s="98">
        <v>28381</v>
      </c>
      <c r="E403" s="111">
        <f t="shared" ca="1" si="32"/>
        <v>48</v>
      </c>
      <c r="F403" s="132" t="s">
        <v>762</v>
      </c>
      <c r="G403" s="11" t="s">
        <v>253</v>
      </c>
      <c r="H403" s="140" t="s">
        <v>1218</v>
      </c>
      <c r="I403" s="140" t="s">
        <v>1221</v>
      </c>
      <c r="J403" s="132"/>
      <c r="K403" s="11"/>
      <c r="L403" s="142">
        <v>44516</v>
      </c>
      <c r="M403" s="96" t="str" cm="1">
        <f t="array" ref="M403">_xlfn.XLOOKUP(B403&amp;"", 'Registro EMO'!$C$13:$C$4248&amp;"", 'Registro EMO'!$F$13:$F$4248, "Sin registro", 0, -1)</f>
        <v>Sin registro</v>
      </c>
      <c r="N403" s="11" t="str" cm="1">
        <f t="array" ref="N403">_xlfn.XLOOKUP(B403&amp;"", 'Registro EMO'!$C$13:$C$4248&amp;"", 'Registro EMO'!$E$13:$E$4248, "Sin registro", 0, -1)</f>
        <v>Sin registro</v>
      </c>
      <c r="O403" s="11" t="str">
        <f t="shared" si="33"/>
        <v>NO</v>
      </c>
      <c r="P403" s="130" t="str" cm="1">
        <f t="array" ref="P403">_xlfn.LET(
    _xlpm.resultado, _xlfn.XLOOKUP(B403&amp;"", 'Registro EMO'!$C$13:$C$4248&amp;"", 'Registro EMO'!$I$13:$I$4248, "NO", 0, -1),
    IF(_xlpm.resultado=0, "NO", _xlpm.resultado)
)</f>
        <v>NO</v>
      </c>
      <c r="Q403" s="11" t="str">
        <f t="shared" ca="1" si="34"/>
        <v>Pendiente</v>
      </c>
      <c r="R403" s="96" t="s">
        <v>1279</v>
      </c>
      <c r="S403" s="11" t="s">
        <v>1232</v>
      </c>
      <c r="T403" s="11" t="str">
        <f t="shared" si="35"/>
        <v>NO</v>
      </c>
      <c r="U403" s="11"/>
      <c r="V403" s="146" t="s">
        <v>126</v>
      </c>
      <c r="W403" s="29"/>
      <c r="X403" s="129"/>
      <c r="Y403" s="11"/>
      <c r="Z403" s="11"/>
      <c r="AA403" s="11"/>
      <c r="AB403" s="11"/>
      <c r="AC403" s="11"/>
      <c r="AD403" s="11"/>
      <c r="AE403" s="11"/>
      <c r="AF403" s="11"/>
      <c r="AG403" s="98"/>
      <c r="AH403" s="11" t="s">
        <v>32</v>
      </c>
    </row>
    <row r="404" spans="1:34" x14ac:dyDescent="0.3">
      <c r="A404" s="7" t="str">
        <f t="shared" si="31"/>
        <v>TR-1403</v>
      </c>
      <c r="B404" s="11" t="s">
        <v>1173</v>
      </c>
      <c r="C404" s="141" t="s">
        <v>972</v>
      </c>
      <c r="D404" s="98">
        <v>35865</v>
      </c>
      <c r="E404" s="111">
        <f t="shared" ca="1" si="32"/>
        <v>28</v>
      </c>
      <c r="F404" s="132" t="s">
        <v>743</v>
      </c>
      <c r="G404" s="11" t="s">
        <v>253</v>
      </c>
      <c r="H404" s="140" t="s">
        <v>1218</v>
      </c>
      <c r="I404" s="140" t="s">
        <v>1221</v>
      </c>
      <c r="J404" s="132"/>
      <c r="K404" s="11"/>
      <c r="L404" s="142">
        <v>45444</v>
      </c>
      <c r="M404" s="96" t="str" cm="1">
        <f t="array" ref="M404">_xlfn.XLOOKUP(B404&amp;"", 'Registro EMO'!$C$13:$C$4248&amp;"", 'Registro EMO'!$F$13:$F$4248, "Sin registro", 0, -1)</f>
        <v>Sin registro</v>
      </c>
      <c r="N404" s="11" t="str" cm="1">
        <f t="array" ref="N404">_xlfn.XLOOKUP(B404&amp;"", 'Registro EMO'!$C$13:$C$4248&amp;"", 'Registro EMO'!$E$13:$E$4248, "Sin registro", 0, -1)</f>
        <v>Sin registro</v>
      </c>
      <c r="O404" s="11" t="str">
        <f t="shared" si="33"/>
        <v>NO</v>
      </c>
      <c r="P404" s="130" t="str" cm="1">
        <f t="array" ref="P404">_xlfn.LET(
    _xlpm.resultado, _xlfn.XLOOKUP(B404&amp;"", 'Registro EMO'!$C$13:$C$4248&amp;"", 'Registro EMO'!$I$13:$I$4248, "NO", 0, -1),
    IF(_xlpm.resultado=0, "NO", _xlpm.resultado)
)</f>
        <v>NO</v>
      </c>
      <c r="Q404" s="11" t="str">
        <f t="shared" ca="1" si="34"/>
        <v>Pendiente</v>
      </c>
      <c r="R404" s="96" t="s">
        <v>1315</v>
      </c>
      <c r="S404" s="11" t="s">
        <v>1232</v>
      </c>
      <c r="T404" s="11" t="str">
        <f t="shared" si="35"/>
        <v>NO</v>
      </c>
      <c r="U404" s="11"/>
      <c r="V404" s="146" t="s">
        <v>126</v>
      </c>
      <c r="W404" s="29"/>
      <c r="X404" s="129"/>
      <c r="Y404" s="11"/>
      <c r="Z404" s="11"/>
      <c r="AA404" s="11"/>
      <c r="AB404" s="11"/>
      <c r="AC404" s="11"/>
      <c r="AD404" s="11"/>
      <c r="AE404" s="11"/>
      <c r="AF404" s="11"/>
      <c r="AG404" s="98"/>
      <c r="AH404" s="11" t="s">
        <v>32</v>
      </c>
    </row>
    <row r="405" spans="1:34" x14ac:dyDescent="0.3">
      <c r="A405" s="7" t="str">
        <f t="shared" si="31"/>
        <v>TR-1404</v>
      </c>
      <c r="B405" s="11" t="s">
        <v>1174</v>
      </c>
      <c r="C405" s="141" t="s">
        <v>973</v>
      </c>
      <c r="D405" s="98">
        <v>32344</v>
      </c>
      <c r="E405" s="111">
        <f t="shared" ca="1" si="32"/>
        <v>37</v>
      </c>
      <c r="F405" s="132" t="s">
        <v>762</v>
      </c>
      <c r="G405" s="11" t="s">
        <v>253</v>
      </c>
      <c r="H405" s="140" t="s">
        <v>1218</v>
      </c>
      <c r="I405" s="140" t="s">
        <v>1221</v>
      </c>
      <c r="J405" s="132"/>
      <c r="K405" s="11"/>
      <c r="L405" s="142">
        <v>45627</v>
      </c>
      <c r="M405" s="96" t="str" cm="1">
        <f t="array" ref="M405">_xlfn.XLOOKUP(B405&amp;"", 'Registro EMO'!$C$13:$C$4248&amp;"", 'Registro EMO'!$F$13:$F$4248, "Sin registro", 0, -1)</f>
        <v>Sin registro</v>
      </c>
      <c r="N405" s="11" t="str" cm="1">
        <f t="array" ref="N405">_xlfn.XLOOKUP(B405&amp;"", 'Registro EMO'!$C$13:$C$4248&amp;"", 'Registro EMO'!$E$13:$E$4248, "Sin registro", 0, -1)</f>
        <v>Sin registro</v>
      </c>
      <c r="O405" s="11" t="str">
        <f t="shared" si="33"/>
        <v>NO</v>
      </c>
      <c r="P405" s="130" t="str" cm="1">
        <f t="array" ref="P405">_xlfn.LET(
    _xlpm.resultado, _xlfn.XLOOKUP(B405&amp;"", 'Registro EMO'!$C$13:$C$4248&amp;"", 'Registro EMO'!$I$13:$I$4248, "NO", 0, -1),
    IF(_xlpm.resultado=0, "NO", _xlpm.resultado)
)</f>
        <v>NO</v>
      </c>
      <c r="Q405" s="11" t="str">
        <f t="shared" ca="1" si="34"/>
        <v>Pendiente</v>
      </c>
      <c r="R405" s="96" t="s">
        <v>1338</v>
      </c>
      <c r="S405" s="11" t="s">
        <v>1232</v>
      </c>
      <c r="T405" s="11" t="str">
        <f t="shared" si="35"/>
        <v>NO</v>
      </c>
      <c r="U405" s="11"/>
      <c r="V405" s="146" t="s">
        <v>126</v>
      </c>
      <c r="W405" s="29"/>
      <c r="X405" s="129"/>
      <c r="Y405" s="11"/>
      <c r="Z405" s="11"/>
      <c r="AA405" s="11"/>
      <c r="AB405" s="11"/>
      <c r="AC405" s="11"/>
      <c r="AD405" s="11"/>
      <c r="AE405" s="11"/>
      <c r="AF405" s="11"/>
      <c r="AG405" s="98"/>
      <c r="AH405" s="11" t="s">
        <v>32</v>
      </c>
    </row>
    <row r="406" spans="1:34" x14ac:dyDescent="0.3">
      <c r="A406" s="7" t="str">
        <f t="shared" si="31"/>
        <v>TR-1405</v>
      </c>
      <c r="B406" s="11" t="s">
        <v>1175</v>
      </c>
      <c r="C406" s="141" t="s">
        <v>974</v>
      </c>
      <c r="D406" s="98">
        <v>33426</v>
      </c>
      <c r="E406" s="111">
        <f t="shared" ca="1" si="32"/>
        <v>34</v>
      </c>
      <c r="F406" s="132" t="s">
        <v>743</v>
      </c>
      <c r="G406" s="11" t="s">
        <v>253</v>
      </c>
      <c r="H406" s="140" t="s">
        <v>1218</v>
      </c>
      <c r="I406" s="140" t="s">
        <v>1221</v>
      </c>
      <c r="J406" s="132"/>
      <c r="K406" s="11"/>
      <c r="L406" s="142">
        <v>46023</v>
      </c>
      <c r="M406" s="96" t="str" cm="1">
        <f t="array" ref="M406">_xlfn.XLOOKUP(B406&amp;"", 'Registro EMO'!$C$13:$C$4248&amp;"", 'Registro EMO'!$F$13:$F$4248, "Sin registro", 0, -1)</f>
        <v>Sin registro</v>
      </c>
      <c r="N406" s="11" t="str" cm="1">
        <f t="array" ref="N406">_xlfn.XLOOKUP(B406&amp;"", 'Registro EMO'!$C$13:$C$4248&amp;"", 'Registro EMO'!$E$13:$E$4248, "Sin registro", 0, -1)</f>
        <v>Sin registro</v>
      </c>
      <c r="O406" s="11" t="str">
        <f t="shared" si="33"/>
        <v>NO</v>
      </c>
      <c r="P406" s="130" t="str" cm="1">
        <f t="array" ref="P406">_xlfn.LET(
    _xlpm.resultado, _xlfn.XLOOKUP(B406&amp;"", 'Registro EMO'!$C$13:$C$4248&amp;"", 'Registro EMO'!$I$13:$I$4248, "NO", 0, -1),
    IF(_xlpm.resultado=0, "NO", _xlpm.resultado)
)</f>
        <v>NO</v>
      </c>
      <c r="Q406" s="11" t="str">
        <f t="shared" ca="1" si="34"/>
        <v>Pendiente</v>
      </c>
      <c r="R406" s="96"/>
      <c r="S406" s="11"/>
      <c r="T406" s="11" t="str">
        <f t="shared" si="35"/>
        <v/>
      </c>
      <c r="U406" s="11"/>
      <c r="V406" s="146"/>
      <c r="W406" s="29"/>
      <c r="X406" s="129"/>
      <c r="Y406" s="11"/>
      <c r="Z406" s="11"/>
      <c r="AA406" s="11"/>
      <c r="AB406" s="11"/>
      <c r="AC406" s="11"/>
      <c r="AD406" s="11"/>
      <c r="AE406" s="11"/>
      <c r="AF406" s="11"/>
      <c r="AG406" s="98"/>
      <c r="AH406" s="11"/>
    </row>
    <row r="407" spans="1:34" x14ac:dyDescent="0.3">
      <c r="A407" s="7" t="str">
        <f t="shared" si="31"/>
        <v>TR-1406</v>
      </c>
      <c r="B407" s="11" t="s">
        <v>1176</v>
      </c>
      <c r="C407" s="141" t="s">
        <v>975</v>
      </c>
      <c r="D407" s="98">
        <v>34792</v>
      </c>
      <c r="E407" s="111">
        <f t="shared" ca="1" si="32"/>
        <v>30</v>
      </c>
      <c r="F407" s="132" t="s">
        <v>743</v>
      </c>
      <c r="G407" s="11" t="s">
        <v>253</v>
      </c>
      <c r="H407" s="140" t="s">
        <v>1218</v>
      </c>
      <c r="I407" s="140" t="s">
        <v>1221</v>
      </c>
      <c r="J407" s="132"/>
      <c r="K407" s="11"/>
      <c r="L407" s="142">
        <v>45934</v>
      </c>
      <c r="M407" s="96" t="str" cm="1">
        <f t="array" ref="M407">_xlfn.XLOOKUP(B407&amp;"", 'Registro EMO'!$C$13:$C$4248&amp;"", 'Registro EMO'!$F$13:$F$4248, "Sin registro", 0, -1)</f>
        <v>Sin registro</v>
      </c>
      <c r="N407" s="11" t="str" cm="1">
        <f t="array" ref="N407">_xlfn.XLOOKUP(B407&amp;"", 'Registro EMO'!$C$13:$C$4248&amp;"", 'Registro EMO'!$E$13:$E$4248, "Sin registro", 0, -1)</f>
        <v>Sin registro</v>
      </c>
      <c r="O407" s="11" t="str">
        <f t="shared" si="33"/>
        <v>NO</v>
      </c>
      <c r="P407" s="130" t="str" cm="1">
        <f t="array" ref="P407">_xlfn.LET(
    _xlpm.resultado, _xlfn.XLOOKUP(B407&amp;"", 'Registro EMO'!$C$13:$C$4248&amp;"", 'Registro EMO'!$I$13:$I$4248, "NO", 0, -1),
    IF(_xlpm.resultado=0, "NO", _xlpm.resultado)
)</f>
        <v>NO</v>
      </c>
      <c r="Q407" s="11" t="str">
        <f t="shared" ca="1" si="34"/>
        <v>Pendiente</v>
      </c>
      <c r="R407" s="96"/>
      <c r="S407" s="11"/>
      <c r="T407" s="11" t="str">
        <f t="shared" si="35"/>
        <v/>
      </c>
      <c r="U407" s="11"/>
      <c r="V407" s="146"/>
      <c r="W407" s="29"/>
      <c r="X407" s="129"/>
      <c r="Y407" s="11"/>
      <c r="Z407" s="11"/>
      <c r="AA407" s="11"/>
      <c r="AB407" s="11"/>
      <c r="AC407" s="11"/>
      <c r="AD407" s="11"/>
      <c r="AE407" s="11"/>
      <c r="AF407" s="11"/>
      <c r="AG407" s="98"/>
      <c r="AH407" s="11"/>
    </row>
    <row r="408" spans="1:34" x14ac:dyDescent="0.3">
      <c r="A408" s="7" t="str">
        <f t="shared" si="31"/>
        <v>TR-1407</v>
      </c>
      <c r="B408" s="11" t="s">
        <v>1177</v>
      </c>
      <c r="C408" s="141" t="s">
        <v>976</v>
      </c>
      <c r="D408" s="98">
        <v>34995</v>
      </c>
      <c r="E408" s="111">
        <f t="shared" ca="1" si="32"/>
        <v>30</v>
      </c>
      <c r="F408" s="132" t="s">
        <v>743</v>
      </c>
      <c r="G408" s="11" t="s">
        <v>253</v>
      </c>
      <c r="H408" s="140" t="s">
        <v>1218</v>
      </c>
      <c r="I408" s="140" t="s">
        <v>1221</v>
      </c>
      <c r="J408" s="132"/>
      <c r="K408" s="11"/>
      <c r="L408" s="142">
        <v>45454</v>
      </c>
      <c r="M408" s="96" t="str" cm="1">
        <f t="array" ref="M408">_xlfn.XLOOKUP(B408&amp;"", 'Registro EMO'!$C$13:$C$4248&amp;"", 'Registro EMO'!$F$13:$F$4248, "Sin registro", 0, -1)</f>
        <v>Sin registro</v>
      </c>
      <c r="N408" s="11" t="str" cm="1">
        <f t="array" ref="N408">_xlfn.XLOOKUP(B408&amp;"", 'Registro EMO'!$C$13:$C$4248&amp;"", 'Registro EMO'!$E$13:$E$4248, "Sin registro", 0, -1)</f>
        <v>Sin registro</v>
      </c>
      <c r="O408" s="11" t="str">
        <f t="shared" si="33"/>
        <v>NO</v>
      </c>
      <c r="P408" s="130" t="str" cm="1">
        <f t="array" ref="P408">_xlfn.LET(
    _xlpm.resultado, _xlfn.XLOOKUP(B408&amp;"", 'Registro EMO'!$C$13:$C$4248&amp;"", 'Registro EMO'!$I$13:$I$4248, "NO", 0, -1),
    IF(_xlpm.resultado=0, "NO", _xlpm.resultado)
)</f>
        <v>NO</v>
      </c>
      <c r="Q408" s="11" t="str">
        <f t="shared" ca="1" si="34"/>
        <v>Pendiente</v>
      </c>
      <c r="R408" s="96" t="s">
        <v>1306</v>
      </c>
      <c r="S408" s="11" t="s">
        <v>1232</v>
      </c>
      <c r="T408" s="11" t="str">
        <f t="shared" si="35"/>
        <v>NO</v>
      </c>
      <c r="U408" s="11"/>
      <c r="V408" s="146" t="s">
        <v>126</v>
      </c>
      <c r="W408" s="29"/>
      <c r="X408" s="129"/>
      <c r="Y408" s="11"/>
      <c r="Z408" s="11"/>
      <c r="AA408" s="11"/>
      <c r="AB408" s="11"/>
      <c r="AC408" s="11"/>
      <c r="AD408" s="11"/>
      <c r="AE408" s="11"/>
      <c r="AF408" s="11"/>
      <c r="AG408" s="98"/>
      <c r="AH408" s="11" t="s">
        <v>32</v>
      </c>
    </row>
    <row r="409" spans="1:34" x14ac:dyDescent="0.3">
      <c r="A409" s="7" t="str">
        <f t="shared" si="31"/>
        <v>TR-1408</v>
      </c>
      <c r="B409" s="11" t="s">
        <v>1178</v>
      </c>
      <c r="C409" s="141" t="s">
        <v>977</v>
      </c>
      <c r="D409" s="98">
        <v>36666</v>
      </c>
      <c r="E409" s="111">
        <f t="shared" ca="1" si="32"/>
        <v>25</v>
      </c>
      <c r="F409" s="132" t="s">
        <v>762</v>
      </c>
      <c r="G409" s="11" t="s">
        <v>253</v>
      </c>
      <c r="H409" s="140" t="s">
        <v>1218</v>
      </c>
      <c r="I409" s="140" t="s">
        <v>1221</v>
      </c>
      <c r="J409" s="132"/>
      <c r="K409" s="11"/>
      <c r="L409" s="142">
        <v>45633</v>
      </c>
      <c r="M409" s="96" t="str" cm="1">
        <f t="array" ref="M409">_xlfn.XLOOKUP(B409&amp;"", 'Registro EMO'!$C$13:$C$4248&amp;"", 'Registro EMO'!$F$13:$F$4248, "Sin registro", 0, -1)</f>
        <v>Sin registro</v>
      </c>
      <c r="N409" s="11" t="str" cm="1">
        <f t="array" ref="N409">_xlfn.XLOOKUP(B409&amp;"", 'Registro EMO'!$C$13:$C$4248&amp;"", 'Registro EMO'!$E$13:$E$4248, "Sin registro", 0, -1)</f>
        <v>Sin registro</v>
      </c>
      <c r="O409" s="11" t="str">
        <f t="shared" si="33"/>
        <v>NO</v>
      </c>
      <c r="P409" s="130" t="str" cm="1">
        <f t="array" ref="P409">_xlfn.LET(
    _xlpm.resultado, _xlfn.XLOOKUP(B409&amp;"", 'Registro EMO'!$C$13:$C$4248&amp;"", 'Registro EMO'!$I$13:$I$4248, "NO", 0, -1),
    IF(_xlpm.resultado=0, "NO", _xlpm.resultado)
)</f>
        <v>NO</v>
      </c>
      <c r="Q409" s="11" t="str">
        <f t="shared" ca="1" si="34"/>
        <v>Pendiente</v>
      </c>
      <c r="R409" s="96" t="s">
        <v>1339</v>
      </c>
      <c r="S409" s="11" t="s">
        <v>1232</v>
      </c>
      <c r="T409" s="11" t="str">
        <f t="shared" si="35"/>
        <v>NO</v>
      </c>
      <c r="U409" s="11"/>
      <c r="V409" s="146" t="s">
        <v>126</v>
      </c>
      <c r="W409" s="29"/>
      <c r="X409" s="129"/>
      <c r="Y409" s="11"/>
      <c r="Z409" s="11"/>
      <c r="AA409" s="11"/>
      <c r="AB409" s="11"/>
      <c r="AC409" s="11"/>
      <c r="AD409" s="11"/>
      <c r="AE409" s="11"/>
      <c r="AF409" s="11"/>
      <c r="AG409" s="98"/>
      <c r="AH409" s="11" t="s">
        <v>32</v>
      </c>
    </row>
    <row r="410" spans="1:34" x14ac:dyDescent="0.3">
      <c r="A410" s="7" t="str">
        <f t="shared" si="31"/>
        <v>TR-1409</v>
      </c>
      <c r="B410" s="11" t="s">
        <v>1179</v>
      </c>
      <c r="C410" s="141" t="s">
        <v>978</v>
      </c>
      <c r="D410" s="98">
        <v>36116</v>
      </c>
      <c r="E410" s="111">
        <f t="shared" ca="1" si="32"/>
        <v>27</v>
      </c>
      <c r="F410" s="132" t="s">
        <v>743</v>
      </c>
      <c r="G410" s="11" t="s">
        <v>253</v>
      </c>
      <c r="H410" s="140" t="s">
        <v>1218</v>
      </c>
      <c r="I410" s="140" t="s">
        <v>1221</v>
      </c>
      <c r="J410" s="132"/>
      <c r="K410" s="11"/>
      <c r="L410" s="142">
        <v>45912</v>
      </c>
      <c r="M410" s="96" t="str" cm="1">
        <f t="array" ref="M410">_xlfn.XLOOKUP(B410&amp;"", 'Registro EMO'!$C$13:$C$4248&amp;"", 'Registro EMO'!$F$13:$F$4248, "Sin registro", 0, -1)</f>
        <v>Sin registro</v>
      </c>
      <c r="N410" s="11" t="str" cm="1">
        <f t="array" ref="N410">_xlfn.XLOOKUP(B410&amp;"", 'Registro EMO'!$C$13:$C$4248&amp;"", 'Registro EMO'!$E$13:$E$4248, "Sin registro", 0, -1)</f>
        <v>Sin registro</v>
      </c>
      <c r="O410" s="11" t="str">
        <f t="shared" si="33"/>
        <v>NO</v>
      </c>
      <c r="P410" s="130" t="str" cm="1">
        <f t="array" ref="P410">_xlfn.LET(
    _xlpm.resultado, _xlfn.XLOOKUP(B410&amp;"", 'Registro EMO'!$C$13:$C$4248&amp;"", 'Registro EMO'!$I$13:$I$4248, "NO", 0, -1),
    IF(_xlpm.resultado=0, "NO", _xlpm.resultado)
)</f>
        <v>NO</v>
      </c>
      <c r="Q410" s="11" t="str">
        <f t="shared" ca="1" si="34"/>
        <v>Pendiente</v>
      </c>
      <c r="R410" s="96" t="s">
        <v>1340</v>
      </c>
      <c r="S410" s="11" t="s">
        <v>1232</v>
      </c>
      <c r="T410" s="11" t="str">
        <f t="shared" si="35"/>
        <v>NO</v>
      </c>
      <c r="U410" s="11"/>
      <c r="V410" s="146" t="s">
        <v>126</v>
      </c>
      <c r="W410" s="29"/>
      <c r="X410" s="129"/>
      <c r="Y410" s="11"/>
      <c r="Z410" s="11"/>
      <c r="AA410" s="11"/>
      <c r="AB410" s="11"/>
      <c r="AC410" s="11"/>
      <c r="AD410" s="11"/>
      <c r="AE410" s="11"/>
      <c r="AF410" s="11"/>
      <c r="AG410" s="98"/>
      <c r="AH410" s="11" t="s">
        <v>32</v>
      </c>
    </row>
    <row r="411" spans="1:34" x14ac:dyDescent="0.3">
      <c r="A411" s="7" t="str">
        <f t="shared" si="31"/>
        <v>TR-1410</v>
      </c>
      <c r="B411" s="11" t="s">
        <v>1180</v>
      </c>
      <c r="C411" s="141" t="s">
        <v>979</v>
      </c>
      <c r="D411" s="98">
        <v>30053</v>
      </c>
      <c r="E411" s="111">
        <f t="shared" ca="1" si="32"/>
        <v>43</v>
      </c>
      <c r="F411" s="132" t="s">
        <v>743</v>
      </c>
      <c r="G411" s="11" t="s">
        <v>253</v>
      </c>
      <c r="H411" s="140" t="s">
        <v>1218</v>
      </c>
      <c r="I411" s="140" t="s">
        <v>1219</v>
      </c>
      <c r="J411" s="132"/>
      <c r="K411" s="11"/>
      <c r="L411" s="142">
        <v>45536</v>
      </c>
      <c r="M411" s="96" t="str" cm="1">
        <f t="array" ref="M411">_xlfn.XLOOKUP(B411&amp;"", 'Registro EMO'!$C$13:$C$4248&amp;"", 'Registro EMO'!$F$13:$F$4248, "Sin registro", 0, -1)</f>
        <v>Sin registro</v>
      </c>
      <c r="N411" s="11" t="str" cm="1">
        <f t="array" ref="N411">_xlfn.XLOOKUP(B411&amp;"", 'Registro EMO'!$C$13:$C$4248&amp;"", 'Registro EMO'!$E$13:$E$4248, "Sin registro", 0, -1)</f>
        <v>Sin registro</v>
      </c>
      <c r="O411" s="11" t="str">
        <f t="shared" si="33"/>
        <v>NO</v>
      </c>
      <c r="P411" s="130" t="str" cm="1">
        <f t="array" ref="P411">_xlfn.LET(
    _xlpm.resultado, _xlfn.XLOOKUP(B411&amp;"", 'Registro EMO'!$C$13:$C$4248&amp;"", 'Registro EMO'!$I$13:$I$4248, "NO", 0, -1),
    IF(_xlpm.resultado=0, "NO", _xlpm.resultado)
)</f>
        <v>NO</v>
      </c>
      <c r="Q411" s="11" t="str">
        <f t="shared" ca="1" si="34"/>
        <v>Pendiente</v>
      </c>
      <c r="R411" s="96" t="s">
        <v>1269</v>
      </c>
      <c r="S411" s="11" t="s">
        <v>1232</v>
      </c>
      <c r="T411" s="11" t="str">
        <f t="shared" si="35"/>
        <v>NO</v>
      </c>
      <c r="U411" s="11"/>
      <c r="V411" s="146" t="s">
        <v>126</v>
      </c>
      <c r="W411" s="29"/>
      <c r="X411" s="129"/>
      <c r="Y411" s="11"/>
      <c r="Z411" s="11"/>
      <c r="AA411" s="11"/>
      <c r="AB411" s="11"/>
      <c r="AC411" s="11"/>
      <c r="AD411" s="11"/>
      <c r="AE411" s="11"/>
      <c r="AF411" s="11"/>
      <c r="AG411" s="98"/>
      <c r="AH411" s="11" t="s">
        <v>32</v>
      </c>
    </row>
    <row r="412" spans="1:34" x14ac:dyDescent="0.3">
      <c r="A412" s="7" t="str">
        <f t="shared" si="31"/>
        <v>TR-1411</v>
      </c>
      <c r="B412" s="11" t="s">
        <v>1181</v>
      </c>
      <c r="C412" s="141" t="s">
        <v>980</v>
      </c>
      <c r="D412" s="98">
        <v>36783</v>
      </c>
      <c r="E412" s="111">
        <f t="shared" ca="1" si="32"/>
        <v>25</v>
      </c>
      <c r="F412" s="132" t="s">
        <v>743</v>
      </c>
      <c r="G412" s="11" t="s">
        <v>253</v>
      </c>
      <c r="H412" s="140" t="s">
        <v>1218</v>
      </c>
      <c r="I412" s="140" t="s">
        <v>1221</v>
      </c>
      <c r="J412" s="132"/>
      <c r="K412" s="11"/>
      <c r="L412" s="142">
        <v>45693</v>
      </c>
      <c r="M412" s="96" t="str" cm="1">
        <f t="array" ref="M412">_xlfn.XLOOKUP(B412&amp;"", 'Registro EMO'!$C$13:$C$4248&amp;"", 'Registro EMO'!$F$13:$F$4248, "Sin registro", 0, -1)</f>
        <v>Sin registro</v>
      </c>
      <c r="N412" s="11" t="str" cm="1">
        <f t="array" ref="N412">_xlfn.XLOOKUP(B412&amp;"", 'Registro EMO'!$C$13:$C$4248&amp;"", 'Registro EMO'!$E$13:$E$4248, "Sin registro", 0, -1)</f>
        <v>Sin registro</v>
      </c>
      <c r="O412" s="11" t="str">
        <f t="shared" si="33"/>
        <v>NO</v>
      </c>
      <c r="P412" s="130" t="str" cm="1">
        <f t="array" ref="P412">_xlfn.LET(
    _xlpm.resultado, _xlfn.XLOOKUP(B412&amp;"", 'Registro EMO'!$C$13:$C$4248&amp;"", 'Registro EMO'!$I$13:$I$4248, "NO", 0, -1),
    IF(_xlpm.resultado=0, "NO", _xlpm.resultado)
)</f>
        <v>NO</v>
      </c>
      <c r="Q412" s="11" t="str">
        <f t="shared" ca="1" si="34"/>
        <v>Pendiente</v>
      </c>
      <c r="R412" s="96" t="s">
        <v>1285</v>
      </c>
      <c r="S412" s="11" t="s">
        <v>1232</v>
      </c>
      <c r="T412" s="11" t="str">
        <f t="shared" si="35"/>
        <v>NO</v>
      </c>
      <c r="U412" s="11"/>
      <c r="V412" s="146"/>
      <c r="W412" s="29"/>
      <c r="X412" s="129"/>
      <c r="Y412" s="11"/>
      <c r="Z412" s="11"/>
      <c r="AA412" s="11"/>
      <c r="AB412" s="11"/>
      <c r="AC412" s="11"/>
      <c r="AD412" s="11"/>
      <c r="AE412" s="11"/>
      <c r="AF412" s="11"/>
      <c r="AG412" s="98"/>
      <c r="AH412" s="11" t="s">
        <v>32</v>
      </c>
    </row>
    <row r="413" spans="1:34" x14ac:dyDescent="0.3">
      <c r="A413" s="7" t="str">
        <f t="shared" si="31"/>
        <v>TR-1412</v>
      </c>
      <c r="B413" s="11" t="s">
        <v>1182</v>
      </c>
      <c r="C413" s="141" t="s">
        <v>981</v>
      </c>
      <c r="D413" s="98">
        <v>33447</v>
      </c>
      <c r="E413" s="111">
        <f t="shared" ca="1" si="32"/>
        <v>34</v>
      </c>
      <c r="F413" s="132" t="s">
        <v>762</v>
      </c>
      <c r="G413" s="11" t="s">
        <v>253</v>
      </c>
      <c r="H413" s="140" t="s">
        <v>1218</v>
      </c>
      <c r="I413" s="140" t="s">
        <v>1221</v>
      </c>
      <c r="J413" s="132"/>
      <c r="K413" s="11"/>
      <c r="L413" s="142">
        <v>45870</v>
      </c>
      <c r="M413" s="96" t="str" cm="1">
        <f t="array" ref="M413">_xlfn.XLOOKUP(B413&amp;"", 'Registro EMO'!$C$13:$C$4248&amp;"", 'Registro EMO'!$F$13:$F$4248, "Sin registro", 0, -1)</f>
        <v>Sin registro</v>
      </c>
      <c r="N413" s="11" t="str" cm="1">
        <f t="array" ref="N413">_xlfn.XLOOKUP(B413&amp;"", 'Registro EMO'!$C$13:$C$4248&amp;"", 'Registro EMO'!$E$13:$E$4248, "Sin registro", 0, -1)</f>
        <v>Sin registro</v>
      </c>
      <c r="O413" s="11" t="str">
        <f t="shared" si="33"/>
        <v>NO</v>
      </c>
      <c r="P413" s="130" t="str" cm="1">
        <f t="array" ref="P413">_xlfn.LET(
    _xlpm.resultado, _xlfn.XLOOKUP(B413&amp;"", 'Registro EMO'!$C$13:$C$4248&amp;"", 'Registro EMO'!$I$13:$I$4248, "NO", 0, -1),
    IF(_xlpm.resultado=0, "NO", _xlpm.resultado)
)</f>
        <v>NO</v>
      </c>
      <c r="Q413" s="11" t="str">
        <f t="shared" ca="1" si="34"/>
        <v>Pendiente</v>
      </c>
      <c r="R413" s="96"/>
      <c r="S413" s="11"/>
      <c r="T413" s="11" t="str">
        <f t="shared" si="35"/>
        <v/>
      </c>
      <c r="U413" s="11"/>
      <c r="V413" s="146"/>
      <c r="W413" s="29"/>
      <c r="X413" s="129"/>
      <c r="Y413" s="11"/>
      <c r="Z413" s="11"/>
      <c r="AA413" s="11"/>
      <c r="AB413" s="11"/>
      <c r="AC413" s="11"/>
      <c r="AD413" s="11"/>
      <c r="AE413" s="11"/>
      <c r="AF413" s="11"/>
      <c r="AG413" s="98"/>
      <c r="AH413" s="11"/>
    </row>
    <row r="414" spans="1:34" x14ac:dyDescent="0.3">
      <c r="A414" s="7" t="str">
        <f t="shared" si="31"/>
        <v>TR-1413</v>
      </c>
      <c r="B414" s="11" t="s">
        <v>1183</v>
      </c>
      <c r="C414" s="141" t="s">
        <v>982</v>
      </c>
      <c r="D414" s="98">
        <v>32150</v>
      </c>
      <c r="E414" s="111">
        <f t="shared" ca="1" si="32"/>
        <v>38</v>
      </c>
      <c r="F414" s="132" t="s">
        <v>743</v>
      </c>
      <c r="G414" s="11" t="s">
        <v>253</v>
      </c>
      <c r="H414" s="140" t="s">
        <v>1218</v>
      </c>
      <c r="I414" s="140" t="s">
        <v>1221</v>
      </c>
      <c r="J414" s="132"/>
      <c r="K414" s="11"/>
      <c r="L414" s="142">
        <v>45505</v>
      </c>
      <c r="M414" s="96" t="str" cm="1">
        <f t="array" ref="M414">_xlfn.XLOOKUP(B414&amp;"", 'Registro EMO'!$C$13:$C$4248&amp;"", 'Registro EMO'!$F$13:$F$4248, "Sin registro", 0, -1)</f>
        <v>Sin registro</v>
      </c>
      <c r="N414" s="11" t="str" cm="1">
        <f t="array" ref="N414">_xlfn.XLOOKUP(B414&amp;"", 'Registro EMO'!$C$13:$C$4248&amp;"", 'Registro EMO'!$E$13:$E$4248, "Sin registro", 0, -1)</f>
        <v>Sin registro</v>
      </c>
      <c r="O414" s="11" t="str">
        <f t="shared" si="33"/>
        <v>NO</v>
      </c>
      <c r="P414" s="130" t="str" cm="1">
        <f t="array" ref="P414">_xlfn.LET(
    _xlpm.resultado, _xlfn.XLOOKUP(B414&amp;"", 'Registro EMO'!$C$13:$C$4248&amp;"", 'Registro EMO'!$I$13:$I$4248, "NO", 0, -1),
    IF(_xlpm.resultado=0, "NO", _xlpm.resultado)
)</f>
        <v>NO</v>
      </c>
      <c r="Q414" s="11" t="str">
        <f t="shared" ca="1" si="34"/>
        <v>Pendiente</v>
      </c>
      <c r="R414" s="96" t="s">
        <v>1341</v>
      </c>
      <c r="S414" s="11" t="s">
        <v>1232</v>
      </c>
      <c r="T414" s="11" t="str">
        <f t="shared" si="35"/>
        <v>NO</v>
      </c>
      <c r="U414" s="11"/>
      <c r="V414" s="146" t="s">
        <v>126</v>
      </c>
      <c r="W414" s="29"/>
      <c r="X414" s="129"/>
      <c r="Y414" s="11"/>
      <c r="Z414" s="11"/>
      <c r="AA414" s="11"/>
      <c r="AB414" s="11"/>
      <c r="AC414" s="11"/>
      <c r="AD414" s="11"/>
      <c r="AE414" s="11"/>
      <c r="AF414" s="11"/>
      <c r="AG414" s="98"/>
      <c r="AH414" s="11" t="s">
        <v>32</v>
      </c>
    </row>
    <row r="415" spans="1:34" x14ac:dyDescent="0.3">
      <c r="A415" s="7" t="str">
        <f t="shared" si="31"/>
        <v>TR-1414</v>
      </c>
      <c r="B415" s="11" t="s">
        <v>1184</v>
      </c>
      <c r="C415" s="141" t="s">
        <v>983</v>
      </c>
      <c r="D415" s="98">
        <v>35506</v>
      </c>
      <c r="E415" s="111">
        <f t="shared" ca="1" si="32"/>
        <v>28</v>
      </c>
      <c r="F415" s="132" t="s">
        <v>762</v>
      </c>
      <c r="G415" s="11" t="s">
        <v>253</v>
      </c>
      <c r="H415" s="140" t="s">
        <v>1218</v>
      </c>
      <c r="I415" s="140" t="s">
        <v>1221</v>
      </c>
      <c r="J415" s="132"/>
      <c r="K415" s="11"/>
      <c r="L415" s="142">
        <v>44958</v>
      </c>
      <c r="M415" s="96" t="str" cm="1">
        <f t="array" ref="M415">_xlfn.XLOOKUP(B415&amp;"", 'Registro EMO'!$C$13:$C$4248&amp;"", 'Registro EMO'!$F$13:$F$4248, "Sin registro", 0, -1)</f>
        <v>Sin registro</v>
      </c>
      <c r="N415" s="11" t="str" cm="1">
        <f t="array" ref="N415">_xlfn.XLOOKUP(B415&amp;"", 'Registro EMO'!$C$13:$C$4248&amp;"", 'Registro EMO'!$E$13:$E$4248, "Sin registro", 0, -1)</f>
        <v>Sin registro</v>
      </c>
      <c r="O415" s="11" t="str">
        <f t="shared" si="33"/>
        <v>NO</v>
      </c>
      <c r="P415" s="130" t="str" cm="1">
        <f t="array" ref="P415">_xlfn.LET(
    _xlpm.resultado, _xlfn.XLOOKUP(B415&amp;"", 'Registro EMO'!$C$13:$C$4248&amp;"", 'Registro EMO'!$I$13:$I$4248, "NO", 0, -1),
    IF(_xlpm.resultado=0, "NO", _xlpm.resultado)
)</f>
        <v>NO</v>
      </c>
      <c r="Q415" s="11" t="str">
        <f t="shared" ca="1" si="34"/>
        <v>Pendiente</v>
      </c>
      <c r="R415" s="96" t="s">
        <v>1315</v>
      </c>
      <c r="S415" s="11" t="s">
        <v>1232</v>
      </c>
      <c r="T415" s="11" t="str">
        <f t="shared" si="35"/>
        <v>NO</v>
      </c>
      <c r="U415" s="11"/>
      <c r="V415" s="146" t="s">
        <v>126</v>
      </c>
      <c r="W415" s="29"/>
      <c r="X415" s="129"/>
      <c r="Y415" s="11"/>
      <c r="Z415" s="11"/>
      <c r="AA415" s="11"/>
      <c r="AB415" s="11"/>
      <c r="AC415" s="11"/>
      <c r="AD415" s="11"/>
      <c r="AE415" s="11"/>
      <c r="AF415" s="11"/>
      <c r="AG415" s="98"/>
      <c r="AH415" s="11" t="s">
        <v>32</v>
      </c>
    </row>
    <row r="416" spans="1:34" x14ac:dyDescent="0.3">
      <c r="A416" s="7" t="str">
        <f t="shared" si="31"/>
        <v>TR-1415</v>
      </c>
      <c r="B416" s="11" t="s">
        <v>1185</v>
      </c>
      <c r="C416" s="141" t="s">
        <v>984</v>
      </c>
      <c r="D416" s="98">
        <v>34961</v>
      </c>
      <c r="E416" s="111">
        <f t="shared" ca="1" si="32"/>
        <v>30</v>
      </c>
      <c r="F416" s="132" t="s">
        <v>743</v>
      </c>
      <c r="G416" s="11" t="s">
        <v>253</v>
      </c>
      <c r="H416" s="140" t="s">
        <v>1218</v>
      </c>
      <c r="I416" s="140" t="s">
        <v>1221</v>
      </c>
      <c r="J416" s="132"/>
      <c r="K416" s="11"/>
      <c r="L416" s="142">
        <v>46054</v>
      </c>
      <c r="M416" s="96" t="str" cm="1">
        <f t="array" ref="M416">_xlfn.XLOOKUP(B416&amp;"", 'Registro EMO'!$C$13:$C$4248&amp;"", 'Registro EMO'!$F$13:$F$4248, "Sin registro", 0, -1)</f>
        <v>Sin registro</v>
      </c>
      <c r="N416" s="11" t="str" cm="1">
        <f t="array" ref="N416">_xlfn.XLOOKUP(B416&amp;"", 'Registro EMO'!$C$13:$C$4248&amp;"", 'Registro EMO'!$E$13:$E$4248, "Sin registro", 0, -1)</f>
        <v>Sin registro</v>
      </c>
      <c r="O416" s="11" t="str">
        <f t="shared" si="33"/>
        <v>NO</v>
      </c>
      <c r="P416" s="130" t="str" cm="1">
        <f t="array" ref="P416">_xlfn.LET(
    _xlpm.resultado, _xlfn.XLOOKUP(B416&amp;"", 'Registro EMO'!$C$13:$C$4248&amp;"", 'Registro EMO'!$I$13:$I$4248, "NO", 0, -1),
    IF(_xlpm.resultado=0, "NO", _xlpm.resultado)
)</f>
        <v>NO</v>
      </c>
      <c r="Q416" s="11" t="str">
        <f t="shared" ca="1" si="34"/>
        <v>Pendiente</v>
      </c>
      <c r="R416" s="96" t="s">
        <v>1342</v>
      </c>
      <c r="S416" s="11" t="s">
        <v>1232</v>
      </c>
      <c r="T416" s="11" t="str">
        <f t="shared" si="35"/>
        <v>NO</v>
      </c>
      <c r="U416" s="11"/>
      <c r="V416" s="146" t="s">
        <v>126</v>
      </c>
      <c r="W416" s="29"/>
      <c r="X416" s="129"/>
      <c r="Y416" s="11"/>
      <c r="Z416" s="11"/>
      <c r="AA416" s="11"/>
      <c r="AB416" s="11"/>
      <c r="AC416" s="11"/>
      <c r="AD416" s="11"/>
      <c r="AE416" s="11"/>
      <c r="AF416" s="11"/>
      <c r="AG416" s="98"/>
      <c r="AH416" s="11" t="s">
        <v>32</v>
      </c>
    </row>
    <row r="417" spans="1:34" x14ac:dyDescent="0.3">
      <c r="A417" s="7" t="str">
        <f t="shared" si="31"/>
        <v>TR-1416</v>
      </c>
      <c r="B417" s="11" t="s">
        <v>1186</v>
      </c>
      <c r="C417" s="141" t="s">
        <v>985</v>
      </c>
      <c r="D417" s="98">
        <v>35855</v>
      </c>
      <c r="E417" s="111">
        <f t="shared" ca="1" si="32"/>
        <v>28</v>
      </c>
      <c r="F417" s="132" t="s">
        <v>743</v>
      </c>
      <c r="G417" s="11" t="s">
        <v>253</v>
      </c>
      <c r="H417" s="140" t="s">
        <v>1218</v>
      </c>
      <c r="I417" s="140" t="s">
        <v>1221</v>
      </c>
      <c r="J417" s="132"/>
      <c r="K417" s="11"/>
      <c r="L417" s="142">
        <v>45392</v>
      </c>
      <c r="M417" s="96" t="str" cm="1">
        <f t="array" ref="M417">_xlfn.XLOOKUP(B417&amp;"", 'Registro EMO'!$C$13:$C$4248&amp;"", 'Registro EMO'!$F$13:$F$4248, "Sin registro", 0, -1)</f>
        <v>Sin registro</v>
      </c>
      <c r="N417" s="11" t="str" cm="1">
        <f t="array" ref="N417">_xlfn.XLOOKUP(B417&amp;"", 'Registro EMO'!$C$13:$C$4248&amp;"", 'Registro EMO'!$E$13:$E$4248, "Sin registro", 0, -1)</f>
        <v>Sin registro</v>
      </c>
      <c r="O417" s="11" t="str">
        <f t="shared" si="33"/>
        <v>NO</v>
      </c>
      <c r="P417" s="130" t="str" cm="1">
        <f t="array" ref="P417">_xlfn.LET(
    _xlpm.resultado, _xlfn.XLOOKUP(B417&amp;"", 'Registro EMO'!$C$13:$C$4248&amp;"", 'Registro EMO'!$I$13:$I$4248, "NO", 0, -1),
    IF(_xlpm.resultado=0, "NO", _xlpm.resultado)
)</f>
        <v>NO</v>
      </c>
      <c r="Q417" s="11" t="str">
        <f t="shared" ca="1" si="34"/>
        <v>Pendiente</v>
      </c>
      <c r="R417" s="96" t="s">
        <v>1322</v>
      </c>
      <c r="S417" s="11" t="s">
        <v>1232</v>
      </c>
      <c r="T417" s="11" t="str">
        <f t="shared" si="35"/>
        <v>NO</v>
      </c>
      <c r="U417" s="11"/>
      <c r="V417" s="146" t="s">
        <v>126</v>
      </c>
      <c r="W417" s="29"/>
      <c r="X417" s="129"/>
      <c r="Y417" s="11"/>
      <c r="Z417" s="11"/>
      <c r="AA417" s="11"/>
      <c r="AB417" s="11"/>
      <c r="AC417" s="11"/>
      <c r="AD417" s="11"/>
      <c r="AE417" s="11"/>
      <c r="AF417" s="11"/>
      <c r="AG417" s="98"/>
      <c r="AH417" s="11" t="s">
        <v>32</v>
      </c>
    </row>
    <row r="418" spans="1:34" x14ac:dyDescent="0.3">
      <c r="A418" s="7" t="str">
        <f t="shared" si="31"/>
        <v>TR-1417</v>
      </c>
      <c r="B418" s="11" t="s">
        <v>1187</v>
      </c>
      <c r="C418" s="141" t="s">
        <v>986</v>
      </c>
      <c r="D418" s="98">
        <v>30601</v>
      </c>
      <c r="E418" s="111">
        <f t="shared" ca="1" si="32"/>
        <v>42</v>
      </c>
      <c r="F418" s="132" t="s">
        <v>743</v>
      </c>
      <c r="G418" s="11" t="s">
        <v>253</v>
      </c>
      <c r="H418" s="140" t="s">
        <v>1218</v>
      </c>
      <c r="I418" s="140" t="s">
        <v>1220</v>
      </c>
      <c r="J418" s="132"/>
      <c r="K418" s="11"/>
      <c r="L418" s="142">
        <v>45689</v>
      </c>
      <c r="M418" s="96" t="str" cm="1">
        <f t="array" ref="M418">_xlfn.XLOOKUP(B418&amp;"", 'Registro EMO'!$C$13:$C$4248&amp;"", 'Registro EMO'!$F$13:$F$4248, "Sin registro", 0, -1)</f>
        <v>Sin registro</v>
      </c>
      <c r="N418" s="11" t="str" cm="1">
        <f t="array" ref="N418">_xlfn.XLOOKUP(B418&amp;"", 'Registro EMO'!$C$13:$C$4248&amp;"", 'Registro EMO'!$E$13:$E$4248, "Sin registro", 0, -1)</f>
        <v>Sin registro</v>
      </c>
      <c r="O418" s="11" t="str">
        <f t="shared" si="33"/>
        <v>NO</v>
      </c>
      <c r="P418" s="130" t="str" cm="1">
        <f t="array" ref="P418">_xlfn.LET(
    _xlpm.resultado, _xlfn.XLOOKUP(B418&amp;"", 'Registro EMO'!$C$13:$C$4248&amp;"", 'Registro EMO'!$I$13:$I$4248, "NO", 0, -1),
    IF(_xlpm.resultado=0, "NO", _xlpm.resultado)
)</f>
        <v>NO</v>
      </c>
      <c r="Q418" s="11" t="str">
        <f t="shared" ca="1" si="34"/>
        <v>Pendiente</v>
      </c>
      <c r="R418" s="96" t="s">
        <v>1343</v>
      </c>
      <c r="S418" s="11" t="s">
        <v>1232</v>
      </c>
      <c r="T418" s="11" t="str">
        <f t="shared" si="35"/>
        <v>NO</v>
      </c>
      <c r="U418" s="11"/>
      <c r="V418" s="146" t="s">
        <v>126</v>
      </c>
      <c r="W418" s="29"/>
      <c r="X418" s="129"/>
      <c r="Y418" s="11"/>
      <c r="Z418" s="11"/>
      <c r="AA418" s="11"/>
      <c r="AB418" s="11"/>
      <c r="AC418" s="11"/>
      <c r="AD418" s="11"/>
      <c r="AE418" s="11"/>
      <c r="AF418" s="11"/>
      <c r="AG418" s="98"/>
      <c r="AH418" s="11" t="s">
        <v>32</v>
      </c>
    </row>
    <row r="419" spans="1:34" x14ac:dyDescent="0.3">
      <c r="A419" s="7" t="str">
        <f t="shared" si="31"/>
        <v>TR-1418</v>
      </c>
      <c r="B419" s="11" t="s">
        <v>1188</v>
      </c>
      <c r="C419" s="141" t="s">
        <v>987</v>
      </c>
      <c r="D419" s="98">
        <v>33897</v>
      </c>
      <c r="E419" s="111">
        <f t="shared" ca="1" si="32"/>
        <v>33</v>
      </c>
      <c r="F419" s="132" t="s">
        <v>743</v>
      </c>
      <c r="G419" s="11" t="s">
        <v>253</v>
      </c>
      <c r="H419" s="140" t="s">
        <v>752</v>
      </c>
      <c r="I419" s="140" t="s">
        <v>1225</v>
      </c>
      <c r="J419" s="132"/>
      <c r="K419" s="11"/>
      <c r="L419" s="142">
        <v>40909</v>
      </c>
      <c r="M419" s="96" t="str" cm="1">
        <f t="array" ref="M419">_xlfn.XLOOKUP(B419&amp;"", 'Registro EMO'!$C$13:$C$4248&amp;"", 'Registro EMO'!$F$13:$F$4248, "Sin registro", 0, -1)</f>
        <v>Sin registro</v>
      </c>
      <c r="N419" s="11" t="str" cm="1">
        <f t="array" ref="N419">_xlfn.XLOOKUP(B419&amp;"", 'Registro EMO'!$C$13:$C$4248&amp;"", 'Registro EMO'!$E$13:$E$4248, "Sin registro", 0, -1)</f>
        <v>Sin registro</v>
      </c>
      <c r="O419" s="11" t="str">
        <f t="shared" si="33"/>
        <v>NO</v>
      </c>
      <c r="P419" s="130" t="str" cm="1">
        <f t="array" ref="P419">_xlfn.LET(
    _xlpm.resultado, _xlfn.XLOOKUP(B419&amp;"", 'Registro EMO'!$C$13:$C$4248&amp;"", 'Registro EMO'!$I$13:$I$4248, "NO", 0, -1),
    IF(_xlpm.resultado=0, "NO", _xlpm.resultado)
)</f>
        <v>NO</v>
      </c>
      <c r="Q419" s="11" t="str">
        <f t="shared" ca="1" si="34"/>
        <v>Pendiente</v>
      </c>
      <c r="R419" s="96"/>
      <c r="S419" s="11"/>
      <c r="T419" s="11" t="str">
        <f t="shared" si="35"/>
        <v/>
      </c>
      <c r="U419" s="11"/>
      <c r="V419" s="146"/>
      <c r="W419" s="29"/>
      <c r="X419" s="129"/>
      <c r="Y419" s="11"/>
      <c r="Z419" s="11"/>
      <c r="AA419" s="11"/>
      <c r="AB419" s="11"/>
      <c r="AC419" s="11"/>
      <c r="AD419" s="11"/>
      <c r="AE419" s="11"/>
      <c r="AF419" s="11"/>
      <c r="AG419" s="98"/>
      <c r="AH419" s="11"/>
    </row>
    <row r="420" spans="1:34" x14ac:dyDescent="0.3">
      <c r="A420" s="7" t="str">
        <f t="shared" si="31"/>
        <v>TR-1419</v>
      </c>
      <c r="B420" s="11" t="s">
        <v>1189</v>
      </c>
      <c r="C420" s="141" t="s">
        <v>988</v>
      </c>
      <c r="D420" s="98">
        <v>29836</v>
      </c>
      <c r="E420" s="111">
        <f t="shared" ca="1" si="32"/>
        <v>44</v>
      </c>
      <c r="F420" s="132" t="s">
        <v>762</v>
      </c>
      <c r="G420" s="11" t="s">
        <v>253</v>
      </c>
      <c r="H420" s="140" t="s">
        <v>752</v>
      </c>
      <c r="I420" s="140" t="s">
        <v>1226</v>
      </c>
      <c r="J420" s="132"/>
      <c r="K420" s="11"/>
      <c r="L420" s="142">
        <v>45505</v>
      </c>
      <c r="M420" s="96" t="str" cm="1">
        <f t="array" ref="M420">_xlfn.XLOOKUP(B420&amp;"", 'Registro EMO'!$C$13:$C$4248&amp;"", 'Registro EMO'!$F$13:$F$4248, "Sin registro", 0, -1)</f>
        <v>Sin registro</v>
      </c>
      <c r="N420" s="11" t="str" cm="1">
        <f t="array" ref="N420">_xlfn.XLOOKUP(B420&amp;"", 'Registro EMO'!$C$13:$C$4248&amp;"", 'Registro EMO'!$E$13:$E$4248, "Sin registro", 0, -1)</f>
        <v>Sin registro</v>
      </c>
      <c r="O420" s="11" t="str">
        <f t="shared" si="33"/>
        <v>NO</v>
      </c>
      <c r="P420" s="130" t="str" cm="1">
        <f t="array" ref="P420">_xlfn.LET(
    _xlpm.resultado, _xlfn.XLOOKUP(B420&amp;"", 'Registro EMO'!$C$13:$C$4248&amp;"", 'Registro EMO'!$I$13:$I$4248, "NO", 0, -1),
    IF(_xlpm.resultado=0, "NO", _xlpm.resultado)
)</f>
        <v>NO</v>
      </c>
      <c r="Q420" s="11" t="str">
        <f t="shared" ca="1" si="34"/>
        <v>Pendiente</v>
      </c>
      <c r="R420" s="96"/>
      <c r="S420" s="11"/>
      <c r="T420" s="11" t="str">
        <f t="shared" si="35"/>
        <v/>
      </c>
      <c r="U420" s="11"/>
      <c r="V420" s="146"/>
      <c r="W420" s="29"/>
      <c r="X420" s="129"/>
      <c r="Y420" s="11"/>
      <c r="Z420" s="11"/>
      <c r="AA420" s="11"/>
      <c r="AB420" s="11"/>
      <c r="AC420" s="11"/>
      <c r="AD420" s="11"/>
      <c r="AE420" s="11"/>
      <c r="AF420" s="11"/>
      <c r="AG420" s="98"/>
      <c r="AH420" s="11"/>
    </row>
    <row r="421" spans="1:34" x14ac:dyDescent="0.3">
      <c r="A421" s="7" t="str">
        <f t="shared" si="31"/>
        <v>TR-1420</v>
      </c>
      <c r="B421" s="11" t="s">
        <v>1190</v>
      </c>
      <c r="C421" s="141" t="s">
        <v>989</v>
      </c>
      <c r="D421" s="98">
        <v>35796</v>
      </c>
      <c r="E421" s="111">
        <f t="shared" ca="1" si="32"/>
        <v>28</v>
      </c>
      <c r="F421" s="132" t="s">
        <v>743</v>
      </c>
      <c r="G421" s="11" t="s">
        <v>253</v>
      </c>
      <c r="H421" s="140" t="s">
        <v>1218</v>
      </c>
      <c r="I421" s="140" t="s">
        <v>1221</v>
      </c>
      <c r="J421" s="132"/>
      <c r="K421" s="11"/>
      <c r="L421" s="142">
        <v>45986</v>
      </c>
      <c r="M421" s="96" t="str" cm="1">
        <f t="array" ref="M421">_xlfn.XLOOKUP(B421&amp;"", 'Registro EMO'!$C$13:$C$4248&amp;"", 'Registro EMO'!$F$13:$F$4248, "Sin registro", 0, -1)</f>
        <v>Sin registro</v>
      </c>
      <c r="N421" s="11" t="str" cm="1">
        <f t="array" ref="N421">_xlfn.XLOOKUP(B421&amp;"", 'Registro EMO'!$C$13:$C$4248&amp;"", 'Registro EMO'!$E$13:$E$4248, "Sin registro", 0, -1)</f>
        <v>Sin registro</v>
      </c>
      <c r="O421" s="11" t="str">
        <f t="shared" si="33"/>
        <v>NO</v>
      </c>
      <c r="P421" s="130" t="str" cm="1">
        <f t="array" ref="P421">_xlfn.LET(
    _xlpm.resultado, _xlfn.XLOOKUP(B421&amp;"", 'Registro EMO'!$C$13:$C$4248&amp;"", 'Registro EMO'!$I$13:$I$4248, "NO", 0, -1),
    IF(_xlpm.resultado=0, "NO", _xlpm.resultado)
)</f>
        <v>NO</v>
      </c>
      <c r="Q421" s="11" t="str">
        <f t="shared" ca="1" si="34"/>
        <v>Pendiente</v>
      </c>
      <c r="R421" s="96"/>
      <c r="S421" s="11"/>
      <c r="T421" s="11" t="str">
        <f t="shared" si="35"/>
        <v/>
      </c>
      <c r="U421" s="11"/>
      <c r="V421" s="146"/>
      <c r="W421" s="29"/>
      <c r="X421" s="129"/>
      <c r="Y421" s="11"/>
      <c r="Z421" s="11"/>
      <c r="AA421" s="11"/>
      <c r="AB421" s="11"/>
      <c r="AC421" s="11"/>
      <c r="AD421" s="11"/>
      <c r="AE421" s="11"/>
      <c r="AF421" s="11"/>
      <c r="AG421" s="98"/>
      <c r="AH421" s="11"/>
    </row>
    <row r="422" spans="1:34" x14ac:dyDescent="0.3">
      <c r="A422" s="7" t="str">
        <f t="shared" si="31"/>
        <v>TR-1421</v>
      </c>
      <c r="B422" s="11" t="s">
        <v>1191</v>
      </c>
      <c r="C422" s="141" t="s">
        <v>990</v>
      </c>
      <c r="D422" s="98">
        <v>33311</v>
      </c>
      <c r="E422" s="111">
        <f t="shared" ca="1" si="32"/>
        <v>34</v>
      </c>
      <c r="F422" s="132" t="s">
        <v>743</v>
      </c>
      <c r="G422" s="11" t="s">
        <v>253</v>
      </c>
      <c r="H422" s="140" t="s">
        <v>752</v>
      </c>
      <c r="I422" s="140" t="s">
        <v>753</v>
      </c>
      <c r="J422" s="132"/>
      <c r="K422" s="11"/>
      <c r="L422" s="142">
        <v>43525</v>
      </c>
      <c r="M422" s="96" t="str" cm="1">
        <f t="array" ref="M422">_xlfn.XLOOKUP(B422&amp;"", 'Registro EMO'!$C$13:$C$4248&amp;"", 'Registro EMO'!$F$13:$F$4248, "Sin registro", 0, -1)</f>
        <v>Sin registro</v>
      </c>
      <c r="N422" s="11" t="str" cm="1">
        <f t="array" ref="N422">_xlfn.XLOOKUP(B422&amp;"", 'Registro EMO'!$C$13:$C$4248&amp;"", 'Registro EMO'!$E$13:$E$4248, "Sin registro", 0, -1)</f>
        <v>Sin registro</v>
      </c>
      <c r="O422" s="11" t="str">
        <f t="shared" si="33"/>
        <v>NO</v>
      </c>
      <c r="P422" s="130" t="str" cm="1">
        <f t="array" ref="P422">_xlfn.LET(
    _xlpm.resultado, _xlfn.XLOOKUP(B422&amp;"", 'Registro EMO'!$C$13:$C$4248&amp;"", 'Registro EMO'!$I$13:$I$4248, "NO", 0, -1),
    IF(_xlpm.resultado=0, "NO", _xlpm.resultado)
)</f>
        <v>NO</v>
      </c>
      <c r="Q422" s="11" t="str">
        <f t="shared" ca="1" si="34"/>
        <v>Pendiente</v>
      </c>
      <c r="R422" s="96"/>
      <c r="S422" s="11"/>
      <c r="T422" s="11" t="str">
        <f t="shared" si="35"/>
        <v/>
      </c>
      <c r="U422" s="11"/>
      <c r="V422" s="146"/>
      <c r="W422" s="29"/>
      <c r="X422" s="129"/>
      <c r="Y422" s="11"/>
      <c r="Z422" s="11"/>
      <c r="AA422" s="11"/>
      <c r="AB422" s="11"/>
      <c r="AC422" s="11"/>
      <c r="AD422" s="11"/>
      <c r="AE422" s="11"/>
      <c r="AF422" s="11"/>
      <c r="AG422" s="98"/>
      <c r="AH422" s="11"/>
    </row>
    <row r="423" spans="1:34" x14ac:dyDescent="0.3">
      <c r="A423" s="7" t="str">
        <f t="shared" si="31"/>
        <v>TR-1422</v>
      </c>
      <c r="B423" s="11" t="s">
        <v>1192</v>
      </c>
      <c r="C423" s="141" t="s">
        <v>991</v>
      </c>
      <c r="D423" s="98">
        <v>31800</v>
      </c>
      <c r="E423" s="111">
        <f t="shared" ca="1" si="32"/>
        <v>39</v>
      </c>
      <c r="F423" s="132" t="s">
        <v>762</v>
      </c>
      <c r="G423" s="11" t="s">
        <v>253</v>
      </c>
      <c r="H423" s="140" t="s">
        <v>1218</v>
      </c>
      <c r="I423" s="140" t="s">
        <v>1221</v>
      </c>
      <c r="J423" s="132"/>
      <c r="K423" s="11"/>
      <c r="L423" s="142">
        <v>46054</v>
      </c>
      <c r="M423" s="96" t="str" cm="1">
        <f t="array" ref="M423">_xlfn.XLOOKUP(B423&amp;"", 'Registro EMO'!$C$13:$C$4248&amp;"", 'Registro EMO'!$F$13:$F$4248, "Sin registro", 0, -1)</f>
        <v>Sin registro</v>
      </c>
      <c r="N423" s="11" t="str" cm="1">
        <f t="array" ref="N423">_xlfn.XLOOKUP(B423&amp;"", 'Registro EMO'!$C$13:$C$4248&amp;"", 'Registro EMO'!$E$13:$E$4248, "Sin registro", 0, -1)</f>
        <v>Sin registro</v>
      </c>
      <c r="O423" s="11" t="str">
        <f t="shared" si="33"/>
        <v>NO</v>
      </c>
      <c r="P423" s="130" t="str" cm="1">
        <f t="array" ref="P423">_xlfn.LET(
    _xlpm.resultado, _xlfn.XLOOKUP(B423&amp;"", 'Registro EMO'!$C$13:$C$4248&amp;"", 'Registro EMO'!$I$13:$I$4248, "NO", 0, -1),
    IF(_xlpm.resultado=0, "NO", _xlpm.resultado)
)</f>
        <v>NO</v>
      </c>
      <c r="Q423" s="11" t="str">
        <f t="shared" ca="1" si="34"/>
        <v>Pendiente</v>
      </c>
      <c r="R423" s="96"/>
      <c r="S423" s="11"/>
      <c r="T423" s="11" t="str">
        <f t="shared" si="35"/>
        <v/>
      </c>
      <c r="U423" s="11"/>
      <c r="V423" s="146"/>
      <c r="W423" s="29"/>
      <c r="X423" s="129"/>
      <c r="Y423" s="11"/>
      <c r="Z423" s="11"/>
      <c r="AA423" s="11"/>
      <c r="AB423" s="11"/>
      <c r="AC423" s="11"/>
      <c r="AD423" s="11"/>
      <c r="AE423" s="11"/>
      <c r="AF423" s="11"/>
      <c r="AG423" s="98"/>
      <c r="AH423" s="11"/>
    </row>
    <row r="424" spans="1:34" x14ac:dyDescent="0.3">
      <c r="A424" s="7" t="str">
        <f t="shared" si="31"/>
        <v>TR-1423</v>
      </c>
      <c r="B424" s="11" t="s">
        <v>1193</v>
      </c>
      <c r="C424" s="141" t="s">
        <v>992</v>
      </c>
      <c r="D424" s="98">
        <v>38268</v>
      </c>
      <c r="E424" s="111">
        <f t="shared" ca="1" si="32"/>
        <v>21</v>
      </c>
      <c r="F424" s="132" t="s">
        <v>743</v>
      </c>
      <c r="G424" s="11" t="s">
        <v>253</v>
      </c>
      <c r="H424" s="140" t="s">
        <v>1218</v>
      </c>
      <c r="I424" s="140" t="s">
        <v>1221</v>
      </c>
      <c r="J424" s="132"/>
      <c r="K424" s="11"/>
      <c r="L424" s="142">
        <v>46044</v>
      </c>
      <c r="M424" s="96" t="str" cm="1">
        <f t="array" ref="M424">_xlfn.XLOOKUP(B424&amp;"", 'Registro EMO'!$C$13:$C$4248&amp;"", 'Registro EMO'!$F$13:$F$4248, "Sin registro", 0, -1)</f>
        <v>Sin registro</v>
      </c>
      <c r="N424" s="11" t="str" cm="1">
        <f t="array" ref="N424">_xlfn.XLOOKUP(B424&amp;"", 'Registro EMO'!$C$13:$C$4248&amp;"", 'Registro EMO'!$E$13:$E$4248, "Sin registro", 0, -1)</f>
        <v>Sin registro</v>
      </c>
      <c r="O424" s="11" t="str">
        <f t="shared" si="33"/>
        <v>NO</v>
      </c>
      <c r="P424" s="130" t="str" cm="1">
        <f t="array" ref="P424">_xlfn.LET(
    _xlpm.resultado, _xlfn.XLOOKUP(B424&amp;"", 'Registro EMO'!$C$13:$C$4248&amp;"", 'Registro EMO'!$I$13:$I$4248, "NO", 0, -1),
    IF(_xlpm.resultado=0, "NO", _xlpm.resultado)
)</f>
        <v>NO</v>
      </c>
      <c r="Q424" s="11" t="str">
        <f t="shared" ca="1" si="34"/>
        <v>Pendiente</v>
      </c>
      <c r="R424" s="96"/>
      <c r="S424" s="11"/>
      <c r="T424" s="11" t="str">
        <f t="shared" si="35"/>
        <v/>
      </c>
      <c r="U424" s="11"/>
      <c r="V424" s="146"/>
      <c r="W424" s="29"/>
      <c r="X424" s="129"/>
      <c r="Y424" s="11"/>
      <c r="Z424" s="11"/>
      <c r="AA424" s="11"/>
      <c r="AB424" s="11"/>
      <c r="AC424" s="11"/>
      <c r="AD424" s="11"/>
      <c r="AE424" s="11"/>
      <c r="AF424" s="11"/>
      <c r="AG424" s="98"/>
      <c r="AH424" s="11"/>
    </row>
    <row r="425" spans="1:34" x14ac:dyDescent="0.3">
      <c r="A425" s="7" t="str">
        <f t="shared" si="31"/>
        <v>TR-1424</v>
      </c>
      <c r="B425" s="11" t="s">
        <v>1194</v>
      </c>
      <c r="C425" s="141" t="s">
        <v>993</v>
      </c>
      <c r="D425" s="98">
        <v>28518</v>
      </c>
      <c r="E425" s="111">
        <f t="shared" ca="1" si="32"/>
        <v>48</v>
      </c>
      <c r="F425" s="132" t="s">
        <v>762</v>
      </c>
      <c r="G425" s="11" t="s">
        <v>253</v>
      </c>
      <c r="H425" s="140" t="s">
        <v>1218</v>
      </c>
      <c r="I425" s="140" t="s">
        <v>1221</v>
      </c>
      <c r="J425" s="132"/>
      <c r="K425" s="11"/>
      <c r="L425" s="142">
        <v>44564</v>
      </c>
      <c r="M425" s="96" t="str" cm="1">
        <f t="array" ref="M425">_xlfn.XLOOKUP(B425&amp;"", 'Registro EMO'!$C$13:$C$4248&amp;"", 'Registro EMO'!$F$13:$F$4248, "Sin registro", 0, -1)</f>
        <v>Sin registro</v>
      </c>
      <c r="N425" s="11" t="str" cm="1">
        <f t="array" ref="N425">_xlfn.XLOOKUP(B425&amp;"", 'Registro EMO'!$C$13:$C$4248&amp;"", 'Registro EMO'!$E$13:$E$4248, "Sin registro", 0, -1)</f>
        <v>Sin registro</v>
      </c>
      <c r="O425" s="11" t="str">
        <f t="shared" si="33"/>
        <v>NO</v>
      </c>
      <c r="P425" s="130" t="str" cm="1">
        <f t="array" ref="P425">_xlfn.LET(
    _xlpm.resultado, _xlfn.XLOOKUP(B425&amp;"", 'Registro EMO'!$C$13:$C$4248&amp;"", 'Registro EMO'!$I$13:$I$4248, "NO", 0, -1),
    IF(_xlpm.resultado=0, "NO", _xlpm.resultado)
)</f>
        <v>NO</v>
      </c>
      <c r="Q425" s="11" t="str">
        <f t="shared" ca="1" si="34"/>
        <v>Pendiente</v>
      </c>
      <c r="R425" s="96"/>
      <c r="S425" s="11"/>
      <c r="T425" s="11" t="str">
        <f t="shared" si="35"/>
        <v/>
      </c>
      <c r="U425" s="11"/>
      <c r="V425" s="146"/>
      <c r="W425" s="29"/>
      <c r="X425" s="129"/>
      <c r="Y425" s="11"/>
      <c r="Z425" s="11"/>
      <c r="AA425" s="11"/>
      <c r="AB425" s="11"/>
      <c r="AC425" s="11"/>
      <c r="AD425" s="11"/>
      <c r="AE425" s="11"/>
      <c r="AF425" s="11"/>
      <c r="AG425" s="98"/>
      <c r="AH425" s="11"/>
    </row>
    <row r="426" spans="1:34" x14ac:dyDescent="0.3">
      <c r="A426" s="7" t="str">
        <f t="shared" si="31"/>
        <v>TR-1425</v>
      </c>
      <c r="B426" s="11" t="s">
        <v>1195</v>
      </c>
      <c r="C426" s="141" t="s">
        <v>994</v>
      </c>
      <c r="D426" s="98">
        <v>33762</v>
      </c>
      <c r="E426" s="111">
        <f t="shared" ca="1" si="32"/>
        <v>33</v>
      </c>
      <c r="F426" s="132" t="s">
        <v>762</v>
      </c>
      <c r="G426" s="11" t="s">
        <v>253</v>
      </c>
      <c r="H426" s="140" t="s">
        <v>1218</v>
      </c>
      <c r="I426" s="140" t="s">
        <v>1223</v>
      </c>
      <c r="J426" s="132"/>
      <c r="K426" s="11"/>
      <c r="L426" s="142">
        <v>44013</v>
      </c>
      <c r="M426" s="96" t="str" cm="1">
        <f t="array" ref="M426">_xlfn.XLOOKUP(B426&amp;"", 'Registro EMO'!$C$13:$C$4248&amp;"", 'Registro EMO'!$F$13:$F$4248, "Sin registro", 0, -1)</f>
        <v>Sin registro</v>
      </c>
      <c r="N426" s="11" t="str" cm="1">
        <f t="array" ref="N426">_xlfn.XLOOKUP(B426&amp;"", 'Registro EMO'!$C$13:$C$4248&amp;"", 'Registro EMO'!$E$13:$E$4248, "Sin registro", 0, -1)</f>
        <v>Sin registro</v>
      </c>
      <c r="O426" s="11" t="str">
        <f t="shared" si="33"/>
        <v>NO</v>
      </c>
      <c r="P426" s="130" t="str" cm="1">
        <f t="array" ref="P426">_xlfn.LET(
    _xlpm.resultado, _xlfn.XLOOKUP(B426&amp;"", 'Registro EMO'!$C$13:$C$4248&amp;"", 'Registro EMO'!$I$13:$I$4248, "NO", 0, -1),
    IF(_xlpm.resultado=0, "NO", _xlpm.resultado)
)</f>
        <v>NO</v>
      </c>
      <c r="Q426" s="11" t="str">
        <f t="shared" ca="1" si="34"/>
        <v>Pendiente</v>
      </c>
      <c r="R426" s="96">
        <v>46335</v>
      </c>
      <c r="S426" s="11" t="s">
        <v>1232</v>
      </c>
      <c r="T426" s="11" t="str">
        <f t="shared" si="35"/>
        <v>NO</v>
      </c>
      <c r="U426" s="11"/>
      <c r="V426" s="146" t="s">
        <v>126</v>
      </c>
      <c r="W426" s="29"/>
      <c r="X426" s="129"/>
      <c r="Y426" s="11"/>
      <c r="Z426" s="11"/>
      <c r="AA426" s="11"/>
      <c r="AB426" s="11"/>
      <c r="AC426" s="11"/>
      <c r="AD426" s="11"/>
      <c r="AE426" s="11"/>
      <c r="AF426" s="11"/>
      <c r="AG426" s="98"/>
      <c r="AH426" s="11" t="s">
        <v>32</v>
      </c>
    </row>
    <row r="427" spans="1:34" x14ac:dyDescent="0.3">
      <c r="A427" s="7" t="str">
        <f t="shared" si="31"/>
        <v>TR-1426</v>
      </c>
      <c r="B427" s="11" t="s">
        <v>1196</v>
      </c>
      <c r="C427" s="141" t="s">
        <v>995</v>
      </c>
      <c r="D427" s="98">
        <v>26965</v>
      </c>
      <c r="E427" s="111">
        <f t="shared" ca="1" si="32"/>
        <v>52</v>
      </c>
      <c r="F427" s="132" t="s">
        <v>743</v>
      </c>
      <c r="G427" s="11" t="s">
        <v>253</v>
      </c>
      <c r="H427" s="140" t="s">
        <v>752</v>
      </c>
      <c r="I427" s="140" t="s">
        <v>1227</v>
      </c>
      <c r="J427" s="132"/>
      <c r="K427" s="11"/>
      <c r="L427" s="142">
        <v>44228</v>
      </c>
      <c r="M427" s="96" t="str" cm="1">
        <f t="array" ref="M427">_xlfn.XLOOKUP(B427&amp;"", 'Registro EMO'!$C$13:$C$4248&amp;"", 'Registro EMO'!$F$13:$F$4248, "Sin registro", 0, -1)</f>
        <v>Sin registro</v>
      </c>
      <c r="N427" s="11" t="str" cm="1">
        <f t="array" ref="N427">_xlfn.XLOOKUP(B427&amp;"", 'Registro EMO'!$C$13:$C$4248&amp;"", 'Registro EMO'!$E$13:$E$4248, "Sin registro", 0, -1)</f>
        <v>Sin registro</v>
      </c>
      <c r="O427" s="11" t="str">
        <f t="shared" si="33"/>
        <v>NO</v>
      </c>
      <c r="P427" s="130" t="str" cm="1">
        <f t="array" ref="P427">_xlfn.LET(
    _xlpm.resultado, _xlfn.XLOOKUP(B427&amp;"", 'Registro EMO'!$C$13:$C$4248&amp;"", 'Registro EMO'!$I$13:$I$4248, "NO", 0, -1),
    IF(_xlpm.resultado=0, "NO", _xlpm.resultado)
)</f>
        <v>NO</v>
      </c>
      <c r="Q427" s="11" t="str">
        <f t="shared" ca="1" si="34"/>
        <v>Pendiente</v>
      </c>
      <c r="R427" s="96"/>
      <c r="S427" s="11"/>
      <c r="T427" s="11" t="str">
        <f t="shared" si="35"/>
        <v/>
      </c>
      <c r="U427" s="11"/>
      <c r="V427" s="146"/>
      <c r="W427" s="29"/>
      <c r="X427" s="129"/>
      <c r="Y427" s="11"/>
      <c r="Z427" s="11"/>
      <c r="AA427" s="11"/>
      <c r="AB427" s="11"/>
      <c r="AC427" s="11"/>
      <c r="AD427" s="11"/>
      <c r="AE427" s="11"/>
      <c r="AF427" s="11"/>
      <c r="AG427" s="98"/>
      <c r="AH427" s="11"/>
    </row>
    <row r="428" spans="1:34" x14ac:dyDescent="0.3">
      <c r="A428" s="7" t="str">
        <f t="shared" si="31"/>
        <v>TR-1427</v>
      </c>
      <c r="B428" s="11" t="s">
        <v>1197</v>
      </c>
      <c r="C428" s="141" t="s">
        <v>996</v>
      </c>
      <c r="D428" s="98">
        <v>38451</v>
      </c>
      <c r="E428" s="111">
        <f t="shared" ca="1" si="32"/>
        <v>20</v>
      </c>
      <c r="F428" s="132" t="s">
        <v>743</v>
      </c>
      <c r="G428" s="11" t="s">
        <v>253</v>
      </c>
      <c r="H428" s="140" t="s">
        <v>1218</v>
      </c>
      <c r="I428" s="140" t="s">
        <v>1221</v>
      </c>
      <c r="J428" s="132"/>
      <c r="K428" s="11"/>
      <c r="L428" s="142">
        <v>46023</v>
      </c>
      <c r="M428" s="96" t="str" cm="1">
        <f t="array" ref="M428">_xlfn.XLOOKUP(B428&amp;"", 'Registro EMO'!$C$13:$C$4248&amp;"", 'Registro EMO'!$F$13:$F$4248, "Sin registro", 0, -1)</f>
        <v>Sin registro</v>
      </c>
      <c r="N428" s="11" t="str" cm="1">
        <f t="array" ref="N428">_xlfn.XLOOKUP(B428&amp;"", 'Registro EMO'!$C$13:$C$4248&amp;"", 'Registro EMO'!$E$13:$E$4248, "Sin registro", 0, -1)</f>
        <v>Sin registro</v>
      </c>
      <c r="O428" s="11" t="str">
        <f t="shared" si="33"/>
        <v>NO</v>
      </c>
      <c r="P428" s="130" t="str" cm="1">
        <f t="array" ref="P428">_xlfn.LET(
    _xlpm.resultado, _xlfn.XLOOKUP(B428&amp;"", 'Registro EMO'!$C$13:$C$4248&amp;"", 'Registro EMO'!$I$13:$I$4248, "NO", 0, -1),
    IF(_xlpm.resultado=0, "NO", _xlpm.resultado)
)</f>
        <v>NO</v>
      </c>
      <c r="Q428" s="11" t="str">
        <f t="shared" ca="1" si="34"/>
        <v>Pendiente</v>
      </c>
      <c r="R428" s="96"/>
      <c r="S428" s="11"/>
      <c r="T428" s="11" t="str">
        <f t="shared" si="35"/>
        <v/>
      </c>
      <c r="U428" s="11"/>
      <c r="V428" s="146"/>
      <c r="W428" s="29"/>
      <c r="X428" s="129"/>
      <c r="Y428" s="11"/>
      <c r="Z428" s="11"/>
      <c r="AA428" s="11"/>
      <c r="AB428" s="11"/>
      <c r="AC428" s="11"/>
      <c r="AD428" s="11"/>
      <c r="AE428" s="11"/>
      <c r="AF428" s="11"/>
      <c r="AG428" s="98"/>
      <c r="AH428" s="11"/>
    </row>
    <row r="429" spans="1:34" x14ac:dyDescent="0.3">
      <c r="A429" s="7" t="str">
        <f t="shared" si="31"/>
        <v>TR-1428</v>
      </c>
      <c r="B429" s="11" t="s">
        <v>1198</v>
      </c>
      <c r="C429" s="141" t="s">
        <v>997</v>
      </c>
      <c r="D429" s="98">
        <v>31595</v>
      </c>
      <c r="E429" s="111">
        <f t="shared" ca="1" si="32"/>
        <v>39</v>
      </c>
      <c r="F429" s="132" t="s">
        <v>762</v>
      </c>
      <c r="G429" s="11" t="s">
        <v>253</v>
      </c>
      <c r="H429" s="140" t="s">
        <v>1218</v>
      </c>
      <c r="I429" s="140" t="s">
        <v>1220</v>
      </c>
      <c r="J429" s="132"/>
      <c r="K429" s="11"/>
      <c r="L429" s="142">
        <v>45877</v>
      </c>
      <c r="M429" s="96" t="str" cm="1">
        <f t="array" ref="M429">_xlfn.XLOOKUP(B429&amp;"", 'Registro EMO'!$C$13:$C$4248&amp;"", 'Registro EMO'!$F$13:$F$4248, "Sin registro", 0, -1)</f>
        <v>Sin registro</v>
      </c>
      <c r="N429" s="11" t="str" cm="1">
        <f t="array" ref="N429">_xlfn.XLOOKUP(B429&amp;"", 'Registro EMO'!$C$13:$C$4248&amp;"", 'Registro EMO'!$E$13:$E$4248, "Sin registro", 0, -1)</f>
        <v>Sin registro</v>
      </c>
      <c r="O429" s="11" t="str">
        <f t="shared" si="33"/>
        <v>NO</v>
      </c>
      <c r="P429" s="130" t="str" cm="1">
        <f t="array" ref="P429">_xlfn.LET(
    _xlpm.resultado, _xlfn.XLOOKUP(B429&amp;"", 'Registro EMO'!$C$13:$C$4248&amp;"", 'Registro EMO'!$I$13:$I$4248, "NO", 0, -1),
    IF(_xlpm.resultado=0, "NO", _xlpm.resultado)
)</f>
        <v>NO</v>
      </c>
      <c r="Q429" s="11" t="str">
        <f t="shared" ca="1" si="34"/>
        <v>Pendiente</v>
      </c>
      <c r="R429" s="96"/>
      <c r="S429" s="11"/>
      <c r="T429" s="11" t="str">
        <f t="shared" si="35"/>
        <v/>
      </c>
      <c r="U429" s="11"/>
      <c r="V429" s="146"/>
      <c r="W429" s="29"/>
      <c r="X429" s="129"/>
      <c r="Y429" s="11"/>
      <c r="Z429" s="11"/>
      <c r="AA429" s="11"/>
      <c r="AB429" s="11"/>
      <c r="AC429" s="11"/>
      <c r="AD429" s="11"/>
      <c r="AE429" s="11"/>
      <c r="AF429" s="11"/>
      <c r="AG429" s="98"/>
      <c r="AH429" s="11"/>
    </row>
    <row r="430" spans="1:34" x14ac:dyDescent="0.3">
      <c r="A430" s="7" t="str">
        <f t="shared" si="31"/>
        <v>TR-1429</v>
      </c>
      <c r="B430" s="11" t="s">
        <v>1199</v>
      </c>
      <c r="C430" s="141" t="s">
        <v>998</v>
      </c>
      <c r="D430" s="98">
        <v>33636</v>
      </c>
      <c r="E430" s="111">
        <f t="shared" ca="1" si="32"/>
        <v>34</v>
      </c>
      <c r="F430" s="132" t="s">
        <v>743</v>
      </c>
      <c r="G430" s="11" t="s">
        <v>253</v>
      </c>
      <c r="H430" s="140" t="s">
        <v>1218</v>
      </c>
      <c r="I430" s="140" t="s">
        <v>1221</v>
      </c>
      <c r="J430" s="132"/>
      <c r="K430" s="11"/>
      <c r="L430" s="142">
        <v>45239</v>
      </c>
      <c r="M430" s="96" t="str" cm="1">
        <f t="array" ref="M430">_xlfn.XLOOKUP(B430&amp;"", 'Registro EMO'!$C$13:$C$4248&amp;"", 'Registro EMO'!$F$13:$F$4248, "Sin registro", 0, -1)</f>
        <v>Sin registro</v>
      </c>
      <c r="N430" s="11" t="str" cm="1">
        <f t="array" ref="N430">_xlfn.XLOOKUP(B430&amp;"", 'Registro EMO'!$C$13:$C$4248&amp;"", 'Registro EMO'!$E$13:$E$4248, "Sin registro", 0, -1)</f>
        <v>Sin registro</v>
      </c>
      <c r="O430" s="11" t="str">
        <f t="shared" si="33"/>
        <v>NO</v>
      </c>
      <c r="P430" s="130" t="str" cm="1">
        <f t="array" ref="P430">_xlfn.LET(
    _xlpm.resultado, _xlfn.XLOOKUP(B430&amp;"", 'Registro EMO'!$C$13:$C$4248&amp;"", 'Registro EMO'!$I$13:$I$4248, "NO", 0, -1),
    IF(_xlpm.resultado=0, "NO", _xlpm.resultado)
)</f>
        <v>NO</v>
      </c>
      <c r="Q430" s="11" t="str">
        <f t="shared" ca="1" si="34"/>
        <v>Pendiente</v>
      </c>
      <c r="R430" s="96" t="s">
        <v>1276</v>
      </c>
      <c r="S430" s="11" t="s">
        <v>1232</v>
      </c>
      <c r="T430" s="11" t="str">
        <f t="shared" si="35"/>
        <v>NO</v>
      </c>
      <c r="U430" s="11"/>
      <c r="V430" s="146" t="s">
        <v>126</v>
      </c>
      <c r="W430" s="29"/>
      <c r="X430" s="129"/>
      <c r="Y430" s="11"/>
      <c r="Z430" s="11"/>
      <c r="AA430" s="11"/>
      <c r="AB430" s="11"/>
      <c r="AC430" s="11"/>
      <c r="AD430" s="11"/>
      <c r="AE430" s="11"/>
      <c r="AF430" s="11"/>
      <c r="AG430" s="98"/>
      <c r="AH430" s="11" t="s">
        <v>32</v>
      </c>
    </row>
    <row r="431" spans="1:34" x14ac:dyDescent="0.3">
      <c r="A431" s="7" t="str">
        <f t="shared" si="31"/>
        <v>TR-1430</v>
      </c>
      <c r="B431" s="11" t="s">
        <v>1200</v>
      </c>
      <c r="C431" s="141" t="s">
        <v>999</v>
      </c>
      <c r="D431" s="98">
        <v>32967</v>
      </c>
      <c r="E431" s="111">
        <f t="shared" ca="1" si="32"/>
        <v>35</v>
      </c>
      <c r="F431" s="132" t="s">
        <v>743</v>
      </c>
      <c r="G431" s="11" t="s">
        <v>253</v>
      </c>
      <c r="H431" s="140" t="s">
        <v>1218</v>
      </c>
      <c r="I431" s="140" t="s">
        <v>1220</v>
      </c>
      <c r="J431" s="132"/>
      <c r="K431" s="11"/>
      <c r="L431" s="142">
        <v>45575</v>
      </c>
      <c r="M431" s="96" t="str" cm="1">
        <f t="array" ref="M431">_xlfn.XLOOKUP(B431&amp;"", 'Registro EMO'!$C$13:$C$4248&amp;"", 'Registro EMO'!$F$13:$F$4248, "Sin registro", 0, -1)</f>
        <v>Sin registro</v>
      </c>
      <c r="N431" s="11" t="str" cm="1">
        <f t="array" ref="N431">_xlfn.XLOOKUP(B431&amp;"", 'Registro EMO'!$C$13:$C$4248&amp;"", 'Registro EMO'!$E$13:$E$4248, "Sin registro", 0, -1)</f>
        <v>Sin registro</v>
      </c>
      <c r="O431" s="11" t="str">
        <f t="shared" si="33"/>
        <v>NO</v>
      </c>
      <c r="P431" s="130" t="str" cm="1">
        <f t="array" ref="P431">_xlfn.LET(
    _xlpm.resultado, _xlfn.XLOOKUP(B431&amp;"", 'Registro EMO'!$C$13:$C$4248&amp;"", 'Registro EMO'!$I$13:$I$4248, "NO", 0, -1),
    IF(_xlpm.resultado=0, "NO", _xlpm.resultado)
)</f>
        <v>NO</v>
      </c>
      <c r="Q431" s="11" t="str">
        <f t="shared" ca="1" si="34"/>
        <v>Pendiente</v>
      </c>
      <c r="R431" s="96">
        <v>46145</v>
      </c>
      <c r="S431" s="11" t="s">
        <v>1232</v>
      </c>
      <c r="T431" s="11" t="str">
        <f t="shared" si="35"/>
        <v>NO</v>
      </c>
      <c r="U431" s="11"/>
      <c r="V431" s="146" t="s">
        <v>126</v>
      </c>
      <c r="W431" s="29"/>
      <c r="X431" s="129"/>
      <c r="Y431" s="11"/>
      <c r="Z431" s="11"/>
      <c r="AA431" s="11"/>
      <c r="AB431" s="11"/>
      <c r="AC431" s="11"/>
      <c r="AD431" s="11"/>
      <c r="AE431" s="11"/>
      <c r="AF431" s="11"/>
      <c r="AG431" s="98"/>
      <c r="AH431" s="11" t="s">
        <v>32</v>
      </c>
    </row>
    <row r="432" spans="1:34" x14ac:dyDescent="0.3">
      <c r="A432" s="7" t="str">
        <f t="shared" si="31"/>
        <v>TR-1431</v>
      </c>
      <c r="B432" s="11" t="s">
        <v>1201</v>
      </c>
      <c r="C432" s="141" t="s">
        <v>1000</v>
      </c>
      <c r="D432" s="98">
        <v>38280</v>
      </c>
      <c r="E432" s="111">
        <f t="shared" ca="1" si="32"/>
        <v>21</v>
      </c>
      <c r="F432" s="132" t="s">
        <v>743</v>
      </c>
      <c r="G432" s="11" t="s">
        <v>253</v>
      </c>
      <c r="H432" s="140" t="s">
        <v>1218</v>
      </c>
      <c r="I432" s="140" t="s">
        <v>1221</v>
      </c>
      <c r="J432" s="132"/>
      <c r="K432" s="11"/>
      <c r="L432" s="142">
        <v>45850</v>
      </c>
      <c r="M432" s="96" t="str" cm="1">
        <f t="array" ref="M432">_xlfn.XLOOKUP(B432&amp;"", 'Registro EMO'!$C$13:$C$4248&amp;"", 'Registro EMO'!$F$13:$F$4248, "Sin registro", 0, -1)</f>
        <v>Sin registro</v>
      </c>
      <c r="N432" s="11" t="str" cm="1">
        <f t="array" ref="N432">_xlfn.XLOOKUP(B432&amp;"", 'Registro EMO'!$C$13:$C$4248&amp;"", 'Registro EMO'!$E$13:$E$4248, "Sin registro", 0, -1)</f>
        <v>Sin registro</v>
      </c>
      <c r="O432" s="11" t="str">
        <f t="shared" si="33"/>
        <v>NO</v>
      </c>
      <c r="P432" s="130" t="str" cm="1">
        <f t="array" ref="P432">_xlfn.LET(
    _xlpm.resultado, _xlfn.XLOOKUP(B432&amp;"", 'Registro EMO'!$C$13:$C$4248&amp;"", 'Registro EMO'!$I$13:$I$4248, "NO", 0, -1),
    IF(_xlpm.resultado=0, "NO", _xlpm.resultado)
)</f>
        <v>NO</v>
      </c>
      <c r="Q432" s="11" t="str">
        <f t="shared" ca="1" si="34"/>
        <v>Pendiente</v>
      </c>
      <c r="R432" s="96"/>
      <c r="S432" s="11"/>
      <c r="T432" s="11" t="str">
        <f t="shared" si="35"/>
        <v/>
      </c>
      <c r="U432" s="11"/>
      <c r="V432" s="146"/>
      <c r="W432" s="29"/>
      <c r="X432" s="129"/>
      <c r="Y432" s="11"/>
      <c r="Z432" s="11"/>
      <c r="AA432" s="11"/>
      <c r="AB432" s="11"/>
      <c r="AC432" s="11"/>
      <c r="AD432" s="11"/>
      <c r="AE432" s="11"/>
      <c r="AF432" s="11"/>
      <c r="AG432" s="98"/>
      <c r="AH432" s="11"/>
    </row>
    <row r="433" spans="1:34" x14ac:dyDescent="0.3">
      <c r="A433" s="7" t="str">
        <f t="shared" si="31"/>
        <v>TR-1432</v>
      </c>
      <c r="B433" s="11" t="s">
        <v>1202</v>
      </c>
      <c r="C433" s="141" t="s">
        <v>1001</v>
      </c>
      <c r="D433" s="98">
        <v>34051</v>
      </c>
      <c r="E433" s="111">
        <f t="shared" ca="1" si="32"/>
        <v>32</v>
      </c>
      <c r="F433" s="132" t="s">
        <v>762</v>
      </c>
      <c r="G433" s="11" t="s">
        <v>253</v>
      </c>
      <c r="H433" s="140" t="s">
        <v>1218</v>
      </c>
      <c r="I433" s="140" t="s">
        <v>1219</v>
      </c>
      <c r="J433" s="132"/>
      <c r="K433" s="11"/>
      <c r="L433" s="142">
        <v>43983</v>
      </c>
      <c r="M433" s="96" t="str" cm="1">
        <f t="array" ref="M433">_xlfn.XLOOKUP(B433&amp;"", 'Registro EMO'!$C$13:$C$4248&amp;"", 'Registro EMO'!$F$13:$F$4248, "Sin registro", 0, -1)</f>
        <v>Sin registro</v>
      </c>
      <c r="N433" s="11" t="str" cm="1">
        <f t="array" ref="N433">_xlfn.XLOOKUP(B433&amp;"", 'Registro EMO'!$C$13:$C$4248&amp;"", 'Registro EMO'!$E$13:$E$4248, "Sin registro", 0, -1)</f>
        <v>Sin registro</v>
      </c>
      <c r="O433" s="11" t="str">
        <f t="shared" si="33"/>
        <v>NO</v>
      </c>
      <c r="P433" s="130" t="str" cm="1">
        <f t="array" ref="P433">_xlfn.LET(
    _xlpm.resultado, _xlfn.XLOOKUP(B433&amp;"", 'Registro EMO'!$C$13:$C$4248&amp;"", 'Registro EMO'!$I$13:$I$4248, "NO", 0, -1),
    IF(_xlpm.resultado=0, "NO", _xlpm.resultado)
)</f>
        <v>NO</v>
      </c>
      <c r="Q433" s="11" t="str">
        <f t="shared" ca="1" si="34"/>
        <v>Pendiente</v>
      </c>
      <c r="R433" s="96" t="s">
        <v>1285</v>
      </c>
      <c r="S433" s="11" t="s">
        <v>1232</v>
      </c>
      <c r="T433" s="11" t="str">
        <f t="shared" si="35"/>
        <v>NO</v>
      </c>
      <c r="U433" s="11"/>
      <c r="V433" s="146" t="s">
        <v>126</v>
      </c>
      <c r="W433" s="29"/>
      <c r="X433" s="129"/>
      <c r="Y433" s="11"/>
      <c r="Z433" s="11"/>
      <c r="AA433" s="11"/>
      <c r="AB433" s="11"/>
      <c r="AC433" s="11"/>
      <c r="AD433" s="11"/>
      <c r="AE433" s="11"/>
      <c r="AF433" s="11"/>
      <c r="AG433" s="98"/>
      <c r="AH433" s="11" t="s">
        <v>32</v>
      </c>
    </row>
    <row r="434" spans="1:34" x14ac:dyDescent="0.3">
      <c r="A434" s="7" t="str">
        <f t="shared" si="31"/>
        <v>TR-1433</v>
      </c>
      <c r="B434" s="11" t="s">
        <v>1203</v>
      </c>
      <c r="C434" s="141" t="s">
        <v>1002</v>
      </c>
      <c r="D434" s="98">
        <v>34998</v>
      </c>
      <c r="E434" s="111">
        <f t="shared" ca="1" si="32"/>
        <v>30</v>
      </c>
      <c r="F434" s="132" t="s">
        <v>762</v>
      </c>
      <c r="G434" s="11" t="s">
        <v>253</v>
      </c>
      <c r="H434" s="140" t="s">
        <v>1218</v>
      </c>
      <c r="I434" s="140" t="s">
        <v>1221</v>
      </c>
      <c r="J434" s="132"/>
      <c r="K434" s="11"/>
      <c r="L434" s="142">
        <v>46058</v>
      </c>
      <c r="M434" s="96" t="str" cm="1">
        <f t="array" ref="M434">_xlfn.XLOOKUP(B434&amp;"", 'Registro EMO'!$C$13:$C$4248&amp;"", 'Registro EMO'!$F$13:$F$4248, "Sin registro", 0, -1)</f>
        <v>Sin registro</v>
      </c>
      <c r="N434" s="11" t="str" cm="1">
        <f t="array" ref="N434">_xlfn.XLOOKUP(B434&amp;"", 'Registro EMO'!$C$13:$C$4248&amp;"", 'Registro EMO'!$E$13:$E$4248, "Sin registro", 0, -1)</f>
        <v>Sin registro</v>
      </c>
      <c r="O434" s="11" t="str">
        <f t="shared" si="33"/>
        <v>NO</v>
      </c>
      <c r="P434" s="130" t="str" cm="1">
        <f t="array" ref="P434">_xlfn.LET(
    _xlpm.resultado, _xlfn.XLOOKUP(B434&amp;"", 'Registro EMO'!$C$13:$C$4248&amp;"", 'Registro EMO'!$I$13:$I$4248, "NO", 0, -1),
    IF(_xlpm.resultado=0, "NO", _xlpm.resultado)
)</f>
        <v>NO</v>
      </c>
      <c r="Q434" s="11" t="str">
        <f t="shared" ca="1" si="34"/>
        <v>Pendiente</v>
      </c>
      <c r="R434" s="96"/>
      <c r="S434" s="11"/>
      <c r="T434" s="11" t="str">
        <f t="shared" si="35"/>
        <v/>
      </c>
      <c r="U434" s="11"/>
      <c r="V434" s="146"/>
      <c r="W434" s="29"/>
      <c r="X434" s="129"/>
      <c r="Y434" s="11"/>
      <c r="Z434" s="11"/>
      <c r="AA434" s="11"/>
      <c r="AB434" s="11"/>
      <c r="AC434" s="11"/>
      <c r="AD434" s="11"/>
      <c r="AE434" s="11"/>
      <c r="AF434" s="11"/>
      <c r="AG434" s="98"/>
      <c r="AH434" s="11"/>
    </row>
    <row r="435" spans="1:34" x14ac:dyDescent="0.3">
      <c r="A435" s="7" t="str">
        <f t="shared" si="31"/>
        <v>TR-1434</v>
      </c>
      <c r="B435" s="11" t="s">
        <v>1204</v>
      </c>
      <c r="C435" s="141" t="s">
        <v>1003</v>
      </c>
      <c r="D435" s="98">
        <v>28077</v>
      </c>
      <c r="E435" s="111">
        <f t="shared" ca="1" si="32"/>
        <v>49</v>
      </c>
      <c r="F435" s="132" t="s">
        <v>762</v>
      </c>
      <c r="G435" s="11" t="s">
        <v>253</v>
      </c>
      <c r="H435" s="140" t="s">
        <v>1218</v>
      </c>
      <c r="I435" s="140" t="s">
        <v>1219</v>
      </c>
      <c r="J435" s="132"/>
      <c r="K435" s="11"/>
      <c r="L435" s="142">
        <v>44013</v>
      </c>
      <c r="M435" s="96" t="str" cm="1">
        <f t="array" ref="M435">_xlfn.XLOOKUP(B435&amp;"", 'Registro EMO'!$C$13:$C$4248&amp;"", 'Registro EMO'!$F$13:$F$4248, "Sin registro", 0, -1)</f>
        <v>Sin registro</v>
      </c>
      <c r="N435" s="11" t="str" cm="1">
        <f t="array" ref="N435">_xlfn.XLOOKUP(B435&amp;"", 'Registro EMO'!$C$13:$C$4248&amp;"", 'Registro EMO'!$E$13:$E$4248, "Sin registro", 0, -1)</f>
        <v>Sin registro</v>
      </c>
      <c r="O435" s="11" t="str">
        <f t="shared" si="33"/>
        <v>NO</v>
      </c>
      <c r="P435" s="130" t="str" cm="1">
        <f t="array" ref="P435">_xlfn.LET(
    _xlpm.resultado, _xlfn.XLOOKUP(B435&amp;"", 'Registro EMO'!$C$13:$C$4248&amp;"", 'Registro EMO'!$I$13:$I$4248, "NO", 0, -1),
    IF(_xlpm.resultado=0, "NO", _xlpm.resultado)
)</f>
        <v>NO</v>
      </c>
      <c r="Q435" s="11" t="str">
        <f t="shared" ca="1" si="34"/>
        <v>Pendiente</v>
      </c>
      <c r="R435" s="96" t="s">
        <v>1251</v>
      </c>
      <c r="S435" s="11" t="s">
        <v>1232</v>
      </c>
      <c r="T435" s="11" t="str">
        <f t="shared" si="35"/>
        <v>NO</v>
      </c>
      <c r="U435" s="11"/>
      <c r="V435" s="146" t="s">
        <v>126</v>
      </c>
      <c r="W435" s="29"/>
      <c r="X435" s="129"/>
      <c r="Y435" s="11"/>
      <c r="Z435" s="11"/>
      <c r="AA435" s="11"/>
      <c r="AB435" s="11"/>
      <c r="AC435" s="11"/>
      <c r="AD435" s="11"/>
      <c r="AE435" s="11"/>
      <c r="AF435" s="11"/>
      <c r="AG435" s="98"/>
      <c r="AH435" s="11" t="s">
        <v>32</v>
      </c>
    </row>
    <row r="436" spans="1:34" x14ac:dyDescent="0.3">
      <c r="A436" s="7" t="str">
        <f t="shared" si="31"/>
        <v>TR-1435</v>
      </c>
      <c r="B436" s="11" t="s">
        <v>1205</v>
      </c>
      <c r="C436" s="141" t="s">
        <v>1004</v>
      </c>
      <c r="D436" s="98">
        <v>32255</v>
      </c>
      <c r="E436" s="111">
        <f t="shared" ca="1" si="32"/>
        <v>37</v>
      </c>
      <c r="F436" s="132" t="s">
        <v>743</v>
      </c>
      <c r="G436" s="11" t="s">
        <v>253</v>
      </c>
      <c r="H436" s="140" t="s">
        <v>1218</v>
      </c>
      <c r="I436" s="140" t="s">
        <v>1219</v>
      </c>
      <c r="J436" s="132"/>
      <c r="K436" s="11"/>
      <c r="L436" s="142">
        <v>44013</v>
      </c>
      <c r="M436" s="96" t="str" cm="1">
        <f t="array" ref="M436">_xlfn.XLOOKUP(B436&amp;"", 'Registro EMO'!$C$13:$C$4248&amp;"", 'Registro EMO'!$F$13:$F$4248, "Sin registro", 0, -1)</f>
        <v>Sin registro</v>
      </c>
      <c r="N436" s="11" t="str" cm="1">
        <f t="array" ref="N436">_xlfn.XLOOKUP(B436&amp;"", 'Registro EMO'!$C$13:$C$4248&amp;"", 'Registro EMO'!$E$13:$E$4248, "Sin registro", 0, -1)</f>
        <v>Sin registro</v>
      </c>
      <c r="O436" s="11" t="str">
        <f t="shared" si="33"/>
        <v>NO</v>
      </c>
      <c r="P436" s="130" t="str" cm="1">
        <f t="array" ref="P436">_xlfn.LET(
    _xlpm.resultado, _xlfn.XLOOKUP(B436&amp;"", 'Registro EMO'!$C$13:$C$4248&amp;"", 'Registro EMO'!$I$13:$I$4248, "NO", 0, -1),
    IF(_xlpm.resultado=0, "NO", _xlpm.resultado)
)</f>
        <v>NO</v>
      </c>
      <c r="Q436" s="11" t="str">
        <f t="shared" ca="1" si="34"/>
        <v>Pendiente</v>
      </c>
      <c r="R436" s="96" t="s">
        <v>1344</v>
      </c>
      <c r="S436" s="11" t="s">
        <v>1232</v>
      </c>
      <c r="T436" s="11" t="str">
        <f t="shared" si="35"/>
        <v>NO</v>
      </c>
      <c r="U436" s="11"/>
      <c r="V436" s="146" t="s">
        <v>126</v>
      </c>
      <c r="W436" s="29"/>
      <c r="X436" s="129"/>
      <c r="Y436" s="11"/>
      <c r="Z436" s="11"/>
      <c r="AA436" s="11"/>
      <c r="AB436" s="11"/>
      <c r="AC436" s="11"/>
      <c r="AD436" s="11"/>
      <c r="AE436" s="11"/>
      <c r="AF436" s="11"/>
      <c r="AG436" s="98"/>
      <c r="AH436" s="11" t="s">
        <v>32</v>
      </c>
    </row>
    <row r="437" spans="1:34" x14ac:dyDescent="0.3">
      <c r="A437" s="7" t="str">
        <f t="shared" si="31"/>
        <v>TR-1436</v>
      </c>
      <c r="B437" s="11" t="s">
        <v>1206</v>
      </c>
      <c r="C437" s="141" t="s">
        <v>1005</v>
      </c>
      <c r="D437" s="98">
        <v>31744</v>
      </c>
      <c r="E437" s="111">
        <f t="shared" ca="1" si="32"/>
        <v>39</v>
      </c>
      <c r="F437" s="132" t="s">
        <v>743</v>
      </c>
      <c r="G437" s="11" t="s">
        <v>253</v>
      </c>
      <c r="H437" s="140" t="s">
        <v>1218</v>
      </c>
      <c r="I437" s="140" t="s">
        <v>1221</v>
      </c>
      <c r="J437" s="132"/>
      <c r="K437" s="11"/>
      <c r="L437" s="142">
        <v>46038</v>
      </c>
      <c r="M437" s="96" t="str" cm="1">
        <f t="array" ref="M437">_xlfn.XLOOKUP(B437&amp;"", 'Registro EMO'!$C$13:$C$4248&amp;"", 'Registro EMO'!$F$13:$F$4248, "Sin registro", 0, -1)</f>
        <v>Sin registro</v>
      </c>
      <c r="N437" s="11" t="str" cm="1">
        <f t="array" ref="N437">_xlfn.XLOOKUP(B437&amp;"", 'Registro EMO'!$C$13:$C$4248&amp;"", 'Registro EMO'!$E$13:$E$4248, "Sin registro", 0, -1)</f>
        <v>Sin registro</v>
      </c>
      <c r="O437" s="11" t="str">
        <f t="shared" si="33"/>
        <v>NO</v>
      </c>
      <c r="P437" s="130" t="str" cm="1">
        <f t="array" ref="P437">_xlfn.LET(
    _xlpm.resultado, _xlfn.XLOOKUP(B437&amp;"", 'Registro EMO'!$C$13:$C$4248&amp;"", 'Registro EMO'!$I$13:$I$4248, "NO", 0, -1),
    IF(_xlpm.resultado=0, "NO", _xlpm.resultado)
)</f>
        <v>NO</v>
      </c>
      <c r="Q437" s="11" t="str">
        <f t="shared" ca="1" si="34"/>
        <v>Pendiente</v>
      </c>
      <c r="R437" s="96"/>
      <c r="S437" s="11"/>
      <c r="T437" s="11" t="str">
        <f t="shared" si="35"/>
        <v/>
      </c>
      <c r="U437" s="11"/>
      <c r="V437" s="146"/>
      <c r="W437" s="29"/>
      <c r="X437" s="129"/>
      <c r="Y437" s="11"/>
      <c r="Z437" s="11"/>
      <c r="AA437" s="11"/>
      <c r="AB437" s="11"/>
      <c r="AC437" s="11"/>
      <c r="AD437" s="11"/>
      <c r="AE437" s="11"/>
      <c r="AF437" s="11"/>
      <c r="AG437" s="98"/>
      <c r="AH437" s="11"/>
    </row>
    <row r="438" spans="1:34" x14ac:dyDescent="0.3">
      <c r="A438" s="7" t="str">
        <f t="shared" si="31"/>
        <v>TR-1437</v>
      </c>
      <c r="B438" s="11" t="s">
        <v>1207</v>
      </c>
      <c r="C438" s="141" t="s">
        <v>1006</v>
      </c>
      <c r="D438" s="98">
        <v>29822</v>
      </c>
      <c r="E438" s="111">
        <f t="shared" ca="1" si="32"/>
        <v>44</v>
      </c>
      <c r="F438" s="132" t="s">
        <v>762</v>
      </c>
      <c r="G438" s="11" t="s">
        <v>253</v>
      </c>
      <c r="H438" s="140" t="s">
        <v>1218</v>
      </c>
      <c r="I438" s="140" t="s">
        <v>1221</v>
      </c>
      <c r="J438" s="132"/>
      <c r="K438" s="11"/>
      <c r="L438" s="142">
        <v>44942</v>
      </c>
      <c r="M438" s="96" t="str" cm="1">
        <f t="array" ref="M438">_xlfn.XLOOKUP(B438&amp;"", 'Registro EMO'!$C$13:$C$4248&amp;"", 'Registro EMO'!$F$13:$F$4248, "Sin registro", 0, -1)</f>
        <v>Sin registro</v>
      </c>
      <c r="N438" s="11" t="str" cm="1">
        <f t="array" ref="N438">_xlfn.XLOOKUP(B438&amp;"", 'Registro EMO'!$C$13:$C$4248&amp;"", 'Registro EMO'!$E$13:$E$4248, "Sin registro", 0, -1)</f>
        <v>Sin registro</v>
      </c>
      <c r="O438" s="11" t="str">
        <f t="shared" si="33"/>
        <v>NO</v>
      </c>
      <c r="P438" s="130" t="str" cm="1">
        <f t="array" ref="P438">_xlfn.LET(
    _xlpm.resultado, _xlfn.XLOOKUP(B438&amp;"", 'Registro EMO'!$C$13:$C$4248&amp;"", 'Registro EMO'!$I$13:$I$4248, "NO", 0, -1),
    IF(_xlpm.resultado=0, "NO", _xlpm.resultado)
)</f>
        <v>NO</v>
      </c>
      <c r="Q438" s="11" t="str">
        <f t="shared" ca="1" si="34"/>
        <v>Pendiente</v>
      </c>
      <c r="R438" s="96" t="s">
        <v>1343</v>
      </c>
      <c r="S438" s="11" t="s">
        <v>1232</v>
      </c>
      <c r="T438" s="11" t="str">
        <f t="shared" si="35"/>
        <v>NO</v>
      </c>
      <c r="U438" s="11"/>
      <c r="V438" s="146" t="s">
        <v>126</v>
      </c>
      <c r="W438" s="29"/>
      <c r="X438" s="129"/>
      <c r="Y438" s="11"/>
      <c r="Z438" s="11"/>
      <c r="AA438" s="11"/>
      <c r="AB438" s="11"/>
      <c r="AC438" s="11"/>
      <c r="AD438" s="11"/>
      <c r="AE438" s="11"/>
      <c r="AF438" s="11"/>
      <c r="AG438" s="98"/>
      <c r="AH438" s="11" t="s">
        <v>32</v>
      </c>
    </row>
    <row r="439" spans="1:34" x14ac:dyDescent="0.3">
      <c r="A439" s="7" t="str">
        <f t="shared" si="31"/>
        <v>TR-1438</v>
      </c>
      <c r="B439" s="11" t="s">
        <v>1208</v>
      </c>
      <c r="C439" s="141" t="s">
        <v>1007</v>
      </c>
      <c r="D439" s="98">
        <v>35482</v>
      </c>
      <c r="E439" s="111">
        <f t="shared" ca="1" si="32"/>
        <v>29</v>
      </c>
      <c r="F439" s="132" t="s">
        <v>762</v>
      </c>
      <c r="G439" s="11" t="s">
        <v>253</v>
      </c>
      <c r="H439" s="140" t="s">
        <v>752</v>
      </c>
      <c r="I439" s="140" t="s">
        <v>753</v>
      </c>
      <c r="J439" s="132"/>
      <c r="K439" s="11"/>
      <c r="L439" s="142">
        <v>46023</v>
      </c>
      <c r="M439" s="96" t="str" cm="1">
        <f t="array" ref="M439">_xlfn.XLOOKUP(B439&amp;"", 'Registro EMO'!$C$13:$C$4248&amp;"", 'Registro EMO'!$F$13:$F$4248, "Sin registro", 0, -1)</f>
        <v>Sin registro</v>
      </c>
      <c r="N439" s="11" t="str" cm="1">
        <f t="array" ref="N439">_xlfn.XLOOKUP(B439&amp;"", 'Registro EMO'!$C$13:$C$4248&amp;"", 'Registro EMO'!$E$13:$E$4248, "Sin registro", 0, -1)</f>
        <v>Sin registro</v>
      </c>
      <c r="O439" s="11" t="str">
        <f t="shared" si="33"/>
        <v>NO</v>
      </c>
      <c r="P439" s="130" t="str" cm="1">
        <f t="array" ref="P439">_xlfn.LET(
    _xlpm.resultado, _xlfn.XLOOKUP(B439&amp;"", 'Registro EMO'!$C$13:$C$4248&amp;"", 'Registro EMO'!$I$13:$I$4248, "NO", 0, -1),
    IF(_xlpm.resultado=0, "NO", _xlpm.resultado)
)</f>
        <v>NO</v>
      </c>
      <c r="Q439" s="11" t="str">
        <f t="shared" ca="1" si="34"/>
        <v>Pendiente</v>
      </c>
      <c r="R439" s="96"/>
      <c r="S439" s="11"/>
      <c r="T439" s="11" t="str">
        <f t="shared" si="35"/>
        <v/>
      </c>
      <c r="U439" s="11"/>
      <c r="V439" s="146"/>
      <c r="W439" s="29"/>
      <c r="X439" s="129"/>
      <c r="Y439" s="11"/>
      <c r="Z439" s="11"/>
      <c r="AA439" s="11"/>
      <c r="AB439" s="11"/>
      <c r="AC439" s="11"/>
      <c r="AD439" s="11"/>
      <c r="AE439" s="11"/>
      <c r="AF439" s="11"/>
      <c r="AG439" s="98"/>
      <c r="AH439" s="11"/>
    </row>
    <row r="440" spans="1:34" x14ac:dyDescent="0.3">
      <c r="A440" s="7" t="str">
        <f t="shared" si="31"/>
        <v>TR-1439</v>
      </c>
      <c r="B440" s="11" t="s">
        <v>1209</v>
      </c>
      <c r="C440" s="141" t="s">
        <v>1008</v>
      </c>
      <c r="D440" s="98">
        <v>33017</v>
      </c>
      <c r="E440" s="111">
        <f t="shared" ca="1" si="32"/>
        <v>35</v>
      </c>
      <c r="F440" s="132" t="s">
        <v>743</v>
      </c>
      <c r="G440" s="11" t="s">
        <v>253</v>
      </c>
      <c r="H440" s="140" t="s">
        <v>1218</v>
      </c>
      <c r="I440" s="140" t="s">
        <v>1221</v>
      </c>
      <c r="J440" s="132"/>
      <c r="K440" s="11"/>
      <c r="L440" s="142">
        <v>45901</v>
      </c>
      <c r="M440" s="96" t="str" cm="1">
        <f t="array" ref="M440">_xlfn.XLOOKUP(B440&amp;"", 'Registro EMO'!$C$13:$C$4248&amp;"", 'Registro EMO'!$F$13:$F$4248, "Sin registro", 0, -1)</f>
        <v>Sin registro</v>
      </c>
      <c r="N440" s="11" t="str" cm="1">
        <f t="array" ref="N440">_xlfn.XLOOKUP(B440&amp;"", 'Registro EMO'!$C$13:$C$4248&amp;"", 'Registro EMO'!$E$13:$E$4248, "Sin registro", 0, -1)</f>
        <v>Sin registro</v>
      </c>
      <c r="O440" s="11" t="str">
        <f t="shared" si="33"/>
        <v>NO</v>
      </c>
      <c r="P440" s="130" t="str" cm="1">
        <f t="array" ref="P440">_xlfn.LET(
    _xlpm.resultado, _xlfn.XLOOKUP(B440&amp;"", 'Registro EMO'!$C$13:$C$4248&amp;"", 'Registro EMO'!$I$13:$I$4248, "NO", 0, -1),
    IF(_xlpm.resultado=0, "NO", _xlpm.resultado)
)</f>
        <v>NO</v>
      </c>
      <c r="Q440" s="11" t="str">
        <f t="shared" ca="1" si="34"/>
        <v>Pendiente</v>
      </c>
      <c r="R440" s="96" t="s">
        <v>1345</v>
      </c>
      <c r="S440" s="11" t="s">
        <v>1232</v>
      </c>
      <c r="T440" s="11" t="str">
        <f t="shared" si="35"/>
        <v>NO</v>
      </c>
      <c r="U440" s="11"/>
      <c r="V440" s="146" t="s">
        <v>126</v>
      </c>
      <c r="W440" s="29"/>
      <c r="X440" s="129"/>
      <c r="Y440" s="11"/>
      <c r="Z440" s="11"/>
      <c r="AA440" s="11"/>
      <c r="AB440" s="11"/>
      <c r="AC440" s="11"/>
      <c r="AD440" s="11"/>
      <c r="AE440" s="11"/>
      <c r="AF440" s="11"/>
      <c r="AG440" s="98"/>
      <c r="AH440" s="11" t="s">
        <v>32</v>
      </c>
    </row>
    <row r="441" spans="1:34" x14ac:dyDescent="0.3">
      <c r="A441" s="7" t="str">
        <f t="shared" si="31"/>
        <v>TR-1440</v>
      </c>
      <c r="B441" s="11" t="s">
        <v>1210</v>
      </c>
      <c r="C441" s="141" t="s">
        <v>1009</v>
      </c>
      <c r="D441" s="98">
        <v>33056</v>
      </c>
      <c r="E441" s="111">
        <f t="shared" ca="1" si="32"/>
        <v>35</v>
      </c>
      <c r="F441" s="132" t="s">
        <v>743</v>
      </c>
      <c r="G441" s="11" t="s">
        <v>253</v>
      </c>
      <c r="H441" s="140" t="s">
        <v>1218</v>
      </c>
      <c r="I441" s="140" t="s">
        <v>1219</v>
      </c>
      <c r="J441" s="132"/>
      <c r="K441" s="11"/>
      <c r="L441" s="142">
        <v>45910</v>
      </c>
      <c r="M441" s="96" t="str" cm="1">
        <f t="array" ref="M441">_xlfn.XLOOKUP(B441&amp;"", 'Registro EMO'!$C$13:$C$4248&amp;"", 'Registro EMO'!$F$13:$F$4248, "Sin registro", 0, -1)</f>
        <v>Sin registro</v>
      </c>
      <c r="N441" s="11" t="str" cm="1">
        <f t="array" ref="N441">_xlfn.XLOOKUP(B441&amp;"", 'Registro EMO'!$C$13:$C$4248&amp;"", 'Registro EMO'!$E$13:$E$4248, "Sin registro", 0, -1)</f>
        <v>Sin registro</v>
      </c>
      <c r="O441" s="11" t="str">
        <f t="shared" si="33"/>
        <v>NO</v>
      </c>
      <c r="P441" s="130" t="str" cm="1">
        <f t="array" ref="P441">_xlfn.LET(
    _xlpm.resultado, _xlfn.XLOOKUP(B441&amp;"", 'Registro EMO'!$C$13:$C$4248&amp;"", 'Registro EMO'!$I$13:$I$4248, "NO", 0, -1),
    IF(_xlpm.resultado=0, "NO", _xlpm.resultado)
)</f>
        <v>NO</v>
      </c>
      <c r="Q441" s="11" t="str">
        <f t="shared" ca="1" si="34"/>
        <v>Pendiente</v>
      </c>
      <c r="R441" s="96"/>
      <c r="S441" s="11"/>
      <c r="T441" s="11" t="str">
        <f t="shared" si="35"/>
        <v/>
      </c>
      <c r="U441" s="11"/>
      <c r="V441" s="146"/>
      <c r="W441" s="29"/>
      <c r="X441" s="129"/>
      <c r="Y441" s="11"/>
      <c r="Z441" s="11"/>
      <c r="AA441" s="11"/>
      <c r="AB441" s="11"/>
      <c r="AC441" s="11"/>
      <c r="AD441" s="11"/>
      <c r="AE441" s="11"/>
      <c r="AF441" s="11"/>
      <c r="AG441" s="98"/>
      <c r="AH441" s="11"/>
    </row>
    <row r="442" spans="1:34" x14ac:dyDescent="0.3">
      <c r="A442" s="7" t="str">
        <f t="shared" si="31"/>
        <v>TR-1441</v>
      </c>
      <c r="B442" s="11" t="s">
        <v>1211</v>
      </c>
      <c r="C442" s="141" t="s">
        <v>1010</v>
      </c>
      <c r="D442" s="98">
        <v>34287</v>
      </c>
      <c r="E442" s="111">
        <f t="shared" ca="1" si="32"/>
        <v>32</v>
      </c>
      <c r="F442" s="132" t="s">
        <v>743</v>
      </c>
      <c r="G442" s="11" t="s">
        <v>253</v>
      </c>
      <c r="H442" s="140" t="s">
        <v>1218</v>
      </c>
      <c r="I442" s="140" t="s">
        <v>1221</v>
      </c>
      <c r="J442" s="132"/>
      <c r="K442" s="11"/>
      <c r="L442" s="142">
        <v>45352</v>
      </c>
      <c r="M442" s="96" t="str" cm="1">
        <f t="array" ref="M442">_xlfn.XLOOKUP(B442&amp;"", 'Registro EMO'!$C$13:$C$4248&amp;"", 'Registro EMO'!$F$13:$F$4248, "Sin registro", 0, -1)</f>
        <v>Sin registro</v>
      </c>
      <c r="N442" s="11" t="str" cm="1">
        <f t="array" ref="N442">_xlfn.XLOOKUP(B442&amp;"", 'Registro EMO'!$C$13:$C$4248&amp;"", 'Registro EMO'!$E$13:$E$4248, "Sin registro", 0, -1)</f>
        <v>Sin registro</v>
      </c>
      <c r="O442" s="11" t="str">
        <f t="shared" si="33"/>
        <v>NO</v>
      </c>
      <c r="P442" s="130" t="str" cm="1">
        <f t="array" ref="P442">_xlfn.LET(
    _xlpm.resultado, _xlfn.XLOOKUP(B442&amp;"", 'Registro EMO'!$C$13:$C$4248&amp;"", 'Registro EMO'!$I$13:$I$4248, "NO", 0, -1),
    IF(_xlpm.resultado=0, "NO", _xlpm.resultado)
)</f>
        <v>NO</v>
      </c>
      <c r="Q442" s="11" t="str">
        <f t="shared" ca="1" si="34"/>
        <v>Pendiente</v>
      </c>
      <c r="R442" s="96" t="s">
        <v>1346</v>
      </c>
      <c r="S442" s="11" t="s">
        <v>1232</v>
      </c>
      <c r="T442" s="11" t="str">
        <f t="shared" si="35"/>
        <v>NO</v>
      </c>
      <c r="U442" s="11"/>
      <c r="V442" s="146" t="s">
        <v>126</v>
      </c>
      <c r="W442" s="29"/>
      <c r="X442" s="129"/>
      <c r="Y442" s="11"/>
      <c r="Z442" s="11"/>
      <c r="AA442" s="11"/>
      <c r="AB442" s="11"/>
      <c r="AC442" s="11"/>
      <c r="AD442" s="11"/>
      <c r="AE442" s="11"/>
      <c r="AF442" s="11"/>
      <c r="AG442" s="98"/>
      <c r="AH442" s="11" t="s">
        <v>32</v>
      </c>
    </row>
    <row r="443" spans="1:34" x14ac:dyDescent="0.3">
      <c r="A443" s="7" t="str">
        <f t="shared" si="31"/>
        <v>TR-1442</v>
      </c>
      <c r="B443" s="11" t="s">
        <v>1212</v>
      </c>
      <c r="C443" s="141" t="s">
        <v>1011</v>
      </c>
      <c r="D443" s="98">
        <v>35253</v>
      </c>
      <c r="E443" s="111">
        <f t="shared" ca="1" si="32"/>
        <v>29</v>
      </c>
      <c r="F443" s="132" t="s">
        <v>762</v>
      </c>
      <c r="G443" s="11" t="s">
        <v>253</v>
      </c>
      <c r="H443" s="140" t="s">
        <v>1218</v>
      </c>
      <c r="I443" s="140" t="s">
        <v>1221</v>
      </c>
      <c r="J443" s="132"/>
      <c r="K443" s="11"/>
      <c r="L443" s="142">
        <v>45461</v>
      </c>
      <c r="M443" s="96" t="str" cm="1">
        <f t="array" ref="M443">_xlfn.XLOOKUP(B443&amp;"", 'Registro EMO'!$C$13:$C$4248&amp;"", 'Registro EMO'!$F$13:$F$4248, "Sin registro", 0, -1)</f>
        <v>Sin registro</v>
      </c>
      <c r="N443" s="11" t="str" cm="1">
        <f t="array" ref="N443">_xlfn.XLOOKUP(B443&amp;"", 'Registro EMO'!$C$13:$C$4248&amp;"", 'Registro EMO'!$E$13:$E$4248, "Sin registro", 0, -1)</f>
        <v>Sin registro</v>
      </c>
      <c r="O443" s="11" t="str">
        <f t="shared" si="33"/>
        <v>NO</v>
      </c>
      <c r="P443" s="130" t="str" cm="1">
        <f t="array" ref="P443">_xlfn.LET(
    _xlpm.resultado, _xlfn.XLOOKUP(B443&amp;"", 'Registro EMO'!$C$13:$C$4248&amp;"", 'Registro EMO'!$I$13:$I$4248, "NO", 0, -1),
    IF(_xlpm.resultado=0, "NO", _xlpm.resultado)
)</f>
        <v>NO</v>
      </c>
      <c r="Q443" s="11" t="str">
        <f t="shared" ca="1" si="34"/>
        <v>Pendiente</v>
      </c>
      <c r="R443" s="96"/>
      <c r="S443" s="11"/>
      <c r="T443" s="11" t="str">
        <f t="shared" si="35"/>
        <v/>
      </c>
      <c r="U443" s="11"/>
      <c r="V443" s="146"/>
      <c r="W443" s="29"/>
      <c r="X443" s="129"/>
      <c r="Y443" s="11"/>
      <c r="Z443" s="11"/>
      <c r="AA443" s="11"/>
      <c r="AB443" s="11"/>
      <c r="AC443" s="11"/>
      <c r="AD443" s="11"/>
      <c r="AE443" s="11"/>
      <c r="AF443" s="11"/>
      <c r="AG443" s="98"/>
      <c r="AH443" s="11"/>
    </row>
    <row r="444" spans="1:34" x14ac:dyDescent="0.3">
      <c r="A444" s="7" t="str">
        <f t="shared" si="31"/>
        <v>TR-1443</v>
      </c>
      <c r="B444" s="11" t="s">
        <v>1213</v>
      </c>
      <c r="C444" s="141" t="s">
        <v>1012</v>
      </c>
      <c r="D444" s="98">
        <v>33882</v>
      </c>
      <c r="E444" s="111">
        <f t="shared" ca="1" si="32"/>
        <v>33</v>
      </c>
      <c r="F444" s="132" t="s">
        <v>762</v>
      </c>
      <c r="G444" s="11" t="s">
        <v>253</v>
      </c>
      <c r="H444" s="140" t="s">
        <v>1218</v>
      </c>
      <c r="I444" s="140" t="s">
        <v>1221</v>
      </c>
      <c r="J444" s="132"/>
      <c r="K444" s="11"/>
      <c r="L444" s="142">
        <v>45918</v>
      </c>
      <c r="M444" s="96" t="str" cm="1">
        <f t="array" ref="M444">_xlfn.XLOOKUP(B444&amp;"", 'Registro EMO'!$C$13:$C$4248&amp;"", 'Registro EMO'!$F$13:$F$4248, "Sin registro", 0, -1)</f>
        <v>Sin registro</v>
      </c>
      <c r="N444" s="11" t="str" cm="1">
        <f t="array" ref="N444">_xlfn.XLOOKUP(B444&amp;"", 'Registro EMO'!$C$13:$C$4248&amp;"", 'Registro EMO'!$E$13:$E$4248, "Sin registro", 0, -1)</f>
        <v>Sin registro</v>
      </c>
      <c r="O444" s="11" t="str">
        <f t="shared" si="33"/>
        <v>NO</v>
      </c>
      <c r="P444" s="130" t="str" cm="1">
        <f t="array" ref="P444">_xlfn.LET(
    _xlpm.resultado, _xlfn.XLOOKUP(B444&amp;"", 'Registro EMO'!$C$13:$C$4248&amp;"", 'Registro EMO'!$I$13:$I$4248, "NO", 0, -1),
    IF(_xlpm.resultado=0, "NO", _xlpm.resultado)
)</f>
        <v>NO</v>
      </c>
      <c r="Q444" s="11" t="str">
        <f t="shared" ca="1" si="34"/>
        <v>Pendiente</v>
      </c>
      <c r="R444" s="96" t="s">
        <v>1289</v>
      </c>
      <c r="S444" s="11" t="s">
        <v>1232</v>
      </c>
      <c r="T444" s="11" t="str">
        <f t="shared" si="35"/>
        <v>NO</v>
      </c>
      <c r="U444" s="11"/>
      <c r="V444" s="146" t="s">
        <v>126</v>
      </c>
      <c r="W444" s="29"/>
      <c r="X444" s="129"/>
      <c r="Y444" s="11"/>
      <c r="Z444" s="11"/>
      <c r="AA444" s="11"/>
      <c r="AB444" s="11"/>
      <c r="AC444" s="11"/>
      <c r="AD444" s="11"/>
      <c r="AE444" s="11"/>
      <c r="AF444" s="11"/>
      <c r="AG444" s="98"/>
      <c r="AH444" s="11" t="s">
        <v>32</v>
      </c>
    </row>
    <row r="445" spans="1:34" x14ac:dyDescent="0.3">
      <c r="A445" s="7" t="str">
        <f t="shared" si="31"/>
        <v>TR-1444</v>
      </c>
      <c r="B445" s="11" t="s">
        <v>1214</v>
      </c>
      <c r="C445" s="141" t="s">
        <v>1013</v>
      </c>
      <c r="D445" s="98">
        <v>27968</v>
      </c>
      <c r="E445" s="111">
        <f t="shared" ca="1" si="32"/>
        <v>49</v>
      </c>
      <c r="F445" s="132" t="s">
        <v>743</v>
      </c>
      <c r="G445" s="11" t="s">
        <v>253</v>
      </c>
      <c r="H445" s="140" t="s">
        <v>1218</v>
      </c>
      <c r="I445" s="140" t="s">
        <v>1220</v>
      </c>
      <c r="J445" s="132"/>
      <c r="K445" s="11"/>
      <c r="L445" s="142">
        <v>44013</v>
      </c>
      <c r="M445" s="96" t="str" cm="1">
        <f t="array" ref="M445">_xlfn.XLOOKUP(B445&amp;"", 'Registro EMO'!$C$13:$C$4248&amp;"", 'Registro EMO'!$F$13:$F$4248, "Sin registro", 0, -1)</f>
        <v>Sin registro</v>
      </c>
      <c r="N445" s="11" t="str" cm="1">
        <f t="array" ref="N445">_xlfn.XLOOKUP(B445&amp;"", 'Registro EMO'!$C$13:$C$4248&amp;"", 'Registro EMO'!$E$13:$E$4248, "Sin registro", 0, -1)</f>
        <v>Sin registro</v>
      </c>
      <c r="O445" s="11" t="str">
        <f t="shared" si="33"/>
        <v>NO</v>
      </c>
      <c r="P445" s="130" t="str" cm="1">
        <f t="array" ref="P445">_xlfn.LET(
    _xlpm.resultado, _xlfn.XLOOKUP(B445&amp;"", 'Registro EMO'!$C$13:$C$4248&amp;"", 'Registro EMO'!$I$13:$I$4248, "NO", 0, -1),
    IF(_xlpm.resultado=0, "NO", _xlpm.resultado)
)</f>
        <v>NO</v>
      </c>
      <c r="Q445" s="11" t="str">
        <f t="shared" ca="1" si="34"/>
        <v>Pendiente</v>
      </c>
      <c r="R445" s="96" t="s">
        <v>1322</v>
      </c>
      <c r="S445" s="11" t="s">
        <v>1232</v>
      </c>
      <c r="T445" s="11" t="str">
        <f t="shared" si="35"/>
        <v>NO</v>
      </c>
      <c r="U445" s="11"/>
      <c r="V445" s="146" t="s">
        <v>126</v>
      </c>
      <c r="W445" s="29"/>
      <c r="X445" s="129"/>
      <c r="Y445" s="11"/>
      <c r="Z445" s="11"/>
      <c r="AA445" s="11"/>
      <c r="AB445" s="11"/>
      <c r="AC445" s="11"/>
      <c r="AD445" s="11"/>
      <c r="AE445" s="11"/>
      <c r="AF445" s="11"/>
      <c r="AG445" s="98"/>
      <c r="AH445" s="11" t="s">
        <v>32</v>
      </c>
    </row>
    <row r="446" spans="1:34" x14ac:dyDescent="0.3">
      <c r="A446" s="7" t="str">
        <f t="shared" si="31"/>
        <v>TR-1445</v>
      </c>
      <c r="B446" s="11" t="s">
        <v>1215</v>
      </c>
      <c r="C446" s="141" t="s">
        <v>1014</v>
      </c>
      <c r="D446" s="98">
        <v>38718</v>
      </c>
      <c r="E446" s="111">
        <f t="shared" ca="1" si="32"/>
        <v>20</v>
      </c>
      <c r="F446" s="132" t="s">
        <v>762</v>
      </c>
      <c r="G446" s="11" t="s">
        <v>253</v>
      </c>
      <c r="H446" s="140" t="s">
        <v>1218</v>
      </c>
      <c r="I446" s="140" t="s">
        <v>1221</v>
      </c>
      <c r="J446" s="132"/>
      <c r="K446" s="11"/>
      <c r="L446" s="142">
        <v>45300</v>
      </c>
      <c r="M446" s="96" t="str" cm="1">
        <f t="array" ref="M446">_xlfn.XLOOKUP(B446&amp;"", 'Registro EMO'!$C$13:$C$4248&amp;"", 'Registro EMO'!$F$13:$F$4248, "Sin registro", 0, -1)</f>
        <v>Sin registro</v>
      </c>
      <c r="N446" s="11" t="str" cm="1">
        <f t="array" ref="N446">_xlfn.XLOOKUP(B446&amp;"", 'Registro EMO'!$C$13:$C$4248&amp;"", 'Registro EMO'!$E$13:$E$4248, "Sin registro", 0, -1)</f>
        <v>Sin registro</v>
      </c>
      <c r="O446" s="11" t="str">
        <f t="shared" si="33"/>
        <v>NO</v>
      </c>
      <c r="P446" s="130" t="str" cm="1">
        <f t="array" ref="P446">_xlfn.LET(
    _xlpm.resultado, _xlfn.XLOOKUP(B446&amp;"", 'Registro EMO'!$C$13:$C$4248&amp;"", 'Registro EMO'!$I$13:$I$4248, "NO", 0, -1),
    IF(_xlpm.resultado=0, "NO", _xlpm.resultado)
)</f>
        <v>NO</v>
      </c>
      <c r="Q446" s="11" t="str">
        <f t="shared" ca="1" si="34"/>
        <v>Pendiente</v>
      </c>
      <c r="R446" s="96" t="s">
        <v>1281</v>
      </c>
      <c r="S446" s="11" t="s">
        <v>1232</v>
      </c>
      <c r="T446" s="11" t="str">
        <f t="shared" si="35"/>
        <v>NO</v>
      </c>
      <c r="U446" s="11"/>
      <c r="V446" s="146" t="s">
        <v>126</v>
      </c>
      <c r="W446" s="29"/>
      <c r="X446" s="129"/>
      <c r="Y446" s="11"/>
      <c r="Z446" s="11"/>
      <c r="AA446" s="11"/>
      <c r="AB446" s="11"/>
      <c r="AC446" s="11"/>
      <c r="AD446" s="11"/>
      <c r="AE446" s="11"/>
      <c r="AF446" s="11"/>
      <c r="AG446" s="98"/>
      <c r="AH446" s="11" t="s">
        <v>32</v>
      </c>
    </row>
    <row r="447" spans="1:34" x14ac:dyDescent="0.3">
      <c r="A447" s="7" t="str">
        <f t="shared" si="31"/>
        <v>TR-1446</v>
      </c>
      <c r="B447" s="11" t="s">
        <v>1216</v>
      </c>
      <c r="C447" s="141" t="s">
        <v>1015</v>
      </c>
      <c r="D447" s="98">
        <v>39051</v>
      </c>
      <c r="E447" s="111">
        <f t="shared" ca="1" si="32"/>
        <v>19</v>
      </c>
      <c r="F447" s="132" t="s">
        <v>743</v>
      </c>
      <c r="G447" s="11" t="s">
        <v>253</v>
      </c>
      <c r="H447" s="140" t="s">
        <v>1218</v>
      </c>
      <c r="I447" s="140" t="s">
        <v>1221</v>
      </c>
      <c r="J447" s="132"/>
      <c r="K447" s="11"/>
      <c r="L447" s="142">
        <v>46064</v>
      </c>
      <c r="M447" s="96" t="str" cm="1">
        <f t="array" ref="M447">_xlfn.XLOOKUP(B447&amp;"", 'Registro EMO'!$C$13:$C$4248&amp;"", 'Registro EMO'!$F$13:$F$4248, "Sin registro", 0, -1)</f>
        <v>Sin registro</v>
      </c>
      <c r="N447" s="11" t="str" cm="1">
        <f t="array" ref="N447">_xlfn.XLOOKUP(B447&amp;"", 'Registro EMO'!$C$13:$C$4248&amp;"", 'Registro EMO'!$E$13:$E$4248, "Sin registro", 0, -1)</f>
        <v>Sin registro</v>
      </c>
      <c r="O447" s="11" t="str">
        <f t="shared" si="33"/>
        <v>NO</v>
      </c>
      <c r="P447" s="130" t="str" cm="1">
        <f t="array" ref="P447">_xlfn.LET(
    _xlpm.resultado, _xlfn.XLOOKUP(B447&amp;"", 'Registro EMO'!$C$13:$C$4248&amp;"", 'Registro EMO'!$I$13:$I$4248, "NO", 0, -1),
    IF(_xlpm.resultado=0, "NO", _xlpm.resultado)
)</f>
        <v>NO</v>
      </c>
      <c r="Q447" s="11" t="str">
        <f t="shared" ca="1" si="34"/>
        <v>Pendiente</v>
      </c>
      <c r="R447" s="96"/>
      <c r="S447" s="11"/>
      <c r="T447" s="11" t="str">
        <f t="shared" si="35"/>
        <v/>
      </c>
      <c r="U447" s="11"/>
      <c r="V447" s="146"/>
      <c r="W447" s="29"/>
      <c r="X447" s="129"/>
      <c r="Y447" s="11"/>
      <c r="Z447" s="11"/>
      <c r="AA447" s="11"/>
      <c r="AB447" s="11"/>
      <c r="AC447" s="11"/>
      <c r="AD447" s="11"/>
      <c r="AE447" s="11"/>
      <c r="AF447" s="11"/>
      <c r="AG447" s="98"/>
      <c r="AH447" s="11"/>
    </row>
    <row r="448" spans="1:34" x14ac:dyDescent="0.3">
      <c r="A448" s="7" t="str">
        <f t="shared" si="31"/>
        <v>TR-1447</v>
      </c>
      <c r="B448" s="11" t="s">
        <v>1217</v>
      </c>
      <c r="C448" s="141" t="s">
        <v>1016</v>
      </c>
      <c r="D448" s="98">
        <v>35516</v>
      </c>
      <c r="E448" s="111">
        <f t="shared" ca="1" si="32"/>
        <v>28</v>
      </c>
      <c r="F448" s="132" t="s">
        <v>762</v>
      </c>
      <c r="G448" s="11" t="s">
        <v>253</v>
      </c>
      <c r="H448" s="140" t="s">
        <v>1218</v>
      </c>
      <c r="I448" s="140" t="s">
        <v>1221</v>
      </c>
      <c r="J448" s="132"/>
      <c r="K448" s="11"/>
      <c r="L448" s="142">
        <v>45062</v>
      </c>
      <c r="M448" s="96" t="str" cm="1">
        <f t="array" ref="M448">_xlfn.XLOOKUP(B448&amp;"", 'Registro EMO'!$C$13:$C$4248&amp;"", 'Registro EMO'!$F$13:$F$4248, "Sin registro", 0, -1)</f>
        <v>Sin registro</v>
      </c>
      <c r="N448" s="11" t="str" cm="1">
        <f t="array" ref="N448">_xlfn.XLOOKUP(B448&amp;"", 'Registro EMO'!$C$13:$C$4248&amp;"", 'Registro EMO'!$E$13:$E$4248, "Sin registro", 0, -1)</f>
        <v>Sin registro</v>
      </c>
      <c r="O448" s="11" t="str">
        <f t="shared" si="33"/>
        <v>NO</v>
      </c>
      <c r="P448" s="130" t="str" cm="1">
        <f t="array" ref="P448">_xlfn.LET(
    _xlpm.resultado, _xlfn.XLOOKUP(B448&amp;"", 'Registro EMO'!$C$13:$C$4248&amp;"", 'Registro EMO'!$I$13:$I$4248, "NO", 0, -1),
    IF(_xlpm.resultado=0, "NO", _xlpm.resultado)
)</f>
        <v>NO</v>
      </c>
      <c r="Q448" s="11" t="str">
        <f t="shared" ca="1" si="34"/>
        <v>Pendiente</v>
      </c>
      <c r="R448" s="96" t="s">
        <v>1322</v>
      </c>
      <c r="S448" s="11" t="s">
        <v>1232</v>
      </c>
      <c r="T448" s="11" t="str">
        <f t="shared" si="35"/>
        <v>NO</v>
      </c>
      <c r="U448" s="11"/>
      <c r="V448" s="146" t="s">
        <v>126</v>
      </c>
      <c r="W448" s="29"/>
      <c r="X448" s="129"/>
      <c r="Y448" s="11"/>
      <c r="Z448" s="11"/>
      <c r="AA448" s="11"/>
      <c r="AB448" s="11"/>
      <c r="AC448" s="11"/>
      <c r="AD448" s="11"/>
      <c r="AE448" s="11"/>
      <c r="AF448" s="11"/>
      <c r="AG448" s="98"/>
      <c r="AH448" s="11" t="s">
        <v>32</v>
      </c>
    </row>
    <row r="449" spans="1:34" hidden="1" x14ac:dyDescent="0.3">
      <c r="A449" s="7" t="str">
        <f t="shared" si="31"/>
        <v>TR-1448</v>
      </c>
      <c r="B449" s="11" t="s">
        <v>1230</v>
      </c>
      <c r="C449" s="141" t="s">
        <v>1228</v>
      </c>
      <c r="D449" s="147">
        <v>39173</v>
      </c>
      <c r="E449" s="111">
        <f t="shared" ca="1" si="32"/>
        <v>18</v>
      </c>
      <c r="F449" s="132" t="s">
        <v>743</v>
      </c>
      <c r="G449" s="11" t="s">
        <v>254</v>
      </c>
      <c r="H449" s="140" t="s">
        <v>746</v>
      </c>
      <c r="I449" s="140" t="s">
        <v>751</v>
      </c>
      <c r="J449" s="132"/>
      <c r="K449" s="11"/>
      <c r="L449" s="145">
        <v>46059</v>
      </c>
      <c r="M449" s="96" t="str" cm="1">
        <f t="array" ref="M449">_xlfn.XLOOKUP(B449&amp;"", 'Registro EMO'!$C$13:$C$4248&amp;"", 'Registro EMO'!$F$13:$F$4248, "Sin registro", 0, -1)</f>
        <v>Sin registro</v>
      </c>
      <c r="N449" s="11" t="str" cm="1">
        <f t="array" ref="N449">_xlfn.XLOOKUP(B449&amp;"", 'Registro EMO'!$C$13:$C$4248&amp;"", 'Registro EMO'!$E$13:$E$4248, "Sin registro", 0, -1)</f>
        <v>Sin registro</v>
      </c>
      <c r="O449" s="11" t="str">
        <f t="shared" si="33"/>
        <v>NO</v>
      </c>
      <c r="P449" s="130" t="str" cm="1">
        <f t="array" ref="P449">_xlfn.LET(
    _xlpm.resultado, _xlfn.XLOOKUP(B449&amp;"", 'Registro EMO'!$C$13:$C$4248&amp;"", 'Registro EMO'!$I$13:$I$4248, "NO", 0, -1),
    IF(_xlpm.resultado=0, "NO", _xlpm.resultado)
)</f>
        <v>NO</v>
      </c>
      <c r="Q449" s="11" t="str">
        <f t="shared" ca="1" si="34"/>
        <v>Pendiente</v>
      </c>
      <c r="R449" s="96"/>
      <c r="S449" s="11"/>
      <c r="T449" s="11" t="str">
        <f t="shared" si="35"/>
        <v/>
      </c>
      <c r="U449" s="11"/>
      <c r="V449" s="146"/>
      <c r="W449" s="29"/>
      <c r="X449" s="129"/>
      <c r="Y449" s="11"/>
      <c r="Z449" s="11"/>
      <c r="AA449" s="11"/>
      <c r="AB449" s="11"/>
      <c r="AC449" s="11"/>
      <c r="AD449" s="11"/>
      <c r="AE449" s="11"/>
      <c r="AF449" s="11"/>
      <c r="AG449" s="98"/>
      <c r="AH449" s="11"/>
    </row>
    <row r="450" spans="1:34" hidden="1" x14ac:dyDescent="0.3">
      <c r="A450" s="7" t="str">
        <f t="shared" ref="A450" si="36">IF(B450&lt;&gt;"", "TR-" &amp; TEXT(1000 + ROW(A450) - 1, "0000"), "")</f>
        <v>TR-1449</v>
      </c>
      <c r="B450" s="11" t="s">
        <v>539</v>
      </c>
      <c r="C450" s="141" t="s">
        <v>1229</v>
      </c>
      <c r="D450" s="147">
        <v>31005</v>
      </c>
      <c r="E450" s="111">
        <f t="shared" ref="E450" ca="1" si="37">IF(D450&lt;&gt;"", DATEDIF(D450, TODAY(), "y"), "")</f>
        <v>41</v>
      </c>
      <c r="F450" s="132" t="s">
        <v>743</v>
      </c>
      <c r="G450" s="11" t="s">
        <v>254</v>
      </c>
      <c r="H450" s="140" t="s">
        <v>746</v>
      </c>
      <c r="I450" s="140" t="s">
        <v>747</v>
      </c>
      <c r="J450" s="132"/>
      <c r="K450" s="11"/>
      <c r="L450" s="145">
        <v>44409</v>
      </c>
      <c r="M450" s="96" t="str" cm="1">
        <f t="array" ref="M450">_xlfn.XLOOKUP(B450&amp;"", 'Registro EMO'!$C$13:$C$4248&amp;"", 'Registro EMO'!$F$13:$F$4248, "Sin registro", 0, -1)</f>
        <v>Sin registro</v>
      </c>
      <c r="N450" s="11" t="str" cm="1">
        <f t="array" ref="N450">_xlfn.XLOOKUP(B450&amp;"", 'Registro EMO'!$C$13:$C$4248&amp;"", 'Registro EMO'!$E$13:$E$4248, "Sin registro", 0, -1)</f>
        <v>Sin registro</v>
      </c>
      <c r="O450" s="11" t="str">
        <f t="shared" ref="O450" si="38">IF(P450="NO", "NO", "SI")</f>
        <v>NO</v>
      </c>
      <c r="P450" s="130" t="str" cm="1">
        <f t="array" ref="P450">_xlfn.LET(
    _xlpm.resultado, _xlfn.XLOOKUP(B450&amp;"", 'Registro EMO'!$C$13:$C$4248&amp;"", 'Registro EMO'!$I$13:$I$4248, "NO", 0, -1),
    IF(_xlpm.resultado=0, "NO", _xlpm.resultado)
)</f>
        <v>NO</v>
      </c>
      <c r="Q450" s="11" t="str">
        <f t="shared" ca="1" si="34"/>
        <v>Pendiente</v>
      </c>
      <c r="R450" s="96"/>
      <c r="S450" s="11"/>
      <c r="T450" s="11" t="str">
        <f t="shared" ref="T450" si="39">IF(R450="", "", IF(U450="", "NO", "SI"))</f>
        <v/>
      </c>
      <c r="U450" s="11"/>
      <c r="V450" s="11" t="s">
        <v>796</v>
      </c>
      <c r="W450" s="29"/>
      <c r="X450" s="129"/>
      <c r="Y450" s="11"/>
      <c r="Z450" s="11"/>
      <c r="AA450" s="11"/>
      <c r="AB450" s="11"/>
      <c r="AC450" s="11"/>
      <c r="AD450" s="11"/>
      <c r="AE450" s="11"/>
      <c r="AF450" s="11"/>
      <c r="AG450" s="98"/>
      <c r="AH450" s="11" t="s">
        <v>32</v>
      </c>
    </row>
    <row r="451" spans="1:34" x14ac:dyDescent="0.3">
      <c r="A451"/>
      <c r="B451" s="25"/>
      <c r="C451" s="192"/>
      <c r="D451" s="25"/>
      <c r="E451"/>
      <c r="F451"/>
      <c r="G451"/>
      <c r="H451"/>
      <c r="I451"/>
      <c r="J451"/>
      <c r="K451"/>
      <c r="L451"/>
      <c r="M451"/>
      <c r="N451"/>
      <c r="O451"/>
      <c r="P451" s="193"/>
      <c r="Q451"/>
      <c r="R451"/>
      <c r="V451"/>
      <c r="W451"/>
      <c r="X451"/>
      <c r="AG451"/>
    </row>
    <row r="452" spans="1:34" x14ac:dyDescent="0.3">
      <c r="A452"/>
      <c r="B452" s="25"/>
      <c r="C452" s="25"/>
      <c r="D452" s="25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V452"/>
      <c r="W452"/>
      <c r="X452"/>
      <c r="AG452"/>
    </row>
    <row r="453" spans="1:34" x14ac:dyDescent="0.3">
      <c r="A453"/>
      <c r="B453" s="25"/>
      <c r="C453" s="25"/>
      <c r="D453" s="25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V453"/>
      <c r="W453"/>
      <c r="X453"/>
      <c r="AG453"/>
    </row>
    <row r="454" spans="1:34" x14ac:dyDescent="0.3">
      <c r="A454"/>
      <c r="B454" s="25"/>
      <c r="C454" s="25"/>
      <c r="D454" s="25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V454"/>
      <c r="W454"/>
      <c r="X454"/>
      <c r="AG454"/>
    </row>
    <row r="455" spans="1:34" x14ac:dyDescent="0.3">
      <c r="A455"/>
      <c r="B455" s="25"/>
      <c r="C455" s="25"/>
      <c r="D455" s="2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V455"/>
      <c r="W455"/>
      <c r="X455"/>
      <c r="AG455"/>
    </row>
    <row r="456" spans="1:34" x14ac:dyDescent="0.3">
      <c r="A456"/>
      <c r="B456" s="25"/>
      <c r="C456" s="25"/>
      <c r="D456" s="25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V456"/>
      <c r="W456"/>
      <c r="X456"/>
      <c r="AG456"/>
    </row>
    <row r="457" spans="1:34" x14ac:dyDescent="0.3">
      <c r="A457"/>
      <c r="B457" s="25"/>
      <c r="C457" s="25"/>
      <c r="D457" s="25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V457"/>
      <c r="W457"/>
      <c r="X457"/>
      <c r="AG457"/>
    </row>
    <row r="458" spans="1:34" x14ac:dyDescent="0.3">
      <c r="A458"/>
      <c r="B458" s="25"/>
      <c r="C458" s="25"/>
      <c r="D458" s="25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V458"/>
      <c r="W458"/>
      <c r="X458"/>
      <c r="AG458"/>
    </row>
    <row r="459" spans="1:34" x14ac:dyDescent="0.3">
      <c r="A459"/>
      <c r="B459" s="25"/>
      <c r="C459" s="25"/>
      <c r="D459" s="25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V459"/>
      <c r="W459"/>
      <c r="X459"/>
      <c r="AG459"/>
    </row>
    <row r="460" spans="1:34" x14ac:dyDescent="0.3">
      <c r="A460"/>
      <c r="B460" s="25"/>
      <c r="C460" s="25"/>
      <c r="D460" s="25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V460"/>
      <c r="W460"/>
      <c r="X460"/>
      <c r="AG460"/>
    </row>
    <row r="461" spans="1:34" x14ac:dyDescent="0.3">
      <c r="A461"/>
      <c r="B461" s="25"/>
      <c r="C461" s="25"/>
      <c r="D461" s="25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V461"/>
      <c r="W461"/>
      <c r="X461"/>
      <c r="AG461"/>
    </row>
    <row r="462" spans="1:34" x14ac:dyDescent="0.3">
      <c r="A462"/>
      <c r="B462" s="25"/>
      <c r="C462" s="25"/>
      <c r="D462" s="25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V462"/>
      <c r="W462"/>
      <c r="X462"/>
      <c r="AG462"/>
    </row>
    <row r="463" spans="1:34" x14ac:dyDescent="0.3">
      <c r="A463"/>
      <c r="B463" s="25"/>
      <c r="C463" s="25"/>
      <c r="D463" s="25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V463"/>
      <c r="W463"/>
      <c r="X463"/>
      <c r="AG463"/>
    </row>
    <row r="464" spans="1:34" x14ac:dyDescent="0.3">
      <c r="A464"/>
      <c r="B464" s="25"/>
      <c r="C464" s="25"/>
      <c r="D464" s="25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V464"/>
      <c r="W464"/>
      <c r="X464"/>
      <c r="AG464"/>
    </row>
    <row r="465" spans="2:16" customFormat="1" x14ac:dyDescent="0.3">
      <c r="B465" s="25"/>
      <c r="C465" s="25"/>
      <c r="D465" s="25"/>
    </row>
    <row r="466" spans="2:16" customFormat="1" x14ac:dyDescent="0.3">
      <c r="B466" s="25"/>
      <c r="C466" s="25"/>
      <c r="D466" s="25"/>
    </row>
    <row r="467" spans="2:16" customFormat="1" x14ac:dyDescent="0.3">
      <c r="B467" s="25"/>
      <c r="C467" s="148"/>
      <c r="D467" s="25"/>
      <c r="P467" s="149"/>
    </row>
    <row r="468" spans="2:16" customFormat="1" x14ac:dyDescent="0.3">
      <c r="B468" s="25"/>
      <c r="C468" s="25"/>
      <c r="D468" s="25"/>
    </row>
    <row r="469" spans="2:16" customFormat="1" x14ac:dyDescent="0.3">
      <c r="B469" s="25"/>
      <c r="C469" s="25"/>
      <c r="D469" s="25"/>
    </row>
    <row r="470" spans="2:16" customFormat="1" x14ac:dyDescent="0.3">
      <c r="B470" s="25"/>
      <c r="C470" s="25"/>
      <c r="D470" s="25"/>
    </row>
    <row r="471" spans="2:16" customFormat="1" x14ac:dyDescent="0.3">
      <c r="B471" s="25"/>
      <c r="C471" s="25"/>
      <c r="D471" s="25"/>
    </row>
    <row r="472" spans="2:16" customFormat="1" x14ac:dyDescent="0.3">
      <c r="B472" s="25"/>
      <c r="C472" s="25"/>
      <c r="D472" s="25"/>
    </row>
    <row r="473" spans="2:16" customFormat="1" x14ac:dyDescent="0.3">
      <c r="B473" s="25"/>
      <c r="C473" s="25"/>
      <c r="D473" s="25"/>
    </row>
    <row r="474" spans="2:16" customFormat="1" x14ac:dyDescent="0.3">
      <c r="B474" s="25"/>
      <c r="C474" s="25"/>
      <c r="D474" s="25"/>
    </row>
    <row r="475" spans="2:16" customFormat="1" x14ac:dyDescent="0.3">
      <c r="B475" s="25"/>
      <c r="C475" s="25"/>
      <c r="D475" s="25"/>
    </row>
    <row r="476" spans="2:16" customFormat="1" x14ac:dyDescent="0.3">
      <c r="B476" s="25"/>
      <c r="C476" s="25"/>
      <c r="D476" s="25"/>
    </row>
    <row r="477" spans="2:16" customFormat="1" x14ac:dyDescent="0.3">
      <c r="B477" s="25"/>
      <c r="C477" s="25"/>
      <c r="D477" s="25"/>
    </row>
    <row r="478" spans="2:16" customFormat="1" x14ac:dyDescent="0.3">
      <c r="B478" s="25"/>
      <c r="C478" s="25"/>
      <c r="D478" s="25"/>
    </row>
    <row r="479" spans="2:16" customFormat="1" x14ac:dyDescent="0.3">
      <c r="B479" s="25"/>
      <c r="C479" s="25"/>
      <c r="D479" s="25"/>
    </row>
    <row r="480" spans="2:16" customFormat="1" x14ac:dyDescent="0.3">
      <c r="B480" s="25"/>
      <c r="C480" s="25"/>
      <c r="D480" s="25"/>
    </row>
    <row r="481" spans="2:4" customFormat="1" x14ac:dyDescent="0.3">
      <c r="B481" s="25"/>
      <c r="C481" s="25"/>
      <c r="D481" s="25"/>
    </row>
    <row r="482" spans="2:4" customFormat="1" x14ac:dyDescent="0.3">
      <c r="B482" s="25"/>
      <c r="C482" s="25"/>
      <c r="D482" s="25"/>
    </row>
    <row r="483" spans="2:4" customFormat="1" x14ac:dyDescent="0.3">
      <c r="B483" s="25"/>
      <c r="C483" s="25"/>
      <c r="D483" s="25"/>
    </row>
    <row r="484" spans="2:4" customFormat="1" x14ac:dyDescent="0.3">
      <c r="B484" s="25"/>
      <c r="C484" s="25"/>
      <c r="D484" s="25"/>
    </row>
    <row r="485" spans="2:4" customFormat="1" x14ac:dyDescent="0.3">
      <c r="B485" s="25"/>
      <c r="C485" s="25"/>
      <c r="D485" s="25"/>
    </row>
    <row r="486" spans="2:4" customFormat="1" x14ac:dyDescent="0.3">
      <c r="B486" s="25"/>
      <c r="C486" s="25"/>
      <c r="D486" s="25"/>
    </row>
    <row r="487" spans="2:4" customFormat="1" x14ac:dyDescent="0.3">
      <c r="B487" s="25"/>
      <c r="C487" s="25"/>
      <c r="D487" s="25"/>
    </row>
    <row r="488" spans="2:4" customFormat="1" x14ac:dyDescent="0.3">
      <c r="B488" s="25"/>
      <c r="C488" s="25"/>
      <c r="D488" s="25"/>
    </row>
    <row r="489" spans="2:4" customFormat="1" x14ac:dyDescent="0.3">
      <c r="B489" s="25"/>
      <c r="C489" s="25"/>
      <c r="D489" s="25"/>
    </row>
    <row r="490" spans="2:4" customFormat="1" x14ac:dyDescent="0.3">
      <c r="B490" s="25"/>
      <c r="C490" s="25"/>
      <c r="D490" s="25"/>
    </row>
    <row r="491" spans="2:4" customFormat="1" x14ac:dyDescent="0.3">
      <c r="B491" s="25"/>
      <c r="C491" s="25"/>
      <c r="D491" s="25"/>
    </row>
    <row r="492" spans="2:4" customFormat="1" x14ac:dyDescent="0.3">
      <c r="B492" s="25"/>
      <c r="C492" s="25"/>
      <c r="D492" s="25"/>
    </row>
    <row r="493" spans="2:4" customFormat="1" x14ac:dyDescent="0.3">
      <c r="B493" s="25"/>
      <c r="C493" s="25"/>
      <c r="D493" s="25"/>
    </row>
    <row r="494" spans="2:4" customFormat="1" x14ac:dyDescent="0.3">
      <c r="B494" s="25"/>
      <c r="C494" s="25"/>
      <c r="D494" s="25"/>
    </row>
    <row r="495" spans="2:4" customFormat="1" x14ac:dyDescent="0.3">
      <c r="B495" s="25"/>
      <c r="C495" s="25"/>
      <c r="D495" s="25"/>
    </row>
    <row r="496" spans="2:4" customFormat="1" x14ac:dyDescent="0.3">
      <c r="B496" s="25"/>
      <c r="C496" s="25"/>
      <c r="D496" s="25"/>
    </row>
    <row r="497" spans="2:4" customFormat="1" x14ac:dyDescent="0.3">
      <c r="B497" s="25"/>
      <c r="C497" s="25"/>
      <c r="D497" s="25"/>
    </row>
    <row r="498" spans="2:4" customFormat="1" x14ac:dyDescent="0.3">
      <c r="B498" s="25"/>
      <c r="C498" s="25"/>
      <c r="D498" s="25"/>
    </row>
    <row r="499" spans="2:4" customFormat="1" x14ac:dyDescent="0.3">
      <c r="B499" s="25"/>
      <c r="C499" s="25"/>
      <c r="D499" s="25"/>
    </row>
    <row r="500" spans="2:4" customFormat="1" x14ac:dyDescent="0.3">
      <c r="B500" s="25"/>
      <c r="C500" s="25"/>
      <c r="D500" s="25"/>
    </row>
    <row r="501" spans="2:4" customFormat="1" x14ac:dyDescent="0.3">
      <c r="B501" s="25"/>
      <c r="C501" s="25"/>
      <c r="D501" s="25"/>
    </row>
    <row r="502" spans="2:4" customFormat="1" x14ac:dyDescent="0.3">
      <c r="B502" s="25"/>
      <c r="C502" s="25"/>
      <c r="D502" s="25"/>
    </row>
    <row r="503" spans="2:4" customFormat="1" x14ac:dyDescent="0.3">
      <c r="B503" s="25"/>
      <c r="C503" s="25"/>
      <c r="D503" s="25"/>
    </row>
    <row r="504" spans="2:4" customFormat="1" x14ac:dyDescent="0.3">
      <c r="B504" s="25"/>
      <c r="C504" s="25"/>
      <c r="D504" s="25"/>
    </row>
    <row r="505" spans="2:4" customFormat="1" x14ac:dyDescent="0.3">
      <c r="B505" s="25"/>
      <c r="C505" s="25"/>
      <c r="D505" s="25"/>
    </row>
    <row r="506" spans="2:4" customFormat="1" x14ac:dyDescent="0.3">
      <c r="B506" s="25"/>
      <c r="C506" s="25"/>
      <c r="D506" s="25"/>
    </row>
    <row r="507" spans="2:4" customFormat="1" x14ac:dyDescent="0.3">
      <c r="B507" s="25"/>
      <c r="C507" s="25"/>
      <c r="D507" s="25"/>
    </row>
    <row r="508" spans="2:4" customFormat="1" x14ac:dyDescent="0.3">
      <c r="B508" s="25"/>
      <c r="C508" s="25"/>
      <c r="D508" s="25"/>
    </row>
    <row r="509" spans="2:4" customFormat="1" x14ac:dyDescent="0.3">
      <c r="B509" s="25"/>
      <c r="C509" s="25"/>
      <c r="D509" s="25"/>
    </row>
    <row r="510" spans="2:4" customFormat="1" x14ac:dyDescent="0.3">
      <c r="B510" s="25"/>
      <c r="C510" s="25"/>
      <c r="D510" s="25"/>
    </row>
    <row r="511" spans="2:4" customFormat="1" x14ac:dyDescent="0.3">
      <c r="B511" s="25"/>
      <c r="C511" s="25"/>
      <c r="D511" s="25"/>
    </row>
    <row r="512" spans="2:4" customFormat="1" x14ac:dyDescent="0.3">
      <c r="B512" s="25"/>
      <c r="C512" s="25"/>
      <c r="D512" s="25"/>
    </row>
    <row r="513" spans="2:4" customFormat="1" x14ac:dyDescent="0.3">
      <c r="B513" s="25"/>
      <c r="C513" s="25"/>
      <c r="D513" s="25"/>
    </row>
    <row r="514" spans="2:4" customFormat="1" x14ac:dyDescent="0.3">
      <c r="B514" s="25"/>
      <c r="C514" s="25"/>
      <c r="D514" s="25"/>
    </row>
    <row r="515" spans="2:4" customFormat="1" x14ac:dyDescent="0.3">
      <c r="B515" s="25"/>
      <c r="C515" s="25"/>
      <c r="D515" s="25"/>
    </row>
    <row r="516" spans="2:4" customFormat="1" x14ac:dyDescent="0.3">
      <c r="B516" s="25"/>
      <c r="C516" s="25"/>
      <c r="D516" s="25"/>
    </row>
    <row r="517" spans="2:4" customFormat="1" x14ac:dyDescent="0.3">
      <c r="B517" s="25"/>
      <c r="C517" s="25"/>
      <c r="D517" s="25"/>
    </row>
    <row r="518" spans="2:4" customFormat="1" x14ac:dyDescent="0.3">
      <c r="B518" s="25"/>
      <c r="C518" s="25"/>
      <c r="D518" s="25"/>
    </row>
    <row r="519" spans="2:4" customFormat="1" x14ac:dyDescent="0.3">
      <c r="B519" s="25"/>
      <c r="C519" s="25"/>
      <c r="D519" s="25"/>
    </row>
    <row r="520" spans="2:4" customFormat="1" x14ac:dyDescent="0.3">
      <c r="B520" s="25"/>
      <c r="C520" s="25"/>
      <c r="D520" s="25"/>
    </row>
    <row r="521" spans="2:4" customFormat="1" x14ac:dyDescent="0.3">
      <c r="B521" s="25"/>
      <c r="C521" s="25"/>
      <c r="D521" s="25"/>
    </row>
    <row r="522" spans="2:4" customFormat="1" x14ac:dyDescent="0.3">
      <c r="B522" s="25"/>
      <c r="C522" s="25"/>
      <c r="D522" s="25"/>
    </row>
    <row r="523" spans="2:4" customFormat="1" x14ac:dyDescent="0.3">
      <c r="B523" s="25"/>
      <c r="C523" s="25"/>
      <c r="D523" s="25"/>
    </row>
    <row r="524" spans="2:4" customFormat="1" x14ac:dyDescent="0.3">
      <c r="B524" s="25"/>
      <c r="C524" s="25"/>
      <c r="D524" s="25"/>
    </row>
    <row r="525" spans="2:4" customFormat="1" x14ac:dyDescent="0.3">
      <c r="B525" s="25"/>
      <c r="C525" s="25"/>
      <c r="D525" s="25"/>
    </row>
    <row r="526" spans="2:4" customFormat="1" x14ac:dyDescent="0.3">
      <c r="B526" s="25"/>
      <c r="C526" s="25"/>
      <c r="D526" s="25"/>
    </row>
    <row r="527" spans="2:4" customFormat="1" x14ac:dyDescent="0.3">
      <c r="B527" s="25"/>
      <c r="C527" s="25"/>
      <c r="D527" s="25"/>
    </row>
    <row r="528" spans="2:4" customFormat="1" x14ac:dyDescent="0.3">
      <c r="B528" s="25"/>
      <c r="C528" s="25"/>
      <c r="D528" s="25"/>
    </row>
    <row r="529" spans="2:4" customFormat="1" x14ac:dyDescent="0.3">
      <c r="B529" s="25"/>
      <c r="C529" s="25"/>
      <c r="D529" s="25"/>
    </row>
    <row r="530" spans="2:4" customFormat="1" x14ac:dyDescent="0.3">
      <c r="B530" s="25"/>
      <c r="C530" s="25"/>
      <c r="D530" s="25"/>
    </row>
    <row r="531" spans="2:4" customFormat="1" x14ac:dyDescent="0.3">
      <c r="B531" s="25"/>
      <c r="C531" s="25"/>
      <c r="D531" s="25"/>
    </row>
    <row r="532" spans="2:4" customFormat="1" x14ac:dyDescent="0.3">
      <c r="B532" s="25"/>
      <c r="C532" s="25"/>
      <c r="D532" s="25"/>
    </row>
    <row r="533" spans="2:4" customFormat="1" x14ac:dyDescent="0.3">
      <c r="B533" s="25"/>
      <c r="C533" s="25"/>
      <c r="D533" s="25"/>
    </row>
    <row r="534" spans="2:4" customFormat="1" x14ac:dyDescent="0.3">
      <c r="B534" s="25"/>
      <c r="C534" s="25"/>
      <c r="D534" s="25"/>
    </row>
    <row r="535" spans="2:4" customFormat="1" x14ac:dyDescent="0.3">
      <c r="B535" s="25"/>
      <c r="C535" s="25"/>
      <c r="D535" s="25"/>
    </row>
    <row r="536" spans="2:4" customFormat="1" x14ac:dyDescent="0.3">
      <c r="B536" s="25"/>
      <c r="C536" s="25"/>
      <c r="D536" s="25"/>
    </row>
    <row r="537" spans="2:4" customFormat="1" x14ac:dyDescent="0.3">
      <c r="B537" s="25"/>
      <c r="C537" s="25"/>
      <c r="D537" s="25"/>
    </row>
    <row r="538" spans="2:4" customFormat="1" x14ac:dyDescent="0.3">
      <c r="B538" s="25"/>
      <c r="C538" s="25"/>
      <c r="D538" s="25"/>
    </row>
    <row r="539" spans="2:4" customFormat="1" x14ac:dyDescent="0.3">
      <c r="B539" s="25"/>
      <c r="C539" s="25"/>
      <c r="D539" s="25"/>
    </row>
    <row r="540" spans="2:4" customFormat="1" x14ac:dyDescent="0.3">
      <c r="B540" s="25"/>
      <c r="C540" s="25"/>
      <c r="D540" s="25"/>
    </row>
    <row r="541" spans="2:4" customFormat="1" x14ac:dyDescent="0.3">
      <c r="B541" s="25"/>
      <c r="C541" s="25"/>
      <c r="D541" s="25"/>
    </row>
    <row r="542" spans="2:4" customFormat="1" x14ac:dyDescent="0.3">
      <c r="B542" s="25"/>
      <c r="C542" s="25"/>
      <c r="D542" s="25"/>
    </row>
    <row r="543" spans="2:4" customFormat="1" x14ac:dyDescent="0.3">
      <c r="B543" s="25"/>
      <c r="C543" s="25"/>
      <c r="D543" s="25"/>
    </row>
    <row r="544" spans="2:4" customFormat="1" x14ac:dyDescent="0.3">
      <c r="B544" s="25"/>
      <c r="C544" s="25"/>
      <c r="D544" s="25"/>
    </row>
    <row r="545" spans="2:4" customFormat="1" x14ac:dyDescent="0.3">
      <c r="B545" s="25"/>
      <c r="C545" s="25"/>
      <c r="D545" s="25"/>
    </row>
    <row r="546" spans="2:4" customFormat="1" x14ac:dyDescent="0.3">
      <c r="B546" s="25"/>
      <c r="C546" s="25"/>
      <c r="D546" s="25"/>
    </row>
    <row r="547" spans="2:4" customFormat="1" x14ac:dyDescent="0.3">
      <c r="B547" s="25"/>
      <c r="C547" s="25"/>
      <c r="D547" s="25"/>
    </row>
    <row r="548" spans="2:4" customFormat="1" x14ac:dyDescent="0.3">
      <c r="B548" s="25"/>
      <c r="C548" s="25"/>
      <c r="D548" s="25"/>
    </row>
    <row r="549" spans="2:4" customFormat="1" x14ac:dyDescent="0.3">
      <c r="B549" s="25"/>
      <c r="C549" s="25"/>
      <c r="D549" s="25"/>
    </row>
    <row r="550" spans="2:4" customFormat="1" x14ac:dyDescent="0.3">
      <c r="B550" s="25"/>
      <c r="C550" s="25"/>
      <c r="D550" s="25"/>
    </row>
    <row r="551" spans="2:4" customFormat="1" x14ac:dyDescent="0.3">
      <c r="B551" s="25"/>
      <c r="C551" s="25"/>
      <c r="D551" s="25"/>
    </row>
    <row r="552" spans="2:4" customFormat="1" x14ac:dyDescent="0.3">
      <c r="B552" s="25"/>
      <c r="C552" s="25"/>
      <c r="D552" s="25"/>
    </row>
    <row r="553" spans="2:4" customFormat="1" x14ac:dyDescent="0.3">
      <c r="B553" s="25"/>
      <c r="C553" s="25"/>
      <c r="D553" s="25"/>
    </row>
    <row r="554" spans="2:4" customFormat="1" x14ac:dyDescent="0.3">
      <c r="B554" s="25"/>
      <c r="C554" s="25"/>
      <c r="D554" s="25"/>
    </row>
    <row r="555" spans="2:4" customFormat="1" x14ac:dyDescent="0.3">
      <c r="B555" s="25"/>
      <c r="C555" s="25"/>
      <c r="D555" s="25"/>
    </row>
    <row r="556" spans="2:4" customFormat="1" x14ac:dyDescent="0.3">
      <c r="B556" s="25"/>
      <c r="C556" s="25"/>
      <c r="D556" s="25"/>
    </row>
    <row r="557" spans="2:4" customFormat="1" x14ac:dyDescent="0.3">
      <c r="B557" s="25"/>
      <c r="C557" s="25"/>
      <c r="D557" s="25"/>
    </row>
    <row r="558" spans="2:4" customFormat="1" x14ac:dyDescent="0.3">
      <c r="B558" s="25"/>
      <c r="C558" s="25"/>
      <c r="D558" s="25"/>
    </row>
    <row r="559" spans="2:4" customFormat="1" x14ac:dyDescent="0.3">
      <c r="B559" s="25"/>
      <c r="C559" s="25"/>
      <c r="D559" s="25"/>
    </row>
    <row r="560" spans="2:4" customFormat="1" x14ac:dyDescent="0.3">
      <c r="B560" s="25"/>
      <c r="C560" s="25"/>
      <c r="D560" s="25"/>
    </row>
    <row r="561" spans="2:4" customFormat="1" x14ac:dyDescent="0.3">
      <c r="B561" s="25"/>
      <c r="C561" s="25"/>
      <c r="D561" s="25"/>
    </row>
    <row r="562" spans="2:4" customFormat="1" x14ac:dyDescent="0.3">
      <c r="B562" s="25"/>
      <c r="C562" s="25"/>
      <c r="D562" s="25"/>
    </row>
    <row r="563" spans="2:4" customFormat="1" x14ac:dyDescent="0.3">
      <c r="B563" s="25"/>
      <c r="C563" s="25"/>
      <c r="D563" s="25"/>
    </row>
    <row r="564" spans="2:4" customFormat="1" x14ac:dyDescent="0.3">
      <c r="B564" s="25"/>
      <c r="C564" s="25"/>
      <c r="D564" s="25"/>
    </row>
    <row r="565" spans="2:4" customFormat="1" x14ac:dyDescent="0.3">
      <c r="B565" s="25"/>
      <c r="C565" s="25"/>
      <c r="D565" s="25"/>
    </row>
    <row r="566" spans="2:4" customFormat="1" x14ac:dyDescent="0.3">
      <c r="B566" s="25"/>
      <c r="C566" s="25"/>
      <c r="D566" s="25"/>
    </row>
    <row r="567" spans="2:4" customFormat="1" x14ac:dyDescent="0.3">
      <c r="B567" s="25"/>
      <c r="C567" s="25"/>
      <c r="D567" s="25"/>
    </row>
    <row r="568" spans="2:4" customFormat="1" x14ac:dyDescent="0.3">
      <c r="B568" s="25"/>
      <c r="C568" s="25"/>
      <c r="D568" s="25"/>
    </row>
    <row r="569" spans="2:4" customFormat="1" x14ac:dyDescent="0.3">
      <c r="B569" s="25"/>
      <c r="C569" s="25"/>
      <c r="D569" s="25"/>
    </row>
    <row r="570" spans="2:4" customFormat="1" x14ac:dyDescent="0.3">
      <c r="B570" s="25"/>
      <c r="C570" s="25"/>
      <c r="D570" s="25"/>
    </row>
    <row r="571" spans="2:4" customFormat="1" x14ac:dyDescent="0.3">
      <c r="B571" s="25"/>
      <c r="C571" s="25"/>
      <c r="D571" s="25"/>
    </row>
    <row r="572" spans="2:4" customFormat="1" x14ac:dyDescent="0.3">
      <c r="B572" s="25"/>
      <c r="C572" s="25"/>
      <c r="D572" s="25"/>
    </row>
    <row r="573" spans="2:4" customFormat="1" x14ac:dyDescent="0.3">
      <c r="B573" s="25"/>
      <c r="C573" s="25"/>
      <c r="D573" s="25"/>
    </row>
    <row r="574" spans="2:4" customFormat="1" x14ac:dyDescent="0.3">
      <c r="B574" s="25"/>
      <c r="C574" s="25"/>
      <c r="D574" s="25"/>
    </row>
    <row r="575" spans="2:4" customFormat="1" x14ac:dyDescent="0.3">
      <c r="B575" s="25"/>
      <c r="C575" s="25"/>
      <c r="D575" s="25"/>
    </row>
    <row r="576" spans="2:4" customFormat="1" x14ac:dyDescent="0.3">
      <c r="B576" s="25"/>
      <c r="C576" s="25"/>
      <c r="D576" s="25"/>
    </row>
    <row r="577" spans="2:4" customFormat="1" x14ac:dyDescent="0.3">
      <c r="B577" s="25"/>
      <c r="C577" s="25"/>
      <c r="D577" s="25"/>
    </row>
    <row r="578" spans="2:4" customFormat="1" x14ac:dyDescent="0.3">
      <c r="B578" s="25"/>
      <c r="C578" s="25"/>
      <c r="D578" s="25"/>
    </row>
    <row r="579" spans="2:4" customFormat="1" x14ac:dyDescent="0.3">
      <c r="B579" s="25"/>
      <c r="C579" s="25"/>
      <c r="D579" s="25"/>
    </row>
    <row r="580" spans="2:4" customFormat="1" x14ac:dyDescent="0.3">
      <c r="B580" s="25"/>
      <c r="C580" s="25"/>
      <c r="D580" s="25"/>
    </row>
    <row r="581" spans="2:4" customFormat="1" x14ac:dyDescent="0.3">
      <c r="B581" s="25"/>
      <c r="C581" s="25"/>
      <c r="D581" s="25"/>
    </row>
    <row r="582" spans="2:4" customFormat="1" x14ac:dyDescent="0.3">
      <c r="B582" s="25"/>
      <c r="C582" s="25"/>
      <c r="D582" s="25"/>
    </row>
    <row r="583" spans="2:4" customFormat="1" x14ac:dyDescent="0.3">
      <c r="B583" s="25"/>
      <c r="C583" s="25"/>
      <c r="D583" s="25"/>
    </row>
    <row r="584" spans="2:4" customFormat="1" x14ac:dyDescent="0.3">
      <c r="B584" s="25"/>
      <c r="C584" s="25"/>
      <c r="D584" s="25"/>
    </row>
    <row r="585" spans="2:4" customFormat="1" x14ac:dyDescent="0.3">
      <c r="B585" s="25"/>
      <c r="C585" s="25"/>
      <c r="D585" s="25"/>
    </row>
    <row r="586" spans="2:4" customFormat="1" x14ac:dyDescent="0.3">
      <c r="B586" s="25"/>
      <c r="C586" s="25"/>
      <c r="D586" s="25"/>
    </row>
    <row r="587" spans="2:4" customFormat="1" x14ac:dyDescent="0.3">
      <c r="B587" s="25"/>
      <c r="C587" s="25"/>
      <c r="D587" s="25"/>
    </row>
    <row r="588" spans="2:4" customFormat="1" x14ac:dyDescent="0.3">
      <c r="B588" s="25"/>
      <c r="C588" s="25"/>
      <c r="D588" s="25"/>
    </row>
    <row r="589" spans="2:4" customFormat="1" x14ac:dyDescent="0.3">
      <c r="B589" s="25"/>
      <c r="C589" s="25"/>
      <c r="D589" s="25"/>
    </row>
    <row r="590" spans="2:4" customFormat="1" x14ac:dyDescent="0.3">
      <c r="B590" s="25"/>
      <c r="C590" s="25"/>
      <c r="D590" s="25"/>
    </row>
    <row r="591" spans="2:4" customFormat="1" x14ac:dyDescent="0.3">
      <c r="B591" s="25"/>
      <c r="C591" s="25"/>
      <c r="D591" s="25"/>
    </row>
    <row r="592" spans="2:4" customFormat="1" x14ac:dyDescent="0.3">
      <c r="B592" s="25"/>
      <c r="C592" s="25"/>
      <c r="D592" s="25"/>
    </row>
    <row r="593" spans="2:4" customFormat="1" x14ac:dyDescent="0.3">
      <c r="B593" s="25"/>
      <c r="C593" s="25"/>
      <c r="D593" s="25"/>
    </row>
    <row r="594" spans="2:4" customFormat="1" x14ac:dyDescent="0.3">
      <c r="B594" s="25"/>
      <c r="C594" s="25"/>
      <c r="D594" s="25"/>
    </row>
    <row r="595" spans="2:4" customFormat="1" x14ac:dyDescent="0.3">
      <c r="B595" s="25"/>
      <c r="C595" s="25"/>
      <c r="D595" s="25"/>
    </row>
    <row r="596" spans="2:4" customFormat="1" x14ac:dyDescent="0.3">
      <c r="B596" s="25"/>
      <c r="C596" s="25"/>
      <c r="D596" s="25"/>
    </row>
    <row r="597" spans="2:4" customFormat="1" x14ac:dyDescent="0.3">
      <c r="B597" s="25"/>
      <c r="C597" s="25"/>
      <c r="D597" s="25"/>
    </row>
    <row r="598" spans="2:4" customFormat="1" x14ac:dyDescent="0.3">
      <c r="B598" s="25"/>
      <c r="C598" s="25"/>
      <c r="D598" s="25"/>
    </row>
    <row r="599" spans="2:4" customFormat="1" x14ac:dyDescent="0.3">
      <c r="B599" s="25"/>
      <c r="C599" s="25"/>
      <c r="D599" s="25"/>
    </row>
    <row r="600" spans="2:4" customFormat="1" x14ac:dyDescent="0.3">
      <c r="B600" s="25"/>
      <c r="C600" s="25"/>
      <c r="D600" s="25"/>
    </row>
    <row r="601" spans="2:4" customFormat="1" x14ac:dyDescent="0.3">
      <c r="B601" s="25"/>
      <c r="C601" s="25"/>
      <c r="D601" s="25"/>
    </row>
    <row r="602" spans="2:4" customFormat="1" x14ac:dyDescent="0.3">
      <c r="B602" s="25"/>
      <c r="C602" s="25"/>
      <c r="D602" s="25"/>
    </row>
    <row r="603" spans="2:4" customFormat="1" x14ac:dyDescent="0.3">
      <c r="B603" s="25"/>
      <c r="C603" s="25"/>
      <c r="D603" s="25"/>
    </row>
    <row r="604" spans="2:4" customFormat="1" x14ac:dyDescent="0.3">
      <c r="B604" s="25"/>
      <c r="C604" s="25"/>
      <c r="D604" s="25"/>
    </row>
    <row r="605" spans="2:4" customFormat="1" x14ac:dyDescent="0.3">
      <c r="B605" s="25"/>
      <c r="C605" s="25"/>
      <c r="D605" s="25"/>
    </row>
    <row r="606" spans="2:4" customFormat="1" x14ac:dyDescent="0.3">
      <c r="B606" s="25"/>
      <c r="C606" s="25"/>
      <c r="D606" s="25"/>
    </row>
    <row r="607" spans="2:4" customFormat="1" x14ac:dyDescent="0.3">
      <c r="B607" s="25"/>
      <c r="C607" s="25"/>
      <c r="D607" s="25"/>
    </row>
    <row r="608" spans="2:4" customFormat="1" x14ac:dyDescent="0.3">
      <c r="B608" s="25"/>
      <c r="C608" s="25"/>
      <c r="D608" s="25"/>
    </row>
    <row r="609" spans="2:4" customFormat="1" x14ac:dyDescent="0.3">
      <c r="B609" s="25"/>
      <c r="C609" s="25"/>
      <c r="D609" s="25"/>
    </row>
    <row r="610" spans="2:4" customFormat="1" x14ac:dyDescent="0.3">
      <c r="B610" s="25"/>
      <c r="C610" s="25"/>
      <c r="D610" s="25"/>
    </row>
    <row r="611" spans="2:4" customFormat="1" x14ac:dyDescent="0.3">
      <c r="B611" s="25"/>
      <c r="C611" s="25"/>
      <c r="D611" s="25"/>
    </row>
    <row r="612" spans="2:4" customFormat="1" x14ac:dyDescent="0.3">
      <c r="B612" s="25"/>
      <c r="C612" s="25"/>
      <c r="D612" s="25"/>
    </row>
    <row r="613" spans="2:4" customFormat="1" x14ac:dyDescent="0.3">
      <c r="B613" s="25"/>
      <c r="C613" s="25"/>
      <c r="D613" s="25"/>
    </row>
    <row r="614" spans="2:4" customFormat="1" x14ac:dyDescent="0.3">
      <c r="B614" s="25"/>
      <c r="C614" s="25"/>
      <c r="D614" s="25"/>
    </row>
    <row r="615" spans="2:4" customFormat="1" x14ac:dyDescent="0.3">
      <c r="B615" s="25"/>
      <c r="C615" s="25"/>
      <c r="D615" s="25"/>
    </row>
    <row r="616" spans="2:4" customFormat="1" x14ac:dyDescent="0.3">
      <c r="B616" s="25"/>
      <c r="C616" s="25"/>
      <c r="D616" s="25"/>
    </row>
    <row r="617" spans="2:4" customFormat="1" x14ac:dyDescent="0.3">
      <c r="B617" s="25"/>
      <c r="C617" s="25"/>
      <c r="D617" s="25"/>
    </row>
    <row r="618" spans="2:4" customFormat="1" x14ac:dyDescent="0.3">
      <c r="B618" s="25"/>
      <c r="C618" s="25"/>
      <c r="D618" s="25"/>
    </row>
    <row r="619" spans="2:4" customFormat="1" x14ac:dyDescent="0.3">
      <c r="B619" s="25"/>
      <c r="C619" s="25"/>
      <c r="D619" s="25"/>
    </row>
    <row r="620" spans="2:4" customFormat="1" x14ac:dyDescent="0.3">
      <c r="B620" s="25"/>
      <c r="C620" s="25"/>
      <c r="D620" s="25"/>
    </row>
    <row r="621" spans="2:4" customFormat="1" x14ac:dyDescent="0.3">
      <c r="B621" s="25"/>
      <c r="C621" s="25"/>
      <c r="D621" s="25"/>
    </row>
    <row r="622" spans="2:4" customFormat="1" x14ac:dyDescent="0.3">
      <c r="B622" s="25"/>
      <c r="C622" s="25"/>
      <c r="D622" s="25"/>
    </row>
    <row r="623" spans="2:4" customFormat="1" x14ac:dyDescent="0.3">
      <c r="B623" s="25"/>
      <c r="C623" s="25"/>
      <c r="D623" s="25"/>
    </row>
    <row r="624" spans="2:4" customFormat="1" x14ac:dyDescent="0.3">
      <c r="B624" s="25"/>
      <c r="C624" s="25"/>
      <c r="D624" s="25"/>
    </row>
    <row r="625" spans="2:4" customFormat="1" x14ac:dyDescent="0.3">
      <c r="B625" s="25"/>
      <c r="C625" s="25"/>
      <c r="D625" s="25"/>
    </row>
    <row r="626" spans="2:4" customFormat="1" x14ac:dyDescent="0.3">
      <c r="B626" s="25"/>
      <c r="C626" s="25"/>
      <c r="D626" s="25"/>
    </row>
    <row r="627" spans="2:4" customFormat="1" x14ac:dyDescent="0.3">
      <c r="B627" s="25"/>
      <c r="C627" s="25"/>
      <c r="D627" s="25"/>
    </row>
    <row r="628" spans="2:4" customFormat="1" x14ac:dyDescent="0.3">
      <c r="B628" s="25"/>
      <c r="C628" s="25"/>
      <c r="D628" s="25"/>
    </row>
    <row r="629" spans="2:4" customFormat="1" x14ac:dyDescent="0.3">
      <c r="B629" s="25"/>
      <c r="C629" s="25"/>
      <c r="D629" s="25"/>
    </row>
    <row r="630" spans="2:4" customFormat="1" x14ac:dyDescent="0.3">
      <c r="B630" s="25"/>
      <c r="C630" s="25"/>
      <c r="D630" s="25"/>
    </row>
    <row r="631" spans="2:4" customFormat="1" x14ac:dyDescent="0.3">
      <c r="B631" s="25"/>
      <c r="C631" s="25"/>
      <c r="D631" s="25"/>
    </row>
    <row r="632" spans="2:4" customFormat="1" x14ac:dyDescent="0.3">
      <c r="B632" s="25"/>
      <c r="C632" s="25"/>
      <c r="D632" s="25"/>
    </row>
    <row r="633" spans="2:4" customFormat="1" x14ac:dyDescent="0.3">
      <c r="B633" s="25"/>
      <c r="C633" s="25"/>
      <c r="D633" s="25"/>
    </row>
    <row r="634" spans="2:4" customFormat="1" x14ac:dyDescent="0.3">
      <c r="B634" s="25"/>
      <c r="C634" s="25"/>
      <c r="D634" s="25"/>
    </row>
    <row r="635" spans="2:4" customFormat="1" x14ac:dyDescent="0.3">
      <c r="B635" s="25"/>
      <c r="C635" s="25"/>
      <c r="D635" s="25"/>
    </row>
    <row r="636" spans="2:4" customFormat="1" x14ac:dyDescent="0.3">
      <c r="B636" s="25"/>
      <c r="C636" s="25"/>
      <c r="D636" s="25"/>
    </row>
    <row r="637" spans="2:4" customFormat="1" x14ac:dyDescent="0.3">
      <c r="B637" s="25"/>
      <c r="C637" s="25"/>
      <c r="D637" s="25"/>
    </row>
    <row r="638" spans="2:4" customFormat="1" x14ac:dyDescent="0.3">
      <c r="B638" s="25"/>
      <c r="C638" s="25"/>
      <c r="D638" s="25"/>
    </row>
    <row r="639" spans="2:4" customFormat="1" x14ac:dyDescent="0.3">
      <c r="B639" s="25"/>
      <c r="C639" s="25"/>
      <c r="D639" s="25"/>
    </row>
    <row r="640" spans="2:4" customFormat="1" x14ac:dyDescent="0.3">
      <c r="B640" s="25"/>
      <c r="C640" s="25"/>
      <c r="D640" s="25"/>
    </row>
    <row r="641" spans="2:4" customFormat="1" x14ac:dyDescent="0.3">
      <c r="B641" s="25"/>
      <c r="C641" s="25"/>
      <c r="D641" s="25"/>
    </row>
    <row r="642" spans="2:4" customFormat="1" x14ac:dyDescent="0.3">
      <c r="B642" s="25"/>
      <c r="C642" s="25"/>
      <c r="D642" s="25"/>
    </row>
    <row r="643" spans="2:4" customFormat="1" x14ac:dyDescent="0.3">
      <c r="B643" s="25"/>
      <c r="C643" s="25"/>
      <c r="D643" s="25"/>
    </row>
    <row r="644" spans="2:4" customFormat="1" x14ac:dyDescent="0.3">
      <c r="B644" s="25"/>
      <c r="C644" s="25"/>
      <c r="D644" s="25"/>
    </row>
    <row r="645" spans="2:4" customFormat="1" x14ac:dyDescent="0.3">
      <c r="B645" s="25"/>
      <c r="C645" s="25"/>
      <c r="D645" s="25"/>
    </row>
    <row r="646" spans="2:4" customFormat="1" x14ac:dyDescent="0.3">
      <c r="B646" s="25"/>
      <c r="C646" s="25"/>
      <c r="D646" s="25"/>
    </row>
    <row r="647" spans="2:4" customFormat="1" x14ac:dyDescent="0.3">
      <c r="B647" s="25"/>
      <c r="C647" s="25"/>
      <c r="D647" s="25"/>
    </row>
    <row r="648" spans="2:4" customFormat="1" x14ac:dyDescent="0.3">
      <c r="B648" s="25"/>
      <c r="C648" s="25"/>
      <c r="D648" s="25"/>
    </row>
    <row r="649" spans="2:4" customFormat="1" x14ac:dyDescent="0.3">
      <c r="B649" s="25"/>
      <c r="C649" s="25"/>
      <c r="D649" s="25"/>
    </row>
    <row r="650" spans="2:4" customFormat="1" x14ac:dyDescent="0.3">
      <c r="B650" s="25"/>
      <c r="C650" s="25"/>
      <c r="D650" s="25"/>
    </row>
    <row r="651" spans="2:4" customFormat="1" x14ac:dyDescent="0.3">
      <c r="B651" s="25"/>
      <c r="C651" s="25"/>
      <c r="D651" s="25"/>
    </row>
    <row r="652" spans="2:4" customFormat="1" x14ac:dyDescent="0.3">
      <c r="B652" s="25"/>
      <c r="C652" s="25"/>
      <c r="D652" s="25"/>
    </row>
    <row r="653" spans="2:4" customFormat="1" x14ac:dyDescent="0.3">
      <c r="B653" s="25"/>
      <c r="C653" s="25"/>
      <c r="D653" s="25"/>
    </row>
    <row r="654" spans="2:4" customFormat="1" x14ac:dyDescent="0.3">
      <c r="B654" s="25"/>
      <c r="C654" s="25"/>
      <c r="D654" s="25"/>
    </row>
    <row r="655" spans="2:4" customFormat="1" x14ac:dyDescent="0.3">
      <c r="B655" s="25"/>
      <c r="C655" s="25"/>
      <c r="D655" s="25"/>
    </row>
    <row r="656" spans="2:4" customFormat="1" x14ac:dyDescent="0.3">
      <c r="B656" s="25"/>
      <c r="C656" s="25"/>
      <c r="D656" s="25"/>
    </row>
    <row r="657" spans="2:4" customFormat="1" x14ac:dyDescent="0.3">
      <c r="B657" s="25"/>
      <c r="C657" s="25"/>
      <c r="D657" s="25"/>
    </row>
    <row r="658" spans="2:4" customFormat="1" x14ac:dyDescent="0.3">
      <c r="B658" s="25"/>
      <c r="C658" s="25"/>
      <c r="D658" s="25"/>
    </row>
    <row r="659" spans="2:4" customFormat="1" x14ac:dyDescent="0.3">
      <c r="B659" s="25"/>
      <c r="C659" s="25"/>
      <c r="D659" s="25"/>
    </row>
    <row r="660" spans="2:4" customFormat="1" x14ac:dyDescent="0.3">
      <c r="B660" s="25"/>
      <c r="C660" s="25"/>
      <c r="D660" s="25"/>
    </row>
    <row r="661" spans="2:4" customFormat="1" x14ac:dyDescent="0.3">
      <c r="B661" s="25"/>
      <c r="C661" s="25"/>
      <c r="D661" s="25"/>
    </row>
    <row r="662" spans="2:4" customFormat="1" x14ac:dyDescent="0.3">
      <c r="B662" s="25"/>
      <c r="C662" s="25"/>
      <c r="D662" s="25"/>
    </row>
    <row r="663" spans="2:4" customFormat="1" x14ac:dyDescent="0.3">
      <c r="B663" s="25"/>
      <c r="C663" s="25"/>
      <c r="D663" s="25"/>
    </row>
    <row r="664" spans="2:4" customFormat="1" x14ac:dyDescent="0.3">
      <c r="B664" s="25"/>
      <c r="C664" s="25"/>
      <c r="D664" s="25"/>
    </row>
    <row r="665" spans="2:4" customFormat="1" x14ac:dyDescent="0.3">
      <c r="B665" s="25"/>
      <c r="C665" s="25"/>
      <c r="D665" s="25"/>
    </row>
    <row r="666" spans="2:4" customFormat="1" x14ac:dyDescent="0.3">
      <c r="B666" s="25"/>
      <c r="C666" s="25"/>
      <c r="D666" s="25"/>
    </row>
    <row r="667" spans="2:4" customFormat="1" x14ac:dyDescent="0.3">
      <c r="B667" s="25"/>
      <c r="C667" s="25"/>
      <c r="D667" s="25"/>
    </row>
    <row r="668" spans="2:4" customFormat="1" x14ac:dyDescent="0.3">
      <c r="B668" s="25"/>
      <c r="C668" s="25"/>
      <c r="D668" s="25"/>
    </row>
    <row r="669" spans="2:4" customFormat="1" x14ac:dyDescent="0.3">
      <c r="B669" s="25"/>
      <c r="C669" s="25"/>
      <c r="D669" s="25"/>
    </row>
    <row r="670" spans="2:4" customFormat="1" x14ac:dyDescent="0.3">
      <c r="B670" s="25"/>
      <c r="C670" s="25"/>
      <c r="D670" s="25"/>
    </row>
    <row r="671" spans="2:4" customFormat="1" x14ac:dyDescent="0.3">
      <c r="B671" s="25"/>
      <c r="C671" s="25"/>
      <c r="D671" s="25"/>
    </row>
    <row r="672" spans="2:4" customFormat="1" x14ac:dyDescent="0.3">
      <c r="B672" s="25"/>
      <c r="C672" s="25"/>
      <c r="D672" s="25"/>
    </row>
    <row r="673" spans="2:4" customFormat="1" x14ac:dyDescent="0.3">
      <c r="B673" s="25"/>
      <c r="C673" s="25"/>
      <c r="D673" s="25"/>
    </row>
    <row r="674" spans="2:4" customFormat="1" x14ac:dyDescent="0.3">
      <c r="B674" s="25"/>
      <c r="C674" s="25"/>
      <c r="D674" s="25"/>
    </row>
    <row r="675" spans="2:4" customFormat="1" x14ac:dyDescent="0.3">
      <c r="B675" s="25"/>
      <c r="C675" s="25"/>
      <c r="D675" s="25"/>
    </row>
    <row r="676" spans="2:4" customFormat="1" x14ac:dyDescent="0.3">
      <c r="B676" s="25"/>
      <c r="C676" s="25"/>
      <c r="D676" s="25"/>
    </row>
    <row r="677" spans="2:4" customFormat="1" x14ac:dyDescent="0.3">
      <c r="B677" s="25"/>
      <c r="C677" s="25"/>
      <c r="D677" s="25"/>
    </row>
    <row r="678" spans="2:4" customFormat="1" x14ac:dyDescent="0.3">
      <c r="B678" s="25"/>
      <c r="C678" s="25"/>
      <c r="D678" s="25"/>
    </row>
    <row r="679" spans="2:4" customFormat="1" x14ac:dyDescent="0.3">
      <c r="B679" s="25"/>
      <c r="C679" s="25"/>
      <c r="D679" s="25"/>
    </row>
    <row r="680" spans="2:4" customFormat="1" x14ac:dyDescent="0.3">
      <c r="B680" s="25"/>
      <c r="C680" s="25"/>
      <c r="D680" s="25"/>
    </row>
    <row r="681" spans="2:4" customFormat="1" x14ac:dyDescent="0.3">
      <c r="B681" s="25"/>
      <c r="C681" s="25"/>
      <c r="D681" s="25"/>
    </row>
    <row r="682" spans="2:4" customFormat="1" x14ac:dyDescent="0.3">
      <c r="B682" s="25"/>
      <c r="C682" s="25"/>
      <c r="D682" s="25"/>
    </row>
    <row r="683" spans="2:4" customFormat="1" x14ac:dyDescent="0.3">
      <c r="B683" s="25"/>
      <c r="C683" s="25"/>
      <c r="D683" s="25"/>
    </row>
    <row r="684" spans="2:4" customFormat="1" x14ac:dyDescent="0.3">
      <c r="B684" s="25"/>
      <c r="C684" s="25"/>
      <c r="D684" s="25"/>
    </row>
    <row r="685" spans="2:4" customFormat="1" x14ac:dyDescent="0.3">
      <c r="B685" s="25"/>
      <c r="C685" s="25"/>
      <c r="D685" s="25"/>
    </row>
    <row r="686" spans="2:4" customFormat="1" x14ac:dyDescent="0.3">
      <c r="B686" s="25"/>
      <c r="C686" s="25"/>
      <c r="D686" s="25"/>
    </row>
    <row r="687" spans="2:4" customFormat="1" x14ac:dyDescent="0.3">
      <c r="B687" s="25"/>
      <c r="C687" s="25"/>
      <c r="D687" s="25"/>
    </row>
    <row r="688" spans="2:4" customFormat="1" x14ac:dyDescent="0.3">
      <c r="B688" s="25"/>
      <c r="C688" s="25"/>
      <c r="D688" s="25"/>
    </row>
    <row r="689" spans="1:33" x14ac:dyDescent="0.3">
      <c r="A689"/>
      <c r="B689" s="25"/>
      <c r="C689" s="25"/>
      <c r="D689" s="25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V689"/>
      <c r="W689"/>
      <c r="X689"/>
      <c r="AG689"/>
    </row>
    <row r="690" spans="1:33" x14ac:dyDescent="0.3">
      <c r="A690"/>
      <c r="B690" s="25"/>
      <c r="C690" s="25"/>
      <c r="D690" s="25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V690"/>
      <c r="W690"/>
      <c r="X690"/>
      <c r="AG690"/>
    </row>
    <row r="691" spans="1:33" x14ac:dyDescent="0.3">
      <c r="A691"/>
      <c r="B691" s="25"/>
      <c r="C691" s="25"/>
      <c r="D691" s="25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V691"/>
      <c r="W691"/>
      <c r="X691"/>
      <c r="AG691"/>
    </row>
    <row r="692" spans="1:33" x14ac:dyDescent="0.3">
      <c r="A692"/>
      <c r="B692" s="25"/>
      <c r="C692" s="25"/>
      <c r="D692" s="25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V692"/>
      <c r="W692"/>
      <c r="X692"/>
      <c r="AG692"/>
    </row>
    <row r="693" spans="1:33" x14ac:dyDescent="0.3">
      <c r="A693"/>
      <c r="B693" s="25"/>
      <c r="C693" s="25"/>
      <c r="D693" s="25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V693"/>
      <c r="W693"/>
      <c r="X693"/>
      <c r="AG693"/>
    </row>
    <row r="694" spans="1:33" x14ac:dyDescent="0.3">
      <c r="A694"/>
      <c r="B694" s="25"/>
      <c r="C694" s="25"/>
      <c r="D694" s="25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V694"/>
      <c r="W694"/>
      <c r="X694"/>
      <c r="AG694"/>
    </row>
    <row r="695" spans="1:33" x14ac:dyDescent="0.3">
      <c r="A695"/>
      <c r="B695" s="25"/>
      <c r="C695" s="25"/>
      <c r="D695" s="2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V695"/>
      <c r="W695"/>
      <c r="X695"/>
      <c r="AG695"/>
    </row>
    <row r="696" spans="1:33" x14ac:dyDescent="0.3">
      <c r="A696"/>
      <c r="B696" s="25"/>
      <c r="C696" s="25"/>
      <c r="D696" s="25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V696"/>
      <c r="W696"/>
      <c r="X696"/>
      <c r="AG696"/>
    </row>
    <row r="697" spans="1:33" x14ac:dyDescent="0.3">
      <c r="A697"/>
      <c r="B697" s="25"/>
      <c r="C697" s="25"/>
      <c r="D697" s="25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V697"/>
      <c r="W697"/>
      <c r="X697"/>
      <c r="AG697"/>
    </row>
    <row r="698" spans="1:33" x14ac:dyDescent="0.3">
      <c r="A698"/>
      <c r="B698" s="25"/>
      <c r="C698" s="25"/>
      <c r="D698" s="25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V698"/>
      <c r="W698"/>
      <c r="X698"/>
      <c r="AG698"/>
    </row>
    <row r="699" spans="1:33" x14ac:dyDescent="0.3">
      <c r="A699"/>
      <c r="B699" s="25"/>
      <c r="C699" s="25"/>
      <c r="D699" s="25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V699"/>
      <c r="W699"/>
      <c r="X699"/>
      <c r="AG699"/>
    </row>
    <row r="700" spans="1:33" x14ac:dyDescent="0.3">
      <c r="A700"/>
      <c r="B700" s="25"/>
      <c r="C700" s="25"/>
      <c r="D700" s="25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V700"/>
      <c r="W700"/>
      <c r="X700"/>
      <c r="AG700"/>
    </row>
    <row r="701" spans="1:33" x14ac:dyDescent="0.3">
      <c r="A701"/>
      <c r="B701" s="25"/>
      <c r="C701" s="25"/>
      <c r="D701" s="25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V701"/>
      <c r="W701"/>
      <c r="X701"/>
      <c r="AG701"/>
    </row>
    <row r="702" spans="1:33" x14ac:dyDescent="0.3">
      <c r="A702"/>
      <c r="B702" s="25"/>
      <c r="C702" s="25"/>
      <c r="D702" s="25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V702"/>
      <c r="W702"/>
      <c r="X702"/>
      <c r="AG702"/>
    </row>
    <row r="703" spans="1:33" x14ac:dyDescent="0.3">
      <c r="C703" s="144"/>
      <c r="P703" s="135"/>
    </row>
    <row r="704" spans="1:33" x14ac:dyDescent="0.3">
      <c r="C704" s="144"/>
    </row>
    <row r="705" spans="3:16" x14ac:dyDescent="0.3">
      <c r="C705" s="144"/>
      <c r="P705" s="135"/>
    </row>
    <row r="706" spans="3:16" x14ac:dyDescent="0.3">
      <c r="C706" s="144"/>
    </row>
    <row r="707" spans="3:16" x14ac:dyDescent="0.3">
      <c r="C707" s="144"/>
    </row>
    <row r="708" spans="3:16" x14ac:dyDescent="0.3">
      <c r="C708" s="144"/>
    </row>
    <row r="709" spans="3:16" x14ac:dyDescent="0.3">
      <c r="C709" s="144"/>
    </row>
    <row r="710" spans="3:16" x14ac:dyDescent="0.3">
      <c r="C710" s="144"/>
    </row>
    <row r="711" spans="3:16" x14ac:dyDescent="0.3">
      <c r="C711" s="144"/>
    </row>
    <row r="712" spans="3:16" x14ac:dyDescent="0.3">
      <c r="C712" s="144"/>
    </row>
    <row r="713" spans="3:16" x14ac:dyDescent="0.3">
      <c r="C713" s="144"/>
    </row>
    <row r="714" spans="3:16" x14ac:dyDescent="0.3">
      <c r="C714" s="144"/>
    </row>
    <row r="715" spans="3:16" x14ac:dyDescent="0.3">
      <c r="C715" s="144"/>
    </row>
    <row r="716" spans="3:16" x14ac:dyDescent="0.3">
      <c r="C716" s="144"/>
    </row>
    <row r="717" spans="3:16" x14ac:dyDescent="0.3">
      <c r="C717" s="144"/>
      <c r="P717" s="135"/>
    </row>
    <row r="718" spans="3:16" x14ac:dyDescent="0.3">
      <c r="C718" s="144"/>
      <c r="P718" s="135"/>
    </row>
    <row r="719" spans="3:16" x14ac:dyDescent="0.3">
      <c r="C719" s="144"/>
    </row>
    <row r="720" spans="3:16" x14ac:dyDescent="0.3">
      <c r="C720" s="144"/>
    </row>
    <row r="721" spans="3:16" x14ac:dyDescent="0.3">
      <c r="C721" s="144"/>
    </row>
    <row r="722" spans="3:16" x14ac:dyDescent="0.3">
      <c r="C722" s="144"/>
    </row>
    <row r="723" spans="3:16" x14ac:dyDescent="0.3">
      <c r="C723" s="144"/>
    </row>
    <row r="724" spans="3:16" x14ac:dyDescent="0.3">
      <c r="C724" s="144"/>
      <c r="P724" s="135"/>
    </row>
    <row r="725" spans="3:16" x14ac:dyDescent="0.3">
      <c r="C725" s="144"/>
    </row>
    <row r="726" spans="3:16" x14ac:dyDescent="0.3">
      <c r="C726" s="144"/>
    </row>
    <row r="727" spans="3:16" x14ac:dyDescent="0.3">
      <c r="C727" s="144"/>
    </row>
    <row r="728" spans="3:16" x14ac:dyDescent="0.3">
      <c r="C728" s="144"/>
      <c r="P728" s="135"/>
    </row>
    <row r="729" spans="3:16" x14ac:dyDescent="0.3">
      <c r="C729" s="144"/>
    </row>
    <row r="730" spans="3:16" x14ac:dyDescent="0.3">
      <c r="C730" s="144"/>
    </row>
    <row r="954" spans="3:16" x14ac:dyDescent="0.3">
      <c r="C954" s="144"/>
      <c r="P954" s="135"/>
    </row>
  </sheetData>
  <phoneticPr fontId="8" type="noConversion"/>
  <dataValidations count="6">
    <dataValidation type="list" allowBlank="1" showInputMessage="1" showErrorMessage="1" sqref="K2:K450" xr:uid="{00000000-0002-0000-0000-000000000000}">
      <formula1>"Oficina, Técnico"</formula1>
    </dataValidation>
    <dataValidation type="list" allowBlank="1" showInputMessage="1" showErrorMessage="1" sqref="Y2:Y450" xr:uid="{76673A38-D6BD-4C78-85A9-D4D5A9DF9B0C}">
      <formula1>"VISUAL, AUDITIVO, ERGONOMÍA, VIDA SALUDABLE, GESTANTE, RESPIRATORIO"</formula1>
    </dataValidation>
    <dataValidation type="list" allowBlank="1" showInputMessage="1" showErrorMessage="1" sqref="V2:V450" xr:uid="{FE913178-3FDF-458B-9CEB-5473530D41CD}">
      <formula1>"Apto, Apto con Restricción, Observado, No Apto"</formula1>
    </dataValidation>
    <dataValidation type="list" allowBlank="1" showInputMessage="1" showErrorMessage="1" sqref="AF2:AF450 AF703:AF1048576" xr:uid="{6FE1F3C2-2774-4F2D-85C1-06EA1BA9AFB0}">
      <formula1>"GOLPE DE CALOR, VIGILANCIA, ERGONOMIA, TME, PSICOSOCIAL, SALUD OCUPACIONAL"</formula1>
    </dataValidation>
    <dataValidation type="list" allowBlank="1" showInputMessage="1" showErrorMessage="1" sqref="S703:S1048576" xr:uid="{51E7D26A-348D-4498-A9CC-4EF63996724F}">
      <formula1>"Pre-Ocupacional,Periódicos,Cambio Puesto de Trabajo, Reincorporación,Retiro"</formula1>
    </dataValidation>
    <dataValidation type="list" allowBlank="1" showInputMessage="1" showErrorMessage="1" sqref="S2:S450" xr:uid="{82137944-799F-4F7A-AE79-1991FE03E44B}">
      <formula1>"Pre-Ocupacional,Periódicos,Cambio Puesto de Trabajo, Reincorporación,Retiro,Ocupacional"</formula1>
    </dataValidation>
  </dataValidations>
  <pageMargins left="0.75" right="0.75" top="1" bottom="1" header="0.5" footer="0.5"/>
  <pageSetup paperSize="9" orientation="portrait" r:id="rId1"/>
  <ignoredErrors>
    <ignoredError sqref="B2:B450" numberStoredAsText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CEFE88-DB8F-491C-9F95-B8A80AB15659}">
          <x14:formula1>
            <xm:f>ListasAuxiliares!$D$2:$D$6</xm:f>
          </x14:formula1>
          <xm:sqref>G2:G450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rgb="FFFF0000"/>
  </sheetPr>
  <dimension ref="A1:O4"/>
  <sheetViews>
    <sheetView zoomScale="86" zoomScaleNormal="86" workbookViewId="0">
      <pane ySplit="1" topLeftCell="A2" activePane="bottomLeft" state="frozen"/>
      <selection activeCell="D19" sqref="D19"/>
      <selection pane="bottomLeft" activeCell="A2" sqref="A2"/>
    </sheetView>
  </sheetViews>
  <sheetFormatPr baseColWidth="10" defaultColWidth="8.88671875" defaultRowHeight="14.4" x14ac:dyDescent="0.3"/>
  <cols>
    <col min="1" max="1" width="13" style="2" customWidth="1"/>
    <col min="2" max="2" width="25.6640625" style="2" customWidth="1"/>
    <col min="3" max="3" width="15.6640625" style="2" customWidth="1"/>
    <col min="4" max="4" width="17.6640625" style="4" customWidth="1"/>
    <col min="5" max="10" width="22.6640625" style="36" customWidth="1"/>
    <col min="11" max="11" width="40.6640625" style="18" customWidth="1"/>
    <col min="12" max="12" width="15.6640625" style="25" customWidth="1"/>
    <col min="13" max="14" width="15.6640625" style="25" hidden="1" customWidth="1"/>
    <col min="15" max="15" width="20.6640625" style="25" hidden="1" customWidth="1"/>
  </cols>
  <sheetData>
    <row r="1" spans="1:15" ht="40.200000000000003" customHeight="1" x14ac:dyDescent="0.3">
      <c r="A1" s="8" t="s">
        <v>33</v>
      </c>
      <c r="B1" s="8" t="s">
        <v>2</v>
      </c>
      <c r="C1" s="8" t="s">
        <v>1</v>
      </c>
      <c r="D1" s="75" t="s">
        <v>34</v>
      </c>
      <c r="E1" s="10" t="s">
        <v>35</v>
      </c>
      <c r="F1" s="10" t="s">
        <v>36</v>
      </c>
      <c r="G1" s="10" t="s">
        <v>37</v>
      </c>
      <c r="H1" s="10" t="s">
        <v>38</v>
      </c>
      <c r="I1" s="10" t="s">
        <v>39</v>
      </c>
      <c r="J1" s="10" t="s">
        <v>40</v>
      </c>
      <c r="K1" s="50" t="s">
        <v>41</v>
      </c>
      <c r="L1" s="50" t="s">
        <v>42</v>
      </c>
      <c r="M1" s="50" t="s">
        <v>43</v>
      </c>
      <c r="N1" s="50" t="s">
        <v>44</v>
      </c>
      <c r="O1" s="50" t="s">
        <v>45</v>
      </c>
    </row>
    <row r="2" spans="1:15" ht="43.2" customHeight="1" x14ac:dyDescent="0.3">
      <c r="A2" s="11" t="str">
        <f>IF(B2&lt;&gt;"", "ACC-" &amp; TEXT(4000 + ROW(A2) - 1, "0000"), "")</f>
        <v/>
      </c>
      <c r="B2" s="7"/>
      <c r="C2" s="11"/>
      <c r="D2" s="96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5" x14ac:dyDescent="0.3">
      <c r="A3" s="11" t="str">
        <f>IF(B3&lt;&gt;"", "ACC-" &amp; TEXT(4000 + ROW(A3) - 1, "0000"), "")</f>
        <v/>
      </c>
      <c r="B3" s="7"/>
      <c r="C3" s="11"/>
      <c r="D3" s="96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1:15" x14ac:dyDescent="0.3">
      <c r="A4" s="11" t="str">
        <f>IF(B4&lt;&gt;"", "ACC-" &amp; TEXT(4000 + ROW(A4) - 1, "0000"), "")</f>
        <v/>
      </c>
      <c r="B4" s="7"/>
      <c r="C4" s="11"/>
      <c r="D4" s="96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</row>
  </sheetData>
  <dataValidations count="1">
    <dataValidation type="list" allowBlank="1" showInputMessage="1" showErrorMessage="1" sqref="L2:L4" xr:uid="{37530AF3-56A9-4DE8-865F-5C023784A3A9}">
      <formula1>"Descanso Médico, Licencia con Goce de Haber"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rgb="FFFF0000"/>
  </sheetPr>
  <dimension ref="A1:P7"/>
  <sheetViews>
    <sheetView workbookViewId="0">
      <pane ySplit="1" topLeftCell="A2" activePane="bottomLeft" state="frozen"/>
      <selection activeCell="D19" sqref="D19"/>
      <selection pane="bottomLeft" activeCell="Q15" sqref="Q15"/>
    </sheetView>
  </sheetViews>
  <sheetFormatPr baseColWidth="10" defaultColWidth="8.88671875" defaultRowHeight="14.4" x14ac:dyDescent="0.3"/>
  <cols>
    <col min="1" max="1" width="12" style="2" customWidth="1"/>
    <col min="2" max="2" width="25.6640625" style="2" customWidth="1"/>
    <col min="3" max="3" width="15.6640625" style="2" customWidth="1"/>
    <col min="4" max="4" width="17.6640625" style="1" customWidth="1"/>
    <col min="5" max="5" width="14" style="5" customWidth="1"/>
    <col min="6" max="9" width="15.6640625" hidden="1" customWidth="1"/>
    <col min="10" max="12" width="20.6640625" hidden="1" customWidth="1"/>
    <col min="13" max="16" width="15.6640625" hidden="1" customWidth="1"/>
    <col min="17" max="21" width="8.88671875" customWidth="1"/>
  </cols>
  <sheetData>
    <row r="1" spans="1:16" ht="40.200000000000003" customHeight="1" x14ac:dyDescent="0.3">
      <c r="A1" s="10" t="s">
        <v>46</v>
      </c>
      <c r="B1" s="10" t="s">
        <v>2</v>
      </c>
      <c r="C1" s="10" t="s">
        <v>1</v>
      </c>
      <c r="D1" s="33" t="s">
        <v>34</v>
      </c>
      <c r="E1" s="10" t="s">
        <v>47</v>
      </c>
      <c r="F1" s="50" t="s">
        <v>37</v>
      </c>
      <c r="G1" s="50" t="s">
        <v>48</v>
      </c>
      <c r="H1" s="34" t="s">
        <v>33</v>
      </c>
      <c r="I1" s="34" t="s">
        <v>49</v>
      </c>
      <c r="J1" s="34" t="s">
        <v>50</v>
      </c>
      <c r="K1" s="34" t="s">
        <v>51</v>
      </c>
      <c r="L1" s="34" t="s">
        <v>38</v>
      </c>
      <c r="M1" s="34" t="s">
        <v>42</v>
      </c>
      <c r="N1" s="34" t="s">
        <v>52</v>
      </c>
      <c r="O1" s="34" t="s">
        <v>44</v>
      </c>
      <c r="P1" s="34" t="s">
        <v>45</v>
      </c>
    </row>
    <row r="2" spans="1:16" x14ac:dyDescent="0.3">
      <c r="A2" s="11" t="str">
        <f>IF(B2&lt;&gt;"", "ATE-" &amp; TEXT(5000 + ROW(A2) - 1, "0000"), "")</f>
        <v/>
      </c>
      <c r="B2" s="7"/>
      <c r="C2" s="11"/>
      <c r="D2" s="96"/>
      <c r="E2" s="12"/>
      <c r="F2" s="12"/>
      <c r="G2" s="12"/>
      <c r="H2" s="35"/>
      <c r="I2" s="35"/>
      <c r="J2" s="35"/>
      <c r="K2" s="35"/>
      <c r="L2" s="35"/>
      <c r="M2" s="35"/>
      <c r="N2" s="35"/>
      <c r="O2" s="35"/>
      <c r="P2" s="35"/>
    </row>
    <row r="3" spans="1:16" x14ac:dyDescent="0.3">
      <c r="A3" s="11"/>
      <c r="B3" s="7"/>
      <c r="C3" s="11"/>
      <c r="D3" s="96"/>
      <c r="E3" s="12"/>
      <c r="F3" s="12"/>
      <c r="G3" s="12"/>
      <c r="H3" s="35"/>
      <c r="I3" s="35"/>
      <c r="J3" s="35"/>
      <c r="K3" s="35"/>
      <c r="L3" s="35"/>
      <c r="M3" s="35"/>
      <c r="N3" s="35"/>
      <c r="O3" s="35"/>
      <c r="P3" s="35"/>
    </row>
    <row r="4" spans="1:16" x14ac:dyDescent="0.3">
      <c r="A4" s="11"/>
      <c r="B4" s="7"/>
      <c r="C4" s="11"/>
      <c r="D4" s="96"/>
      <c r="E4" s="12"/>
      <c r="F4" s="12"/>
      <c r="G4" s="12"/>
      <c r="H4" s="35"/>
      <c r="I4" s="35"/>
      <c r="J4" s="35"/>
      <c r="K4" s="35"/>
      <c r="L4" s="35"/>
      <c r="M4" s="35"/>
      <c r="N4" s="35"/>
      <c r="O4" s="35"/>
      <c r="P4" s="35"/>
    </row>
    <row r="5" spans="1:16" x14ac:dyDescent="0.3">
      <c r="A5" s="11"/>
      <c r="B5" s="7"/>
      <c r="C5" s="11"/>
      <c r="D5" s="96"/>
      <c r="E5" s="12"/>
      <c r="F5" s="12"/>
      <c r="G5" s="12"/>
      <c r="H5" s="35"/>
      <c r="I5" s="35"/>
      <c r="J5" s="35"/>
      <c r="K5" s="35"/>
      <c r="L5" s="35"/>
      <c r="M5" s="35"/>
      <c r="N5" s="35"/>
      <c r="O5" s="35"/>
      <c r="P5" s="35"/>
    </row>
    <row r="6" spans="1:16" x14ac:dyDescent="0.3">
      <c r="A6" s="11"/>
      <c r="B6" s="7"/>
      <c r="C6" s="11"/>
      <c r="D6" s="96"/>
      <c r="E6" s="12"/>
      <c r="F6" s="12"/>
      <c r="G6" s="12"/>
      <c r="H6" s="35"/>
      <c r="I6" s="35"/>
      <c r="J6" s="35"/>
      <c r="K6" s="35"/>
      <c r="L6" s="35"/>
      <c r="M6" s="35"/>
      <c r="N6" s="35"/>
      <c r="O6" s="35"/>
      <c r="P6" s="35"/>
    </row>
    <row r="7" spans="1:16" x14ac:dyDescent="0.3">
      <c r="A7" s="11"/>
      <c r="B7" s="7"/>
      <c r="C7" s="11"/>
      <c r="D7" s="96"/>
      <c r="E7" s="12"/>
      <c r="F7" s="12"/>
      <c r="G7" s="12"/>
      <c r="H7" s="35"/>
      <c r="I7" s="35"/>
      <c r="J7" s="35"/>
      <c r="K7" s="35"/>
      <c r="L7" s="35"/>
      <c r="M7" s="35"/>
      <c r="N7" s="35"/>
      <c r="O7" s="35"/>
      <c r="P7" s="35"/>
    </row>
  </sheetData>
  <phoneticPr fontId="8" type="noConversion"/>
  <dataValidations count="2">
    <dataValidation type="list" allowBlank="1" showInputMessage="1" showErrorMessage="1" sqref="E2:E7" xr:uid="{B1E054F4-17CE-410A-A810-7D28E49A17B2}">
      <formula1>"Rutina, Accidente"</formula1>
    </dataValidation>
    <dataValidation type="list" allowBlank="1" showInputMessage="1" showErrorMessage="1" sqref="M2:M7" xr:uid="{D0158EBC-C5AA-4139-A41D-5CC448BE2EC4}">
      <formula1>"Descanso Médico, Licencia con Goce de Haber"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rgb="FFFF0000"/>
  </sheetPr>
  <dimension ref="A1:E2"/>
  <sheetViews>
    <sheetView workbookViewId="0">
      <pane ySplit="1" topLeftCell="A2" activePane="bottomLeft" state="frozen"/>
      <selection activeCell="D19" sqref="D19"/>
      <selection pane="bottomLeft" activeCell="C2" sqref="C2"/>
    </sheetView>
  </sheetViews>
  <sheetFormatPr baseColWidth="10" defaultColWidth="8.88671875" defaultRowHeight="14.4" x14ac:dyDescent="0.3"/>
  <cols>
    <col min="1" max="1" width="14" style="1" customWidth="1"/>
    <col min="2" max="2" width="25.6640625" style="1" customWidth="1"/>
    <col min="3" max="3" width="15.6640625" style="24" customWidth="1"/>
    <col min="4" max="4" width="13" style="5" customWidth="1"/>
    <col min="5" max="5" width="17.6640625" style="1" customWidth="1"/>
  </cols>
  <sheetData>
    <row r="1" spans="1:5" x14ac:dyDescent="0.3">
      <c r="A1" s="10" t="s">
        <v>53</v>
      </c>
      <c r="B1" s="10" t="s">
        <v>2</v>
      </c>
      <c r="C1" s="10" t="s">
        <v>1</v>
      </c>
      <c r="D1" s="10" t="s">
        <v>54</v>
      </c>
      <c r="E1" s="33" t="s">
        <v>34</v>
      </c>
    </row>
    <row r="2" spans="1:5" x14ac:dyDescent="0.3">
      <c r="A2" s="1" t="str">
        <f>IF(B2&lt;&gt;"", "VAC-" &amp; TEXT(10000 + ROW(A2) - 1, "0000"), "")</f>
        <v/>
      </c>
      <c r="C2" s="1" t="str">
        <f>IF(B2="", "", _xlfn.XLOOKUP(B2, tbl_Trabajadores[Nombre], tbl_Trabajadores[DNI], ""))</f>
        <v/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F992-F2EC-48E7-BAA0-FB180A52D8D6}">
  <sheetPr codeName="Hoja15">
    <tabColor rgb="FF00B0F0"/>
  </sheetPr>
  <dimension ref="A1:X330"/>
  <sheetViews>
    <sheetView zoomScale="70" zoomScaleNormal="70" workbookViewId="0">
      <selection activeCell="L7" sqref="L7"/>
    </sheetView>
  </sheetViews>
  <sheetFormatPr baseColWidth="10" defaultColWidth="11.44140625" defaultRowHeight="14.4" x14ac:dyDescent="0.3"/>
  <cols>
    <col min="1" max="1" width="18.77734375" customWidth="1"/>
    <col min="2" max="4" width="17.88671875" bestFit="1" customWidth="1"/>
    <col min="5" max="5" width="15.6640625" customWidth="1"/>
    <col min="6" max="6" width="16.6640625" customWidth="1"/>
    <col min="7" max="12" width="25.6640625" customWidth="1"/>
    <col min="13" max="14" width="30.6640625" customWidth="1"/>
    <col min="15" max="17" width="15.6640625" customWidth="1"/>
    <col min="18" max="19" width="25.6640625" customWidth="1"/>
    <col min="20" max="20" width="20.6640625" customWidth="1"/>
    <col min="21" max="22" width="15.6640625" customWidth="1"/>
    <col min="23" max="24" width="25.6640625" customWidth="1"/>
  </cols>
  <sheetData>
    <row r="1" spans="1:24" ht="18" customHeight="1" x14ac:dyDescent="0.3">
      <c r="A1" s="155" t="str">
        <f>IFERROR(C329, "Seleccione Obra")</f>
        <v xml:space="preserve">A y C  Asesoria </v>
      </c>
      <c r="B1" s="156"/>
      <c r="C1" s="156"/>
      <c r="D1" s="156"/>
      <c r="E1" s="156"/>
      <c r="F1" s="156"/>
      <c r="G1" s="156"/>
      <c r="H1" s="156"/>
      <c r="I1" s="156"/>
      <c r="J1" s="156"/>
      <c r="K1" s="157"/>
    </row>
    <row r="4" spans="1:24" ht="28.8" x14ac:dyDescent="0.3">
      <c r="A4" s="51" t="s">
        <v>55</v>
      </c>
      <c r="B4" s="102" t="s">
        <v>56</v>
      </c>
      <c r="C4" s="102" t="s">
        <v>57</v>
      </c>
      <c r="D4" s="102" t="s">
        <v>58</v>
      </c>
      <c r="E4" s="102" t="s">
        <v>59</v>
      </c>
      <c r="F4" s="102" t="s">
        <v>60</v>
      </c>
      <c r="G4" s="51" t="s">
        <v>61</v>
      </c>
      <c r="H4" s="102" t="s">
        <v>62</v>
      </c>
      <c r="I4" s="51" t="s">
        <v>63</v>
      </c>
      <c r="J4" s="102" t="s">
        <v>64</v>
      </c>
      <c r="K4" s="102" t="s">
        <v>65</v>
      </c>
    </row>
    <row r="5" spans="1:24" ht="25.2" customHeight="1" x14ac:dyDescent="0.3">
      <c r="A5" s="101" t="s">
        <v>66</v>
      </c>
      <c r="B5" s="95" cm="1">
        <f t="array" ref="B5">SUMPRODUCT((Trabajadores!$G:$G = STATS!$A$1) * (IFERROR(MONTH(Trabajadores!$L:$L), 0) = 1) * (IFERROR(YEAR(Trabajadores!$L:$L), 0) = $G$8))</f>
        <v>21</v>
      </c>
      <c r="C5" s="95" cm="1">
        <f t="array" ref="C5">SUMPRODUCT((Historial_Trabajadores!$E:$E = STATS!$A$1) * ((IFERROR(YEAR(Historial_Trabajadores!$F:$F), 0) &lt; $G$8) + ((IFERROR(YEAR(Historial_Trabajadores!$F:$F), 0) = $G$8) * (IFERROR(MONTH(Historial_Trabajadores!$F:$F), 0) &lt;= 1))) * ((Historial_Trabajadores!$G:$G = "") + (IFERROR(YEAR(Historial_Trabajadores!$G:$G), 0) &gt; $G$8) + ((IFERROR(YEAR(Historial_Trabajadores!$G:$G), 0) = $G$8) * (IFERROR(MONTH(Historial_Trabajadores!$G:$G), 0) &gt; 1))))</f>
        <v>238</v>
      </c>
      <c r="D5" s="95" cm="1">
        <f t="array" ref="D5">SUMPRODUCT((Trabajadores!$G:$G = STATS!$A$1) * (IFERROR(MONTH(Trabajadores!$M:$M), 0) = 1) * (IFERROR(YEAR(Trabajadores!$M:$M), 0) = $G$8))</f>
        <v>3</v>
      </c>
      <c r="E5" s="126">
        <f>IFERROR(D5 / C5, 0)</f>
        <v>1.2605042016806723E-2</v>
      </c>
      <c r="F5" s="95" cm="1">
        <f t="array" ref="F5">SUMPRODUCT((Trabajadores!$G:$G = STATS!$A$1) * (Trabajadores!$O:$O = "SI") * (IFERROR(MONTH(Trabajadores!$P:$P), 0) = 1))</f>
        <v>0</v>
      </c>
      <c r="G5" s="52" cm="1">
        <f t="array" ref="G5">SUMPRODUCT((Trabajadores!$G:$G = STATS!$A$1) * (Trabajadores!$M:$M = "Sin registro"))</f>
        <v>149</v>
      </c>
      <c r="H5" s="53">
        <f>COUNTIFS(Trabajadores!$G:$G, STATS!A1, Trabajadores!$O:$O, "NO")</f>
        <v>201</v>
      </c>
      <c r="I5" s="55">
        <f ca="1">COUNTIFS(Trabajadores!$G:$G, STATS!A1, Trabajadores!$Q:$Q, "Vigente")</f>
        <v>52</v>
      </c>
      <c r="J5" s="53">
        <f ca="1">COUNTIFS(Trabajadores!$G:$G, STATS!A1, Trabajadores!$Q:$Q, "Vencido")</f>
        <v>0</v>
      </c>
      <c r="K5" s="59">
        <f ca="1">COUNTIFS(Trabajadores!$G:$G, A1, Trabajadores!$Q:$Q, "Pendiente")</f>
        <v>149</v>
      </c>
      <c r="S5" s="41"/>
    </row>
    <row r="6" spans="1:24" ht="25.2" customHeight="1" x14ac:dyDescent="0.3">
      <c r="A6" s="101" t="s">
        <v>67</v>
      </c>
      <c r="B6" s="95" cm="1">
        <f t="array" ref="B6">SUMPRODUCT((Trabajadores!$G:$G = STATS!$A$1) * (IFERROR(MONTH(Trabajadores!$L:$L), 0) = 2) * (IFERROR(YEAR(Trabajadores!$L:$L), 0) = $G$8))</f>
        <v>15</v>
      </c>
      <c r="C6" s="95" cm="1">
        <f t="array" ref="C6">SUMPRODUCT((Historial_Trabajadores!$E:$E = STATS!$A$1) * ((IFERROR(YEAR(Historial_Trabajadores!$F:$F), 0) &lt; $G$8) + ((IFERROR(YEAR(Historial_Trabajadores!$F:$F), 0) = $G$8) * (IFERROR(MONTH(Historial_Trabajadores!$F:$F), 0) &lt;= 2))) * ((Historial_Trabajadores!$G:$G = "") + (IFERROR(YEAR(Historial_Trabajadores!$G:$G), 0) &gt; $G$8) + ((IFERROR(YEAR(Historial_Trabajadores!$G:$G), 0) = $G$8) * (IFERROR(MONTH(Historial_Trabajadores!$G:$G), 0) &gt; 2))))</f>
        <v>253</v>
      </c>
      <c r="D6" s="95" cm="1">
        <f t="array" ref="D6">SUMPRODUCT((Trabajadores!$G:$G = STATS!$A$1) * (IFERROR(MONTH(Trabajadores!$M:$M), 0) = 2) * (IFERROR(YEAR(Trabajadores!$M:$M), 0) = $G$8))</f>
        <v>6</v>
      </c>
      <c r="E6" s="126">
        <f t="shared" ref="E6:E16" si="0">IFERROR(D6 / C6, 0)</f>
        <v>2.3715415019762844E-2</v>
      </c>
      <c r="F6" s="95" cm="1">
        <f t="array" ref="F6">SUMPRODUCT((Trabajadores!$G:$G = STATS!$A$1) * (Trabajadores!$O:$O = "SI") * (IFERROR(MONTH(Trabajadores!$P:$P), 0) = 2))</f>
        <v>0</v>
      </c>
      <c r="G6" s="125" t="s">
        <v>68</v>
      </c>
      <c r="H6" s="102" t="s">
        <v>69</v>
      </c>
      <c r="I6" s="93" t="s">
        <v>70</v>
      </c>
      <c r="J6" s="93" t="s">
        <v>71</v>
      </c>
      <c r="K6" s="93" t="s">
        <v>72</v>
      </c>
      <c r="L6" s="93" t="s">
        <v>70</v>
      </c>
      <c r="T6" t="str" cm="1">
        <f t="array" ref="T6">_xlfn.LET(
    _xlpm.mes_num, MATCH($H$8, {"Enero","Febrero","Marzo","Abril","Mayo","Junio","Julio","Agosto","Septiembre","Octubre","Noviembre","Diciembre"}, 0),
    _xlpm.obra_sel, $A$1,
    _xlpm.dicc_f, _xlfn._xlws.FILTER(ListasAuxiliares!$F$2:$F$102, ListasAuxiliares!$F$2:$F$102&lt;&gt;""),
    _xlpm.dicc_g, _xlfn._xlws.FILTER(ListasAuxiliares!$G$2:$G$102, ListasAuxiliares!$G$2:$G$102&lt;&gt;""),
    _xlpm.lista_descripciones, _xlfn._xlws.FILTER(Accidentes!$E$2:$E$4995, (IFERROR(MONTH(Accidentes!$D$2:$D$4995), 0)=_xlpm.mes_num)*(Accidentes!$D$2:$D$4995&lt;&gt;"")*(_xlfn.XLOOKUP(Accidentes!$B$2:$B$4995, Trabajadores!$C$2:$C$5667, Trabajadores!$G$2:$G$5667, "")=_xlpm.obra_sel), "Vacio"),
    IF(INDEX(_xlpm.lista_descripciones, 1)="Vacio", "Sin accidentes",
        _xlfn.LET(
            _xlpm.lista_mapeada, _xlfn.MAP(_xlpm.lista_descripciones, _xlfn.LAMBDA(_xlpm.d,
                IFERROR(
                    LOOKUP(1, 0/SEARCH(_xlpm.dicc_f, _xlpm.d), _xlpm.dicc_g),
                    "Otros"
                )
            )),
            _xlpm.u, _xlfn.UNIQUE(_xlpm.lista_mapeada),
            _xlpm.conteo, _xlfn.MAP(_xlpm.u, _xlfn.LAMBDA(_xlpm.x, SUM(--(_xlpm.lista_mapeada=_xlpm.x)))),
            _xlfn._xlws.SORT(_xlfn.HSTACK(_xlpm.u, _xlpm.conteo), 2, -1)
        )
    )
)</f>
        <v>Sin accidentes</v>
      </c>
      <c r="W6" s="88" t="s">
        <v>73</v>
      </c>
      <c r="X6" s="91">
        <f t="shared" ref="X6:X15" si="1">IFERROR(VLOOKUP(W6, $T$6:$U$16, 2, 0), 0)</f>
        <v>0</v>
      </c>
    </row>
    <row r="7" spans="1:24" ht="25.2" customHeight="1" x14ac:dyDescent="0.3">
      <c r="A7" s="101" t="s">
        <v>74</v>
      </c>
      <c r="B7" s="95" cm="1">
        <f t="array" ref="B7">SUMPRODUCT((Trabajadores!$G:$G = STATS!$A$1) * (IFERROR(MONTH(Trabajadores!$L:$L), 0) = 3) * (IFERROR(YEAR(Trabajadores!$L:$L), 0) = $G$8))</f>
        <v>0</v>
      </c>
      <c r="C7" s="95" cm="1">
        <f t="array" ref="C7">SUMPRODUCT((Historial_Trabajadores!$E:$E = STATS!$A$1) * ((IFERROR(YEAR(Historial_Trabajadores!$F:$F), 0) &lt; $G$8) + ((IFERROR(YEAR(Historial_Trabajadores!$F:$F), 0) = $G$8) * (IFERROR(MONTH(Historial_Trabajadores!$F:$F), 0) &lt;= 3))) * ((Historial_Trabajadores!$G:$G = "") + (IFERROR(YEAR(Historial_Trabajadores!$G:$G), 0) &gt; $G$8) + ((IFERROR(YEAR(Historial_Trabajadores!$G:$G), 0) = $G$8) * (IFERROR(MONTH(Historial_Trabajadores!$G:$G), 0) &gt; 3))))</f>
        <v>253</v>
      </c>
      <c r="D7" s="95" cm="1">
        <f t="array" ref="D7">SUMPRODUCT((Trabajadores!$G:$G = STATS!$A$1) * (IFERROR(MONTH(Trabajadores!$M:$M), 0) = 3) * (IFERROR(YEAR(Trabajadores!$M:$M), 0) = $G$8))</f>
        <v>4</v>
      </c>
      <c r="E7" s="126">
        <f t="shared" si="0"/>
        <v>1.5810276679841896E-2</v>
      </c>
      <c r="F7" s="95" cm="1">
        <f t="array" ref="F7">SUMPRODUCT((Trabajadores!$G:$G = STATS!$A$1) * (Trabajadores!$O:$O = "SI") * (IFERROR(MONTH(Trabajadores!$P:$P), 0) = 3))</f>
        <v>0</v>
      </c>
      <c r="G7" s="52" cm="1">
        <f t="array" ref="G7">_xlfn.LET(
    _xlpm.mes_num, MATCH($H$8, {"Enero","Febrero","Marzo","Abril","Mayo","Junio","Julio","Agosto","Septiembre","Octubre","Noviembre","Diciembre"}, 0),
    _xlpm.anio_sel, $G$8,
    _xlpm.obra_sel, $A$1,
    SUMPRODUCT(
        (Trabajadores!$G:$G = _xlpm.obra_sel) * (IFERROR(MONTH(Trabajadores!$L:$L), 0) = _xlpm.mes_num) * (IFERROR(YEAR(Trabajadores!$L:$L), 0) = _xlpm.anio_sel)
    )
)</f>
        <v>15</v>
      </c>
      <c r="H7" s="53" cm="1">
        <f t="array" ref="H7">_xlfn.LET(
    _xlpm.mes_num, MATCH($H$8, {"Enero","Febrero","Marzo","Abril","Mayo","Junio","Julio","Agosto","Septiembre","Octubre","Noviembre","Diciembre"}, 0),
    _xlpm.anio_sel, $G$8,
    _xlpm.obra_sel, $A$1,
    SUMPRODUCT(
        (Historial_Trabajadores!$E:$E = _xlpm.obra_sel) * (
            (IFERROR(YEAR(Historial_Trabajadores!$F:$F), 0) &lt; _xlpm.anio_sel) +
            ((IFERROR(YEAR(Historial_Trabajadores!$F:$F), 0) = _xlpm.anio_sel) * (IFERROR(MONTH(Historial_Trabajadores!$F:$F), 0) &lt;= _xlpm.mes_num))
        ) * (
            (Historial_Trabajadores!$G:$G = "") +
            (IFERROR(YEAR(Historial_Trabajadores!$G:$G), 0) &gt; _xlpm.anio_sel) +
            ((IFERROR(YEAR(Historial_Trabajadores!$G:$G), 0) = _xlpm.anio_sel) * (IFERROR(MONTH(Historial_Trabajadores!$G:$G), 0) &gt; _xlpm.mes_num))
        )
    )
)</f>
        <v>253</v>
      </c>
      <c r="I7" s="1" cm="1">
        <f t="array" ref="I7">_xlfn.LET(
    _xlpm.mes_num, MATCH($H$8, {"Enero","Febrero","Marzo","Abril","Mayo","Junio","Julio","Agosto","Septiembre","Octubre","Noviembre","Diciembre"}, 0),
    _xlpm.anio_sel, $G$8,
    _xlpm.obra_sel, $A$1,
    SUMPRODUCT(
        (Trabajadores!$G$2:$G$6000 = _xlpm.obra_sel) * (IFERROR(MONTH(Trabajadores!$M$2:$M$6000), 0) = _xlpm.mes_num) * (IFERROR(YEAR(Trabajadores!$M$2:$M$6000), 0) = _xlpm.anio_sel)
    )
)</f>
        <v>6</v>
      </c>
      <c r="J7" s="1" cm="1">
        <f t="array" ref="J7">_xlfn.LET(
    _xlpm.mes_num, MATCH($H$8, {"Enero","Febrero","Marzo","Abril","Mayo","Junio","Julio","Agosto","Septiembre","Octubre","Noviembre","Diciembre"}, 0),
    _xlpm.anio_sel, $G$8,
    _xlpm.obra_sel, $A$1,
    SUMPRODUCT(
        (Trabajadores!$G$2:$G$6000 = _xlpm.obra_sel) * (Trabajadores!$P$2:$P$6000 &lt;&gt; "NO") * (ISNUMBER(Trabajadores!$P$2:$P$6000)) * (IFERROR(YEAR(Trabajadores!$P$2:$P$6000)*12 + MONTH(Trabajadores!$P$2:$P$6000), 0) &lt;= (_xlpm.anio_sel * 12 + _xlpm.mes_num))
    )
)</f>
        <v>0</v>
      </c>
      <c r="K7" s="94">
        <f>IFERROR(J7/L7,0)</f>
        <v>0</v>
      </c>
      <c r="L7" cm="1">
        <f t="array" ref="L7">SUMPRODUCT(
    (Trabajadores!$G$2:$G$6000 = $A$1)* (Trabajadores!$M$2:$M$6000 &lt;&gt; "Sin registro")
)</f>
        <v>52</v>
      </c>
      <c r="W7" s="89" t="s">
        <v>75</v>
      </c>
      <c r="X7" s="91">
        <f t="shared" si="1"/>
        <v>0</v>
      </c>
    </row>
    <row r="8" spans="1:24" ht="34.950000000000003" customHeight="1" x14ac:dyDescent="0.3">
      <c r="A8" s="101" t="s">
        <v>76</v>
      </c>
      <c r="B8" s="95" cm="1">
        <f t="array" ref="B8">SUMPRODUCT((Trabajadores!$G:$G = STATS!$A$1) * (IFERROR(MONTH(Trabajadores!$L:$L), 0) = 4) * (IFERROR(YEAR(Trabajadores!$L:$L), 0) = $G$8))</f>
        <v>0</v>
      </c>
      <c r="C8" s="95" cm="1">
        <f t="array" ref="C8">SUMPRODUCT((Historial_Trabajadores!$E:$E = STATS!$A$1) * ((IFERROR(YEAR(Historial_Trabajadores!$F:$F), 0) &lt; $G$8) + ((IFERROR(YEAR(Historial_Trabajadores!$F:$F), 0) = $G$8) * (IFERROR(MONTH(Historial_Trabajadores!$F:$F), 0) &lt;= 4))) * ((Historial_Trabajadores!$G:$G = "") + (IFERROR(YEAR(Historial_Trabajadores!$G:$G), 0) &gt; $G$8) + ((IFERROR(YEAR(Historial_Trabajadores!$G:$G), 0) = $G$8) * (IFERROR(MONTH(Historial_Trabajadores!$G:$G), 0) &gt; 4))))</f>
        <v>253</v>
      </c>
      <c r="D8" s="95" cm="1">
        <f t="array" ref="D8">SUMPRODUCT((Trabajadores!$G:$G = STATS!$A$1) * (IFERROR(MONTH(Trabajadores!$M:$M), 0) = 4) * (IFERROR(YEAR(Trabajadores!$M:$M), 0) = $G$8))</f>
        <v>6</v>
      </c>
      <c r="E8" s="126">
        <f t="shared" si="0"/>
        <v>2.3715415019762844E-2</v>
      </c>
      <c r="F8" s="95" cm="1">
        <f t="array" ref="F8">SUMPRODUCT((Trabajadores!$G:$G = STATS!$A$1) * (Trabajadores!$O:$O = "SI") * (IFERROR(MONTH(Trabajadores!$P:$P), 0) = 4))</f>
        <v>0</v>
      </c>
      <c r="G8" s="51">
        <f>IFERROR(D329, "Seleccione Obra")</f>
        <v>2026</v>
      </c>
      <c r="H8" s="51" t="str">
        <f>IFERROR(B329, "Seleccione Obra")</f>
        <v>FEBRERO</v>
      </c>
      <c r="I8" s="51" t="s">
        <v>77</v>
      </c>
      <c r="J8" s="51" t="s">
        <v>78</v>
      </c>
      <c r="K8" s="51" t="s">
        <v>79</v>
      </c>
      <c r="L8" s="51" t="s">
        <v>80</v>
      </c>
      <c r="M8" s="51" t="s">
        <v>69</v>
      </c>
      <c r="N8" s="51" t="s">
        <v>81</v>
      </c>
      <c r="O8" s="153" t="s">
        <v>82</v>
      </c>
      <c r="P8" s="154"/>
      <c r="Q8" s="153" t="s">
        <v>83</v>
      </c>
      <c r="R8" s="154"/>
      <c r="W8" s="89" t="s">
        <v>84</v>
      </c>
      <c r="X8" s="91">
        <f t="shared" si="1"/>
        <v>0</v>
      </c>
    </row>
    <row r="9" spans="1:24" ht="25.2" customHeight="1" x14ac:dyDescent="0.3">
      <c r="A9" s="101" t="s">
        <v>85</v>
      </c>
      <c r="B9" s="95" cm="1">
        <f t="array" ref="B9">SUMPRODUCT((Trabajadores!$G:$G = STATS!$A$1) * (IFERROR(MONTH(Trabajadores!$L:$L), 0) = 5) * (IFERROR(YEAR(Trabajadores!$L:$L), 0) = $G$8))</f>
        <v>0</v>
      </c>
      <c r="C9" s="95" cm="1">
        <f t="array" ref="C9">SUMPRODUCT((Historial_Trabajadores!$E:$E = STATS!$A$1) * ((IFERROR(YEAR(Historial_Trabajadores!$F:$F), 0) &lt; $G$8) + ((IFERROR(YEAR(Historial_Trabajadores!$F:$F), 0) = $G$8) * (IFERROR(MONTH(Historial_Trabajadores!$F:$F), 0) &lt;= 5))) * ((Historial_Trabajadores!$G:$G = "") + (IFERROR(YEAR(Historial_Trabajadores!$G:$G), 0) &gt; $G$8) + ((IFERROR(YEAR(Historial_Trabajadores!$G:$G), 0) = $G$8) * (IFERROR(MONTH(Historial_Trabajadores!$G:$G), 0) &gt; 5))))</f>
        <v>253</v>
      </c>
      <c r="D9" s="95" cm="1">
        <f t="array" ref="D9">SUMPRODUCT((Trabajadores!$G:$G = STATS!$A$1) * (IFERROR(MONTH(Trabajadores!$M:$M), 0) = 5) * (IFERROR(YEAR(Trabajadores!$M:$M), 0) = $G$8))</f>
        <v>5</v>
      </c>
      <c r="E9" s="126">
        <f t="shared" si="0"/>
        <v>1.9762845849802372E-2</v>
      </c>
      <c r="F9" s="95" cm="1">
        <f t="array" ref="F9">SUMPRODUCT((Trabajadores!$G:$G = STATS!$A$1) * (Trabajadores!$O:$O = "SI") * (IFERROR(MONTH(Trabajadores!$P:$P), 0) = 5))</f>
        <v>0</v>
      </c>
      <c r="G9" s="1"/>
      <c r="H9" s="51" t="s">
        <v>86</v>
      </c>
      <c r="I9" s="1" cm="1">
        <f t="array" ref="I9">_xlfn.LET(
    _xlpm.mes_num, MATCH($H$8, {"Enero","Febrero","Marzo","Abril","Mayo","Junio","Julio","Agosto","Septiembre","Octubre","Noviembre","Diciembre"}, 0),
    _xlpm.obra_sel, $A$1,
    SUMPRODUCT((IFERROR(MONTH(Accidentes!$D$2:$D$4995), 0)=_xlpm.mes_num) * (Accidentes!$D$2:$D$4995&lt;&gt;"") * (_xlfn.XLOOKUP(Accidentes!$B$2:$B$4995, Trabajadores!$C$2:$C$5665, Trabajadores!$G$2:$G$5665, "")=_xlpm.obra_sel))
)</f>
        <v>0</v>
      </c>
      <c r="J9" s="1" cm="1">
        <f t="array" ref="J9">_xlfn.LET(
    _xlpm.mes_num, MATCH($H$8, {"Enero","Febrero","Marzo","Abril","Mayo","Junio","Julio","Agosto","Septiembre","Octubre","Noviembre","Diciembre"}, 0),
    _xlpm.obra_sel, $A$1,
    _xlpm.lista_dni, _xlfn._xlws.FILTER(Accidentes!$B$2:$B$4995, (IFERROR(MONTH(Accidentes!$D$2:$D$4995), 0)=_xlpm.mes_num) * (_xlfn.XLOOKUP(Accidentes!$B$2:$B$4995, Trabajadores!$C$2:$C$5665, Trabajadores!$G$2:$G$5665, "")=_xlpm.obra_sel), "Vacio"),
    IF(INDEX(_xlpm.lista_dni, 1)="Vacio", 0, COUNTA(_xlfn.UNIQUE(_xlpm.lista_dni)))
)</f>
        <v>0</v>
      </c>
      <c r="K9" s="1" cm="1">
        <f t="array" ref="K9">_xlfn.LET(
    _xlpm.mes_num, MATCH($H$8, {"Enero","Febrero","Marzo","Abril","Mayo","Junio","Julio","Agosto","Septiembre","Octubre","Noviembre","Diciembre"}, 0),
    _xlpm.obra_sel, $A$1,
    SUMPRODUCT((IFERROR(MONTH(Accidentes!$D$2:$D$4995), 0)=_xlpm.mes_num) * (Accidentes!$D$2:$D$4995&lt;&gt;"") * (_xlfn.XLOOKUP(Accidentes!$B$2:$B$4995, Trabajadores!$C$2:$C$5665, Trabajadores!$G$2:$G$5665, "")=_xlpm.obra_sel) * (SUMIF(Descansos_Medicos!$B:$B, Accidentes!$A$2:$A$4995, Descansos_Medicos!$F:$F)&lt;=5))
)</f>
        <v>0</v>
      </c>
      <c r="L9" s="1" cm="1">
        <f t="array" ref="L9">_xlfn.LET(
    _xlpm.mes_num, MATCH($H$8, {"Enero","Febrero","Marzo","Abril","Mayo","Junio","Julio","Agosto","Septiembre","Octubre","Noviembre","Diciembre"}, 0),
    _xlpm.obra_sel, $A$1,
    SUMPRODUCT((IFERROR(MONTH(Accidentes!$D$2:$D$4995), 0)=_xlpm.mes_num) * (Accidentes!$D$2:$D$4995&lt;&gt;"") * (_xlfn.XLOOKUP(Accidentes!$B$2:$B$4995, Trabajadores!$C$2:$C$5665, Trabajadores!$G$2:$G$5665, "")=_xlpm.obra_sel) * (SUMIF(Descansos_Medicos!$B:$B, Accidentes!$A$2:$A$4995, Descansos_Medicos!$F:$F)&gt;5))
)</f>
        <v>0</v>
      </c>
      <c r="M9" s="1" cm="1">
        <f t="array" ref="M9">_xlfn.LET(
    _xlpm.mes_num, MATCH($H$8, {"Enero","Febrero","Marzo","Abril","Mayo","Junio","Julio","Agosto","Septiembre","Octubre","Noviembre","Diciembre"}, 0),
    _xlpm.obra_sel, $A$1,
    SUMPRODUCT(
        (Historial_Trabajadores!$E:$E = _xlpm.obra_sel) * (IFERROR(MONTH(Historial_Trabajadores!$F:$F), 0) &lt;= _xlpm.mes_num) * ((Historial_Trabajadores!$G:$G = "") + (IFERROR(MONTH(Historial_Trabajadores!$G:$G), 0) &gt; _xlpm.mes_num))
    )
)</f>
        <v>58</v>
      </c>
      <c r="N9" s="92">
        <f>J9/M9</f>
        <v>0</v>
      </c>
      <c r="O9" s="18" t="str" cm="1">
        <f t="array" ref="O9">_xlfn.LET(
    _xlpm.mes_num, MATCH($H$8, {"Enero","Febrero","Marzo","Abril","Mayo","Junio","Julio","Agosto","Septiembre","Octubre","Noviembre","Diciembre"}, 0),
    _xlpm.obra_sel, $A$1,
    _xlpm.lista, _xlfn._xlws.FILTER(Accidentes!$E$2:$E$4995, (IFERROR(MONTH(Accidentes!$D$2:$D$4995), 0)=_xlpm.mes_num)*(Accidentes!$D$2:$D$4995&lt;&gt;"")*(_xlfn.XLOOKUP(Accidentes!$B$2:$B$4995, Trabajadores!$C$2:$C$5665, Trabajadores!$G$2:$G$5665, "")=_xlpm.obra_sel), "Vacio"),
    IF(INDEX(_xlpm.lista, 1)="Vacio", "Sin accidentes",
        _xlfn.LET(
            _xlpm.u, _xlfn.UNIQUE(_xlpm.lista),
            _xlpm.conteo, _xlfn.MAP(_xlpm.u, _xlfn.LAMBDA(_xlpm.x, SUM(--(_xlpm.lista=_xlpm.x)))),
            _xlpm.resultado, _xlfn._xlws.SORT(_xlfn.HSTACK(_xlpm.u, _xlpm.conteo), 2, -1),
            _xlfn.TAKE(_xlpm.resultado, 15)
        )
    )
)</f>
        <v>Sin accidentes</v>
      </c>
      <c r="P9" s="18"/>
      <c r="Q9" s="18" t="str" cm="1">
        <f t="array" ref="Q9">_xlfn.LET(
    _xlpm.mes_num, MATCH($H$8, {"Enero","Febrero","Marzo","Abril","Mayo","Junio","Julio","Agosto","Septiembre","Octubre","Noviembre","Diciembre"}, 0),
    _xlpm.obra_sel, $A$1,
    _xlpm.lista, _xlfn._xlws.FILTER(Accidentes!$F$2:$F$4995, (IFERROR(MONTH(Accidentes!$D$2:$D$4995), 0)=_xlpm.mes_num)*(Accidentes!$D$2:$D$4995&lt;&gt;"")*(_xlfn.XLOOKUP(Accidentes!$B$2:$B$4995, Trabajadores!$C$2:$C$5665, Trabajadores!$G$2:$G$5665, "")=_xlpm.obra_sel), "Vacio"),
    IF(INDEX(_xlpm.lista, 1)="Vacio", "Sin accidentes", _xlfn.LET(_xlpm.u, _xlfn.UNIQUE(_xlpm.lista), _xlpm.conteo, _xlfn.MAP(_xlpm.u, _xlfn.LAMBDA(_xlpm.x, SUM(--(_xlpm.lista=_xlpm.x)))), _xlfn._xlws.SORT(_xlfn.HSTACK(_xlpm.u, _xlpm.conteo), 2, -1)))
)</f>
        <v>Sin accidentes</v>
      </c>
      <c r="R9" s="18"/>
      <c r="W9" s="89" t="s">
        <v>87</v>
      </c>
      <c r="X9" s="91">
        <f t="shared" si="1"/>
        <v>0</v>
      </c>
    </row>
    <row r="10" spans="1:24" ht="25.2" customHeight="1" x14ac:dyDescent="0.3">
      <c r="A10" s="101" t="s">
        <v>88</v>
      </c>
      <c r="B10" s="95" cm="1">
        <f t="array" ref="B10">SUMPRODUCT((Trabajadores!$G:$G = STATS!$A$1) * (IFERROR(MONTH(Trabajadores!$L:$L), 0) = 6) * (IFERROR(YEAR(Trabajadores!$L:$L), 0) = $G$8))</f>
        <v>0</v>
      </c>
      <c r="C10" s="95" cm="1">
        <f t="array" ref="C10">SUMPRODUCT((Historial_Trabajadores!$E:$E = STATS!$A$1) * ((IFERROR(YEAR(Historial_Trabajadores!$F:$F), 0) &lt; $G$8) + ((IFERROR(YEAR(Historial_Trabajadores!$F:$F), 0) = $G$8) * (IFERROR(MONTH(Historial_Trabajadores!$F:$F), 0) &lt;= 6))) * ((Historial_Trabajadores!$G:$G = "") + (IFERROR(YEAR(Historial_Trabajadores!$G:$G), 0) &gt; $G$8) + ((IFERROR(YEAR(Historial_Trabajadores!$G:$G), 0) = $G$8) * (IFERROR(MONTH(Historial_Trabajadores!$G:$G), 0) &gt; 6))))</f>
        <v>253</v>
      </c>
      <c r="D10" s="95" cm="1">
        <f t="array" ref="D10">SUMPRODUCT((Trabajadores!$G:$G = STATS!$A$1) * (IFERROR(MONTH(Trabajadores!$M:$M), 0) = 6) * (IFERROR(YEAR(Trabajadores!$M:$M), 0) = $G$8))</f>
        <v>3</v>
      </c>
      <c r="E10" s="126">
        <f t="shared" si="0"/>
        <v>1.1857707509881422E-2</v>
      </c>
      <c r="F10" s="95" cm="1">
        <f t="array" ref="F10">SUMPRODUCT((Trabajadores!$G:$G = STATS!$A$1) * (Trabajadores!$O:$O = "SI") * (IFERROR(MONTH(Trabajadores!$P:$P), 0) = 6))</f>
        <v>0</v>
      </c>
      <c r="G10" s="1"/>
      <c r="I10" s="51" t="s">
        <v>89</v>
      </c>
      <c r="J10" s="51" t="s">
        <v>90</v>
      </c>
      <c r="K10" s="51" t="s">
        <v>91</v>
      </c>
      <c r="L10" s="51" t="s">
        <v>92</v>
      </c>
      <c r="M10" s="153" t="s">
        <v>93</v>
      </c>
      <c r="N10" s="154"/>
      <c r="O10" s="18"/>
      <c r="P10" s="18"/>
      <c r="Q10" s="18"/>
      <c r="R10" s="18"/>
      <c r="W10" s="89" t="s">
        <v>94</v>
      </c>
      <c r="X10" s="91">
        <f t="shared" si="1"/>
        <v>0</v>
      </c>
    </row>
    <row r="11" spans="1:24" ht="30" customHeight="1" x14ac:dyDescent="0.3">
      <c r="A11" s="101" t="s">
        <v>95</v>
      </c>
      <c r="B11" s="95" cm="1">
        <f t="array" ref="B11">SUMPRODUCT((Trabajadores!$G:$G = STATS!$A$1) * (IFERROR(MONTH(Trabajadores!$L:$L), 0) = 7) * (IFERROR(YEAR(Trabajadores!$L:$L), 0) = $G$8))</f>
        <v>0</v>
      </c>
      <c r="C11" s="95" cm="1">
        <f t="array" ref="C11">SUMPRODUCT((Historial_Trabajadores!$E:$E = STATS!$A$1) * ((IFERROR(YEAR(Historial_Trabajadores!$F:$F), 0) &lt; $G$8) + ((IFERROR(YEAR(Historial_Trabajadores!$F:$F), 0) = $G$8) * (IFERROR(MONTH(Historial_Trabajadores!$F:$F), 0) &lt;= 7))) * ((Historial_Trabajadores!$G:$G = "") + (IFERROR(YEAR(Historial_Trabajadores!$G:$G), 0) &gt; $G$8) + ((IFERROR(YEAR(Historial_Trabajadores!$G:$G), 0) = $G$8) * (IFERROR(MONTH(Historial_Trabajadores!$G:$G), 0) &gt; 7))))</f>
        <v>253</v>
      </c>
      <c r="D11" s="95" cm="1">
        <f t="array" ref="D11">SUMPRODUCT((Trabajadores!$G:$G = STATS!$A$1) * (IFERROR(MONTH(Trabajadores!$M:$M), 0) = 7) * (IFERROR(YEAR(Trabajadores!$M:$M), 0) = $G$8))</f>
        <v>3</v>
      </c>
      <c r="E11" s="126">
        <f t="shared" si="0"/>
        <v>1.1857707509881422E-2</v>
      </c>
      <c r="F11" s="95" cm="1">
        <f t="array" ref="F11">SUMPRODUCT((Trabajadores!$G:$G = STATS!$A$1) * (Trabajadores!$O:$O = "SI") * (IFERROR(MONTH(Trabajadores!$P:$P), 0) = 7))</f>
        <v>0</v>
      </c>
      <c r="G11" s="1"/>
      <c r="H11" s="51" t="s">
        <v>86</v>
      </c>
      <c r="I11" s="1" cm="1">
        <f t="array" ref="I11">_xlfn.LET(
    _xlpm.mes_num, MATCH($H$8, {"Enero","Febrero","Marzo","Abril","Mayo","Junio","Julio","Agosto","Septiembre","Octubre","Noviembre","Diciembre"}, 0),
    _xlpm.obra_sel, $A$1,
    SUMPRODUCT(
        (IFERROR(MONTH(Accidentes!$D$2:$D$4995), 0) = _xlpm.mes_num) * (Accidentes!$D$2:$D$4995 &lt;&gt; "") * (_xlfn.XLOOKUP(Accidentes!$B$2:$B$4995, Trabajadores!$C$2:$C$5667, Trabajadores!$G$2:$G$5667, "") = _xlpm.obra_sel) * (Accidentes!$I$2:$I$4995 = "SI")
    )
)</f>
        <v>0</v>
      </c>
      <c r="J11" t="str" cm="1">
        <f t="array" aca="1" ref="J11" ca="1">_xlfn.LET(
    _xlpm.ultima_fecha, MAX(_xlfn._xlws.FILTER(Accidentes!$D$2:$D$4995, (Accidentes!$D$2:$D$4995 &lt;&gt; "") * (_xlfn.XLOOKUP(Accidentes!$B$2:$B$4995, Trabajadores!$C$2:$C$5667, Trabajadores!$G$2:$G$5667, "") = $A$1), 0)),
    IF(_xlpm.ultima_fecha = 0, "Sin registros", TODAY() - _xlpm.ultima_fecha)
)</f>
        <v>Sin registros</v>
      </c>
      <c r="K11" cm="1">
        <f t="array" ref="K11">_xlfn.LET(
    _xlpm.mes_num, MATCH($H$8, {"Enero","Febrero","Marzo","Abril","Mayo","Junio","Julio","Agosto","Septiembre","Octubre","Noviembre","Diciembre"}, 0),
    _xlpm.obra_sel, $A$1,
    _xlpm.dni_acc, Accidentes!$B$2:$B$4995,
    SUMPRODUCT(
        (IFERROR(MONTH(Accidentes!$D$2:$D$4995), 0) = _xlpm.mes_num) * (Accidentes!$D$2:$D$4995 &lt;&gt; "") * (_xlfn.XLOOKUP(_xlpm.dni_acc, Trabajadores!$C$2:$C$5667, Trabajadores!$G$2:$G$5667, "") = _xlpm.obra_sel) * (_xlfn.XLOOKUP(_xlpm.dni_acc, Trabajadores!$C$2:$C$5667, Trabajadores!$F$2:$F$5667, "") = "M")
    )
)</f>
        <v>0</v>
      </c>
      <c r="L11" cm="1">
        <f t="array" ref="L11">_xlfn.LET(
    _xlpm.mes_num, MATCH($H$8, {"Enero","Febrero","Marzo","Abril","Mayo","Junio","Julio","Agosto","Septiembre","Octubre","Noviembre","Diciembre"}, 0),
    _xlpm.obra_sel, $A$1,
    _xlpm.dni_acc, Accidentes!$B$2:$B$4995,
    SUMPRODUCT(
        (IFERROR(MONTH(Accidentes!$D$2:$D$4995), 0) = _xlpm.mes_num) * (Accidentes!$D$2:$D$4995 &lt;&gt; "") * (_xlfn.XLOOKUP(_xlpm.dni_acc, Trabajadores!$C$2:$C$5667, Trabajadores!$G$2:$G$5667, "") = _xlpm.obra_sel) * (_xlfn.XLOOKUP(_xlpm.dni_acc, Trabajadores!$C$2:$C$5667, Trabajadores!$F$2:$F$5667, "") = "F")
    )
)</f>
        <v>0</v>
      </c>
      <c r="M11" s="1" t="str" cm="1">
        <f t="array" ref="M11:N19">_xlfn.LET(
    _xlpm.lista_areas, _xlfn.UNIQUE(tbl_Trabajadores[Área]),
    _xlpm.mes_num, MATCH($H$8, {"Enero","Febrero","Marzo","Abril","Mayo","Junio","Julio","Agosto","Septiembre","Octubre","Noviembre","Diciembre"}, 0),
    _xlpm.obra_sel, $A$1,
    _xlpm.conteos, _xlfn.MAP(_xlpm.lista_areas, _xlfn.LAMBDA(_xlpm.area,
        SUMPRODUCT(
            (IFERROR(MONTH(Accidentes!$D$2:$D$4995), 0) = _xlpm.mes_num) * (Accidentes!$D$2:$D$4995 &lt;&gt; "") * (_xlfn.XLOOKUP(Accidentes!$B$2:$B$4995, Trabajadores!$C$2:$C$5667, Trabajadores!$G$2:$G$5667, "") = _xlpm.obra_sel) * (_xlfn.XLOOKUP(Accidentes!$B$2:$B$4995, Trabajadores!$C$2:$C$5667, Trabajadores!$H$2:$H$5667, "") = _xlpm.area)
        )
    )),
    _xlfn.HSTACK(_xlpm.lista_areas, _xlpm.conteos)
)</f>
        <v>ALMACEN</v>
      </c>
      <c r="N11" s="1">
        <v>0</v>
      </c>
      <c r="O11" s="18"/>
      <c r="P11" s="18"/>
      <c r="Q11" s="18"/>
      <c r="R11" s="18"/>
      <c r="W11" s="89" t="s">
        <v>96</v>
      </c>
      <c r="X11" s="91">
        <f t="shared" si="1"/>
        <v>0</v>
      </c>
    </row>
    <row r="12" spans="1:24" ht="30" customHeight="1" x14ac:dyDescent="0.3">
      <c r="A12" s="101" t="s">
        <v>97</v>
      </c>
      <c r="B12" s="95" cm="1">
        <f t="array" ref="B12">SUMPRODUCT((Trabajadores!$G:$G = STATS!$A$1) * (IFERROR(MONTH(Trabajadores!$L:$L), 0) = 8) * (IFERROR(YEAR(Trabajadores!$L:$L), 0) = $G$8))</f>
        <v>0</v>
      </c>
      <c r="C12" s="95" cm="1">
        <f t="array" ref="C12">SUMPRODUCT((Historial_Trabajadores!$E:$E = STATS!$A$1) * ((IFERROR(YEAR(Historial_Trabajadores!$F:$F), 0) &lt; $G$8) + ((IFERROR(YEAR(Historial_Trabajadores!$F:$F), 0) = $G$8) * (IFERROR(MONTH(Historial_Trabajadores!$F:$F), 0) &lt;= 8))) * ((Historial_Trabajadores!$G:$G = "") + (IFERROR(YEAR(Historial_Trabajadores!$G:$G), 0) &gt; $G$8) + ((IFERROR(YEAR(Historial_Trabajadores!$G:$G), 0) = $G$8) * (IFERROR(MONTH(Historial_Trabajadores!$G:$G), 0) &gt; 8))))</f>
        <v>253</v>
      </c>
      <c r="D12" s="95" cm="1">
        <f t="array" ref="D12">SUMPRODUCT((Trabajadores!$G:$G = STATS!$A$1) * (IFERROR(MONTH(Trabajadores!$M:$M), 0) = 8) * (IFERROR(YEAR(Trabajadores!$M:$M), 0) = $G$8))</f>
        <v>2</v>
      </c>
      <c r="E12" s="126">
        <f t="shared" si="0"/>
        <v>7.9051383399209481E-3</v>
      </c>
      <c r="F12" s="95" cm="1">
        <f t="array" ref="F12">SUMPRODUCT((Trabajadores!$G:$G = STATS!$A$1) * (Trabajadores!$O:$O = "SI") * (IFERROR(MONTH(Trabajadores!$P:$P), 0) = 8))</f>
        <v>0</v>
      </c>
      <c r="G12" s="1"/>
      <c r="H12" s="1"/>
      <c r="M12" s="1" t="str">
        <v>LOGISTICA DE SALIDA</v>
      </c>
      <c r="N12" s="1">
        <v>0</v>
      </c>
      <c r="W12" s="89" t="s">
        <v>98</v>
      </c>
      <c r="X12" s="91">
        <f t="shared" si="1"/>
        <v>0</v>
      </c>
    </row>
    <row r="13" spans="1:24" ht="30" customHeight="1" x14ac:dyDescent="0.3">
      <c r="A13" s="101" t="s">
        <v>99</v>
      </c>
      <c r="B13" s="95" cm="1">
        <f t="array" ref="B13">SUMPRODUCT((Trabajadores!$G:$G = STATS!$A$1) * (IFERROR(MONTH(Trabajadores!$L:$L), 0) = 9) * (IFERROR(YEAR(Trabajadores!$L:$L), 0) = $G$8))</f>
        <v>0</v>
      </c>
      <c r="C13" s="95" cm="1">
        <f t="array" ref="C13">SUMPRODUCT((Historial_Trabajadores!$E:$E = STATS!$A$1) * ((IFERROR(YEAR(Historial_Trabajadores!$F:$F), 0) &lt; $G$8) + ((IFERROR(YEAR(Historial_Trabajadores!$F:$F), 0) = $G$8) * (IFERROR(MONTH(Historial_Trabajadores!$F:$F), 0) &lt;= 9))) * ((Historial_Trabajadores!$G:$G = "") + (IFERROR(YEAR(Historial_Trabajadores!$G:$G), 0) &gt; $G$8) + ((IFERROR(YEAR(Historial_Trabajadores!$G:$G), 0) = $G$8) * (IFERROR(MONTH(Historial_Trabajadores!$G:$G), 0) &gt; 9))))</f>
        <v>253</v>
      </c>
      <c r="D13" s="95" cm="1">
        <f t="array" ref="D13">SUMPRODUCT((Trabajadores!$G:$G = STATS!$A$1) * (IFERROR(MONTH(Trabajadores!$M:$M), 0) = 9) * (IFERROR(YEAR(Trabajadores!$M:$M), 0) = $G$8))</f>
        <v>3</v>
      </c>
      <c r="E13" s="126">
        <f t="shared" si="0"/>
        <v>1.1857707509881422E-2</v>
      </c>
      <c r="F13" s="95" cm="1">
        <f t="array" ref="F13">SUMPRODUCT((Trabajadores!$G:$G = STATS!$A$1) * (Trabajadores!$O:$O = "SI") * (IFERROR(MONTH(Trabajadores!$P:$P), 0) = 9))</f>
        <v>0</v>
      </c>
      <c r="G13" s="1"/>
      <c r="H13" s="51" t="s">
        <v>55</v>
      </c>
      <c r="I13" s="102" t="s">
        <v>249</v>
      </c>
      <c r="K13" s="153" t="s">
        <v>100</v>
      </c>
      <c r="L13" s="154"/>
      <c r="M13" s="1" t="str">
        <v>SEGURIDAD</v>
      </c>
      <c r="N13" s="1">
        <v>0</v>
      </c>
      <c r="W13" s="89" t="s">
        <v>101</v>
      </c>
      <c r="X13" s="91">
        <f t="shared" si="1"/>
        <v>0</v>
      </c>
    </row>
    <row r="14" spans="1:24" ht="25.2" customHeight="1" x14ac:dyDescent="0.3">
      <c r="A14" s="101" t="s">
        <v>102</v>
      </c>
      <c r="B14" s="95" cm="1">
        <f t="array" ref="B14">SUMPRODUCT((Trabajadores!$G:$G = STATS!$A$1) * (IFERROR(MONTH(Trabajadores!$L:$L), 0) = 10) * (IFERROR(YEAR(Trabajadores!$L:$L), 0) = $G$8))</f>
        <v>0</v>
      </c>
      <c r="C14" s="95" cm="1">
        <f t="array" ref="C14">SUMPRODUCT((Historial_Trabajadores!$E:$E = STATS!$A$1) * ((IFERROR(YEAR(Historial_Trabajadores!$F:$F), 0) &lt; $G$8) + ((IFERROR(YEAR(Historial_Trabajadores!$F:$F), 0) = $G$8) * (IFERROR(MONTH(Historial_Trabajadores!$F:$F), 0) &lt;= 10))) * ((Historial_Trabajadores!$G:$G = "") + (IFERROR(YEAR(Historial_Trabajadores!$G:$G), 0) &gt; $G$8) + ((IFERROR(YEAR(Historial_Trabajadores!$G:$G), 0) = $G$8) * (IFERROR(MONTH(Historial_Trabajadores!$G:$G), 0) &gt; 10))))</f>
        <v>253</v>
      </c>
      <c r="D14" s="95" cm="1">
        <f t="array" ref="D14">SUMPRODUCT((Trabajadores!$G:$G = STATS!$A$1) * (IFERROR(MONTH(Trabajadores!$M:$M), 0) = 10) * (IFERROR(YEAR(Trabajadores!$M:$M), 0) = $G$8))</f>
        <v>6</v>
      </c>
      <c r="E14" s="126">
        <f t="shared" si="0"/>
        <v>2.3715415019762844E-2</v>
      </c>
      <c r="F14" s="95" cm="1">
        <f t="array" ref="F14">SUMPRODUCT((Trabajadores!$G:$G = STATS!$A$1) * (Trabajadores!$O:$O = "SI") * (IFERROR(MONTH(Trabajadores!$P:$P), 0) = 10))</f>
        <v>0</v>
      </c>
      <c r="G14" s="1"/>
      <c r="H14" s="101" t="s">
        <v>66</v>
      </c>
      <c r="I14" s="77" cm="1">
        <f t="array" ref="I14">SUMPRODUCT((IFERROR(MONTH(Accidentes!$D$2:$D$4995),0)=1) * (_xlfn.XLOOKUP(Accidentes!$C$2:$C$4995, Trabajadores!$B$2:$B$5667, Trabajadores!$G$2:$G$5667, "")=$A$1))</f>
        <v>0</v>
      </c>
      <c r="J14" s="1"/>
      <c r="K14" s="1" t="str" cm="1">
        <f t="array" ref="K14:L15">_xlfn.LET(
    _xlpm.perfiles_unicos, _xlfn.UNIQUE(tbl_Trabajadores[Perfil]),
    _xlpm.lista_perfiles, _xlfn._xlws.FILTER(_xlpm.perfiles_unicos, _xlpm.perfiles_unicos &lt;&gt; ""),
    _xlpm.mes_num, MATCH($H$8, {"Enero","Febrero","Marzo","Abril","Mayo","Junio","Julio","Agosto","Septiembre","Octubre","Noviembre","Diciembre"}, 0),
    _xlpm.obra_sel, $A$1,
    _xlpm.conteos, _xlfn.MAP(_xlpm.lista_perfiles, _xlfn.LAMBDA(_xlpm.p,
        SUMPRODUCT(
            (IFERROR(MONTH(Accidentes!$D$2:$D$4995), 0) = _xlpm.mes_num) * (Accidentes!$D$2:$D$4995 &lt;&gt; "") * (_xlfn.XLOOKUP(Accidentes!$B$2:$B$4995, Trabajadores!$C$2:$C$5667, Trabajadores!$G$2:$G$5667, "") = _xlpm.obra_sel) * (_xlfn.XLOOKUP(Accidentes!$B$2:$B$4995, Trabajadores!$C$2:$C$5667, Trabajadores!$K$2:$K$5667, "") = _xlpm.p)
        )
    )),
    _xlfn.HSTACK(_xlpm.lista_perfiles, _xlpm.conteos)
)</f>
        <v>Técnico</v>
      </c>
      <c r="L14" s="1">
        <v>0</v>
      </c>
      <c r="M14" s="1" t="str">
        <v>ADMINISTRACION</v>
      </c>
      <c r="N14" s="1">
        <v>0</v>
      </c>
      <c r="W14" s="89" t="s">
        <v>103</v>
      </c>
      <c r="X14" s="91">
        <f t="shared" si="1"/>
        <v>0</v>
      </c>
    </row>
    <row r="15" spans="1:24" ht="25.2" customHeight="1" x14ac:dyDescent="0.3">
      <c r="A15" s="101" t="s">
        <v>104</v>
      </c>
      <c r="B15" s="95" cm="1">
        <f t="array" ref="B15">SUMPRODUCT((Trabajadores!$G:$G = STATS!$A$1) * (IFERROR(MONTH(Trabajadores!$L:$L), 0) = 11) * (IFERROR(YEAR(Trabajadores!$L:$L), 0) = $G$8))</f>
        <v>0</v>
      </c>
      <c r="C15" s="95" cm="1">
        <f t="array" ref="C15">SUMPRODUCT((Historial_Trabajadores!$E:$E = STATS!$A$1) * ((IFERROR(YEAR(Historial_Trabajadores!$F:$F), 0) &lt; $G$8) + ((IFERROR(YEAR(Historial_Trabajadores!$F:$F), 0) = $G$8) * (IFERROR(MONTH(Historial_Trabajadores!$F:$F), 0) &lt;= 11))) * ((Historial_Trabajadores!$G:$G = "") + (IFERROR(YEAR(Historial_Trabajadores!$G:$G), 0) &gt; $G$8) + ((IFERROR(YEAR(Historial_Trabajadores!$G:$G), 0) = $G$8) * (IFERROR(MONTH(Historial_Trabajadores!$G:$G), 0) &gt; 11))))</f>
        <v>253</v>
      </c>
      <c r="D15" s="95" cm="1">
        <f t="array" ref="D15">SUMPRODUCT((Trabajadores!$G:$G = STATS!$A$1) * (IFERROR(MONTH(Trabajadores!$M:$M), 0) = 11) * (IFERROR(YEAR(Trabajadores!$M:$M), 0) = $G$8))</f>
        <v>7</v>
      </c>
      <c r="E15" s="126">
        <f t="shared" si="0"/>
        <v>2.766798418972332E-2</v>
      </c>
      <c r="F15" s="95" cm="1">
        <f t="array" ref="F15">SUMPRODUCT((Trabajadores!$G:$G = STATS!$A$1) * (Trabajadores!$O:$O = "SI") * (IFERROR(MONTH(Trabajadores!$P:$P), 0) = 11))</f>
        <v>0</v>
      </c>
      <c r="G15" s="1"/>
      <c r="H15" s="101" t="s">
        <v>67</v>
      </c>
      <c r="I15" s="78" cm="1">
        <f t="array" ref="I15">SUMPRODUCT((IFERROR(MONTH(Accidentes!$D$2:$D$4995),0)=2) * (_xlfn.XLOOKUP(Accidentes!$C$2:$C$4995, Trabajadores!$B$2:$B$5667, Trabajadores!$G$2:$G$5667, "")=$A$1))</f>
        <v>0</v>
      </c>
      <c r="J15" s="1"/>
      <c r="K15" s="1" t="str">
        <v>Oficina</v>
      </c>
      <c r="L15" s="1">
        <v>0</v>
      </c>
      <c r="M15" s="1" t="str">
        <v>DISTRIBUCION</v>
      </c>
      <c r="N15" s="1">
        <v>0</v>
      </c>
      <c r="W15" s="90" t="s">
        <v>105</v>
      </c>
      <c r="X15" s="91">
        <f t="shared" si="1"/>
        <v>0</v>
      </c>
    </row>
    <row r="16" spans="1:24" ht="25.2" customHeight="1" x14ac:dyDescent="0.3">
      <c r="A16" s="101" t="s">
        <v>106</v>
      </c>
      <c r="B16" s="95" cm="1">
        <f t="array" ref="B16">SUMPRODUCT((Trabajadores!$G:$G = STATS!$A$1) * (IFERROR(MONTH(Trabajadores!$L:$L), 0) = 12) * (IFERROR(YEAR(Trabajadores!$L:$L), 0) = $G$8))</f>
        <v>0</v>
      </c>
      <c r="C16" s="95" cm="1">
        <f t="array" ref="C16">SUMPRODUCT((Historial_Trabajadores!$E:$E = STATS!$A$1) * ((IFERROR(YEAR(Historial_Trabajadores!$F:$F), 0) &lt; $G$8) + ((IFERROR(YEAR(Historial_Trabajadores!$F:$F), 0) = $G$8) * (IFERROR(MONTH(Historial_Trabajadores!$F:$F), 0) &lt;= 12))) * ((Historial_Trabajadores!$G:$G = "") + (IFERROR(YEAR(Historial_Trabajadores!$G:$G), 0) &gt; $G$8) + ((IFERROR(YEAR(Historial_Trabajadores!$G:$G), 0) = $G$8) * (IFERROR(MONTH(Historial_Trabajadores!$G:$G), 0) &gt; 12))))</f>
        <v>253</v>
      </c>
      <c r="D16" s="95" cm="1">
        <f t="array" ref="D16">SUMPRODUCT((Trabajadores!$G:$G = STATS!$A$1) * (IFERROR(MONTH(Trabajadores!$M:$M), 0) = 12) * (IFERROR(YEAR(Trabajadores!$M:$M), 0) = $G$8))</f>
        <v>4</v>
      </c>
      <c r="E16" s="126">
        <f t="shared" si="0"/>
        <v>1.5810276679841896E-2</v>
      </c>
      <c r="F16" s="95" cm="1">
        <f t="array" ref="F16">SUMPRODUCT((Trabajadores!$G:$G = STATS!$A$1) * (Trabajadores!$O:$O = "SI") * (IFERROR(MONTH(Trabajadores!$P:$P), 0) = 12))</f>
        <v>0</v>
      </c>
      <c r="G16" s="1"/>
      <c r="H16" s="101" t="s">
        <v>74</v>
      </c>
      <c r="I16" s="78" cm="1">
        <f t="array" ref="I16">SUMPRODUCT((IFERROR(MONTH(Accidentes!$D$2:$D$4995),0)=3) * (_xlfn.XLOOKUP(Accidentes!$C$2:$C$4995, Trabajadores!$B$2:$B$5667, Trabajadores!$G$2:$G$5667, "")=$A$1))</f>
        <v>0</v>
      </c>
      <c r="J16" s="1"/>
      <c r="K16" s="153" t="s">
        <v>107</v>
      </c>
      <c r="L16" s="154"/>
      <c r="M16" s="1" t="str">
        <v>MANTENIMIENTO</v>
      </c>
      <c r="N16" s="1">
        <v>0</v>
      </c>
    </row>
    <row r="17" spans="1:14" ht="25.2" customHeight="1" x14ac:dyDescent="0.3">
      <c r="A17" s="101" t="s">
        <v>108</v>
      </c>
      <c r="B17" s="68">
        <f>SUM(B5:B16)</f>
        <v>36</v>
      </c>
      <c r="C17" s="68">
        <f>C16</f>
        <v>253</v>
      </c>
      <c r="D17" s="53">
        <f>SUM(D5:D16)</f>
        <v>52</v>
      </c>
      <c r="E17" s="87">
        <f>SUM(E5:E16)</f>
        <v>0.20628093134486994</v>
      </c>
      <c r="H17" s="101" t="s">
        <v>76</v>
      </c>
      <c r="I17" s="78" cm="1">
        <f t="array" ref="I17">SUMPRODUCT((IFERROR(MONTH(Accidentes!$D$2:$D$4995),0)=4) * (_xlfn.XLOOKUP(Accidentes!$C$2:$C$4995, Trabajadores!$B$2:$B$5667, Trabajadores!$G$2:$G$5667, "")=$A$1))</f>
        <v>0</v>
      </c>
      <c r="K17" t="str" cm="1">
        <f t="array" ref="K17:L18">_xlfn.LET(
_xlpm.m, MATCH($H$8,{"Enero","Febrero","Marzo","Abril","Mayo","Junio","Julio","Agosto","Septiembre","Octubre","Noviembre","Diciembre"},0),
_xlpm.o, $A$1,
_xlpm.id_h, Historial_Trabajadores!$B$2:$B$4819,
_xlpm.act, (Historial_Trabajadores!$E$2:$E$4819=_xlpm.o)*(IFERROR(MONTH(Historial_Trabajadores!$F$2:$F$4819),0)&lt;=_xlpm.m)*((Historial_Trabajadores!$G$2:$G$4819="")+(IFERROR(MONTH(Historial_Trabajadores!$G$2:$G$4819),0)&gt;_xlpm.m)),
_xlpm.list, _xlfn._xlws.FILTER(_xlfn.XLOOKUP(_xlpm.id_h, Trabajadores!$C$2:$C$5667, Trabajadores!$H$2:$H$5667, "Sin Área"), _xlpm.act, "No hay datos"),
_xlpm.u, _xlfn.UNIQUE(_xlpm.list),
_xlfn._xlws.SORT(_xlfn.HSTACK(_xlpm.u, _xlfn.MAP(_xlpm.u, _xlfn.LAMBDA(_xlpm.x, SUM(--(_xlpm.list=_xlpm.x))))), 2, -1)
)</f>
        <v>VENTAS</v>
      </c>
      <c r="L17">
        <v>52</v>
      </c>
      <c r="M17" s="1" t="str">
        <v>RECURSOS HUMANOS</v>
      </c>
      <c r="N17" s="1">
        <v>0</v>
      </c>
    </row>
    <row r="18" spans="1:14" x14ac:dyDescent="0.3">
      <c r="H18" s="101" t="s">
        <v>85</v>
      </c>
      <c r="I18" s="78" cm="1">
        <f t="array" ref="I18">SUMPRODUCT((IFERROR(MONTH(Accidentes!$D$2:$D$4995),0)=5) * (_xlfn.XLOOKUP(Accidentes!$C$2:$C$4995, Trabajadores!$B$2:$B$5667, Trabajadores!$G$2:$G$5667, "")=$A$1))</f>
        <v>0</v>
      </c>
      <c r="K18" t="str">
        <v>ADMINISTRACION</v>
      </c>
      <c r="L18">
        <v>6</v>
      </c>
      <c r="M18" s="1" t="str">
        <v>COMPRAS</v>
      </c>
      <c r="N18" s="1">
        <v>0</v>
      </c>
    </row>
    <row r="19" spans="1:14" x14ac:dyDescent="0.3">
      <c r="H19" s="101" t="s">
        <v>88</v>
      </c>
      <c r="I19" s="78" cm="1">
        <f t="array" ref="I19">SUMPRODUCT((IFERROR(MONTH(Accidentes!$D$2:$D$4995),0)=6) * (_xlfn.XLOOKUP(Accidentes!$C$2:$C$4995, Trabajadores!$B$2:$B$5667, Trabajadores!$G$2:$G$5667, "")=$A$1))</f>
        <v>0</v>
      </c>
      <c r="M19" s="1" t="str">
        <v>VENTAS</v>
      </c>
      <c r="N19" s="1">
        <v>0</v>
      </c>
    </row>
    <row r="20" spans="1:14" ht="25.2" customHeight="1" x14ac:dyDescent="0.3">
      <c r="A20" s="51" t="s">
        <v>109</v>
      </c>
      <c r="B20" s="51" t="s">
        <v>86</v>
      </c>
      <c r="C20" s="51" t="s">
        <v>110</v>
      </c>
      <c r="D20" s="51" t="s">
        <v>111</v>
      </c>
      <c r="F20" s="153" t="s">
        <v>112</v>
      </c>
      <c r="G20" s="154"/>
      <c r="H20" s="101" t="s">
        <v>95</v>
      </c>
      <c r="I20" s="78" cm="1">
        <f t="array" ref="I20">SUMPRODUCT((IFERROR(MONTH(Accidentes!$D$2:$D$4995),0)=7) * (_xlfn.XLOOKUP(Accidentes!$C$2:$C$4995, Trabajadores!$B$2:$B$5667, Trabajadores!$G$2:$G$5667, "")=$A$1))</f>
        <v>0</v>
      </c>
      <c r="M20" s="1"/>
      <c r="N20" s="1"/>
    </row>
    <row r="21" spans="1:14" ht="25.2" customHeight="1" x14ac:dyDescent="0.3">
      <c r="A21" s="51" t="s">
        <v>113</v>
      </c>
      <c r="B21" cm="1">
        <f t="array" ref="B21">SUMPRODUCT((Trabajadores!$G$2:$G$2000=A1)*(Trabajadores!$F$2:$F$2000="M")*(IFERROR(MONTH(Trabajadores!$L$2:$L$2000),0)=MONTH(1&amp;H8))*(IFERROR(YEAR(Trabajadores!$L$2:$L$2000),0)=$G$8))</f>
        <v>6</v>
      </c>
      <c r="C21" s="41">
        <f>IFERROR(B21/B23, 0)</f>
        <v>0.4</v>
      </c>
      <c r="D21" s="65" cm="1">
        <f t="array" aca="1" ref="D21" ca="1">IFERROR(SUMPRODUCT((Trabajadores!$G$2:$G$1571=A1)*(Trabajadores!$F$2:$F$1571="M")*(UPPER(TEXT(Trabajadores!$L$2:$L$1571,"mmmm"))=H8)*Trabajadores!$E$2:$E$1571) / SUMPRODUCT((Trabajadores!$G$2:$G$1571=A1)*(Trabajadores!$F$2:$F$1571="M")*(UPPER(TEXT(Trabajadores!$L$2:$L$1571,"mmmm"))=H8)), 0)</f>
        <v>32.5</v>
      </c>
      <c r="F21" t="str" cm="1">
        <f t="array" ref="F21">_xlfn.LET(
_xlpm.m, MATCH($H$8,{"Enero","Febrero","Marzo","Abril","Mayo","Junio","Julio","Agosto","Septiembre","Octubre","Noviembre","Diciembre"},0),
_xlpm.o, $A$1,
_xlpm.dn, 'Capacitaciones'!$C$2:$C$4825,
_xlpm.tp, 'Capacitaciones'!$D$2:$D$4825,
_xlpm.fil, (IFERROR(MONTH('Capacitaciones'!$E$2:$E$4825),0)=_xlpm.m)*(_xlfn.XLOOKUP(_xlpm.dn, Trabajadores!$B$2:$B$5667, Trabajadores!$G$2:$G$5667,"")=_xlpm.o),
_xlpm.u, _xlfn.UNIQUE(_xlfn._xlws.FILTER(_xlfn.HSTACK(_xlpm.dn,_xlpm.tp),_xlpm.fil,{"",""})),
_xlpm.t, INDEX(_xlpm.u,,2),
_xlpm.ut, _xlfn.UNIQUE(_xlpm.t),
IF(INDEX(_xlpm.ut,1)="", "Sin datos", _xlfn._xlws.SORT(_xlfn.HSTACK(_xlpm.ut, _xlfn.MAP(_xlpm.ut, _xlfn.LAMBDA(_xlpm.x, SUM(--(_xlpm.t=_xlpm.x))))), 2, -1))
)</f>
        <v>Sin datos</v>
      </c>
      <c r="H21" s="101" t="s">
        <v>97</v>
      </c>
      <c r="I21" s="78" cm="1">
        <f t="array" ref="I21">SUMPRODUCT((IFERROR(MONTH(Accidentes!$D$2:$D$4995),0)=8) * (_xlfn.XLOOKUP(Accidentes!$C$2:$C$4995, Trabajadores!$B$2:$B$5667, Trabajadores!$G$2:$G$5667, "")=$A$1))</f>
        <v>0</v>
      </c>
    </row>
    <row r="22" spans="1:14" ht="25.2" customHeight="1" x14ac:dyDescent="0.3">
      <c r="A22" s="51" t="s">
        <v>114</v>
      </c>
      <c r="B22" cm="1">
        <f t="array" ref="B22">SUMPRODUCT((Trabajadores!$G$2:$G$2000=A1)*(Trabajadores!$F$2:$F$2000="F")*(IFERROR(MONTH(Trabajadores!$L$2:$L$2000),0)=MONTH(1&amp;H8))*(IFERROR(YEAR(Trabajadores!$L$2:$L$2000),0)=$G$8))</f>
        <v>9</v>
      </c>
      <c r="C22" s="41">
        <f>IFERROR(B22/B23, 0)</f>
        <v>0.6</v>
      </c>
      <c r="D22" s="66" cm="1">
        <f t="array" aca="1" ref="D22" ca="1">IFERROR(SUMPRODUCT((Trabajadores!$G$2:$G$1571=A1)*(Trabajadores!$F$2:$F$1571="F")*(UPPER(TEXT(Trabajadores!$L$2:$L$1571,"mmmm"))=H8)*Trabajadores!$E$2:$E$1571) / SUMPRODUCT((Trabajadores!$G$2:$G$1571=A1)*(Trabajadores!$F$2:$F$1571="F")*(UPPER(TEXT(Trabajadores!$L$2:$L$1571,"mmmm"))=H8)), 0)</f>
        <v>29.285714285714285</v>
      </c>
      <c r="H22" s="101" t="s">
        <v>99</v>
      </c>
      <c r="I22" s="78" cm="1">
        <f t="array" ref="I22">SUMPRODUCT((IFERROR(MONTH(Accidentes!$D$2:$D$4995),0)=9) * (_xlfn.XLOOKUP(Accidentes!$C$2:$C$4995, Trabajadores!$B$2:$B$5667, Trabajadores!$G$2:$G$5667, "")=$A$1))</f>
        <v>0</v>
      </c>
    </row>
    <row r="23" spans="1:14" ht="25.2" customHeight="1" x14ac:dyDescent="0.3">
      <c r="A23" s="51" t="s">
        <v>108</v>
      </c>
      <c r="B23" s="60">
        <f>SUM(B21:B22)</f>
        <v>15</v>
      </c>
      <c r="C23" s="61">
        <f>SUM(C21:C22)</f>
        <v>1</v>
      </c>
      <c r="D23" s="131">
        <f ca="1">IFERROR((D21 + D22) / 2, 0)</f>
        <v>30.892857142857142</v>
      </c>
      <c r="H23" s="101" t="s">
        <v>102</v>
      </c>
      <c r="I23" s="78" cm="1">
        <f t="array" ref="I23">SUMPRODUCT((IFERROR(MONTH(Accidentes!$D$2:$D$4995),0)=10) * (_xlfn.XLOOKUP(Accidentes!$C$2:$C$4995, Trabajadores!$B$2:$B$5667, Trabajadores!$G$2:$G$5667, "")=$A$1))</f>
        <v>0</v>
      </c>
    </row>
    <row r="24" spans="1:14" ht="25.2" customHeight="1" x14ac:dyDescent="0.3">
      <c r="H24" s="101" t="s">
        <v>104</v>
      </c>
      <c r="I24" s="78" cm="1">
        <f t="array" ref="I24">SUMPRODUCT((IFERROR(MONTH(Accidentes!$D$2:$D$4995),0)=11) * (_xlfn.XLOOKUP(Accidentes!$C$2:$C$4995, Trabajadores!$B$2:$B$5667, Trabajadores!$G$2:$G$5667, "")=$A$1))</f>
        <v>0</v>
      </c>
    </row>
    <row r="25" spans="1:14" ht="25.2" customHeight="1" x14ac:dyDescent="0.3">
      <c r="H25" s="101" t="s">
        <v>106</v>
      </c>
      <c r="I25" s="79" cm="1">
        <f t="array" ref="I25">SUMPRODUCT((IFERROR(MONTH(Accidentes!$D$2:$D$4995),0)=12) * (_xlfn.XLOOKUP(Accidentes!$C$2:$C$4995, Trabajadores!$B$2:$B$5667, Trabajadores!$G$2:$G$5667, "")=$A$1))</f>
        <v>0</v>
      </c>
    </row>
    <row r="26" spans="1:14" ht="25.2" customHeight="1" x14ac:dyDescent="0.3">
      <c r="A26" s="51" t="s">
        <v>115</v>
      </c>
      <c r="B26" s="51" t="s">
        <v>116</v>
      </c>
      <c r="C26" s="51" t="s">
        <v>117</v>
      </c>
      <c r="D26" s="51" t="s">
        <v>110</v>
      </c>
    </row>
    <row r="27" spans="1:14" ht="25.2" customHeight="1" x14ac:dyDescent="0.3">
      <c r="A27" s="51" t="s">
        <v>118</v>
      </c>
      <c r="B27" cm="1">
        <f t="array" aca="1" ref="B27" ca="1">SUMPRODUCT((Trabajadores!$G$2:$G$1571=A1)*(Trabajadores!$F$2:$F$1571="M")*(Trabajadores!$E$2:$E$1571&lt;20)*(UPPER(TEXT(Trabajadores!$L$2:$L$1571,"mmmm"))=H8))</f>
        <v>1</v>
      </c>
      <c r="C27" cm="1">
        <f t="array" aca="1" ref="C27" ca="1">SUMPRODUCT((Trabajadores!$G$2:$G$1571=A1)*(Trabajadores!$F$2:$F$1571="F")*(Trabajadores!$E$2:$E$1571&lt;20)*(UPPER(TEXT(Trabajadores!$L$2:$L$1571,"mmmm"))=H8))</f>
        <v>2</v>
      </c>
      <c r="D27" s="62">
        <f ca="1">IFERROR((B27+C27)/(B33+C33), 0)</f>
        <v>0.1</v>
      </c>
    </row>
    <row r="28" spans="1:14" ht="25.2" customHeight="1" x14ac:dyDescent="0.3">
      <c r="A28" s="51" t="s">
        <v>119</v>
      </c>
      <c r="B28" cm="1">
        <f t="array" aca="1" ref="B28" ca="1">SUMPRODUCT((Trabajadores!$G$2:$G$1571=A1)*(Trabajadores!$F$2:$F$1571="M")*(Trabajadores!$E$2:$E$1571&gt;=20)*(Trabajadores!$E$2:$E$1571&lt;=29)*(UPPER(TEXT(Trabajadores!$L$2:$L$1571,"mmmm"))=H8))</f>
        <v>5</v>
      </c>
      <c r="C28" cm="1">
        <f t="array" aca="1" ref="C28" ca="1">SUMPRODUCT((Trabajadores!$G$2:$G$1571=A1)*(Trabajadores!$F$2:$F$1571="F")*(Trabajadores!$E$2:$E$1571&gt;=20)*(Trabajadores!$E$2:$E$1571&lt;=29)*(UPPER(TEXT(Trabajadores!$L$2:$L$1571,"mmmm"))=H8))</f>
        <v>5</v>
      </c>
      <c r="D28" s="63">
        <f ca="1">IFERROR((B28+C28)/(B33+C33), 0)</f>
        <v>0.33333333333333331</v>
      </c>
    </row>
    <row r="29" spans="1:14" ht="25.2" customHeight="1" x14ac:dyDescent="0.3">
      <c r="A29" s="51" t="s">
        <v>120</v>
      </c>
      <c r="B29" cm="1">
        <f t="array" aca="1" ref="B29" ca="1">SUMPRODUCT((Trabajadores!$G$2:$G$1571=A1)*(Trabajadores!$F$2:$F$1571="M")*(Trabajadores!$E$2:$E$1571&gt;=30)*(Trabajadores!$E$2:$E$1571&lt;=39)*(UPPER(TEXT(Trabajadores!$L$2:$L$1571,"mmmm"))=H8))</f>
        <v>6</v>
      </c>
      <c r="C29" cm="1">
        <f t="array" aca="1" ref="C29" ca="1">SUMPRODUCT((Trabajadores!$G$2:$G$1571=A1)*(Trabajadores!$F$2:$F$1571="F")*(Trabajadores!$E$2:$E$1571&gt;=30)*(Trabajadores!$E$2:$E$1571&lt;=39)*(UPPER(TEXT(Trabajadores!$L$2:$L$1571,"mmmm"))=H8))</f>
        <v>6</v>
      </c>
      <c r="D29" s="63">
        <f ca="1">IFERROR((B29+C29)/(B33+C33), 0)</f>
        <v>0.4</v>
      </c>
    </row>
    <row r="30" spans="1:14" ht="25.2" customHeight="1" x14ac:dyDescent="0.3">
      <c r="A30" s="51" t="s">
        <v>121</v>
      </c>
      <c r="B30" cm="1">
        <f t="array" aca="1" ref="B30" ca="1">SUMPRODUCT((Trabajadores!$G$2:$G$1571=A1)*(Trabajadores!$F$2:$F$1571="M")*(Trabajadores!$E$2:$E$1571&gt;=40)*(Trabajadores!$E$2:$E$1571&lt;=49)*(UPPER(TEXT(Trabajadores!$L$2:$L$1571,"mmmm"))=H8))</f>
        <v>3</v>
      </c>
      <c r="C30" cm="1">
        <f t="array" aca="1" ref="C30" ca="1">SUMPRODUCT((Trabajadores!$G$2:$G$1571=A1)*(Trabajadores!$F$2:$F$1571="F")*(Trabajadores!$E$2:$E$1571&gt;=40)*(Trabajadores!$E$2:$E$1571&lt;=49)*(UPPER(TEXT(Trabajadores!$L$2:$L$1571,"mmmm"))=H8))</f>
        <v>1</v>
      </c>
      <c r="D30" s="63">
        <f ca="1">IFERROR((B30+C30)/(B33+C33), 0)</f>
        <v>0.13333333333333333</v>
      </c>
    </row>
    <row r="31" spans="1:14" ht="25.2" customHeight="1" x14ac:dyDescent="0.3">
      <c r="A31" s="51" t="s">
        <v>122</v>
      </c>
      <c r="B31" cm="1">
        <f t="array" aca="1" ref="B31" ca="1">SUMPRODUCT((Trabajadores!$G$2:$G$1571=A1)*(Trabajadores!$F$2:$F$1571="M")*(Trabajadores!$E$2:$E$1571&gt;=50)*(Trabajadores!$E$2:$E$1571&lt;=59)*(UPPER(TEXT(Trabajadores!$L$2:$L$1571,"mmmm"))=H8))</f>
        <v>1</v>
      </c>
      <c r="C31" cm="1">
        <f t="array" aca="1" ref="C31" ca="1">SUMPRODUCT((Trabajadores!$G$2:$G$1571=A1)*(Trabajadores!$F$2:$F$1571="F")*(Trabajadores!$E$2:$E$1571&gt;=50)*(Trabajadores!$E$2:$E$1571&lt;=59)*(UPPER(TEXT(Trabajadores!$L$2:$L$1571,"mmmm"))=H8))</f>
        <v>0</v>
      </c>
      <c r="D31" s="63">
        <f ca="1">IFERROR((B31+C31)/(B33+C33), 0)</f>
        <v>3.3333333333333333E-2</v>
      </c>
    </row>
    <row r="32" spans="1:14" ht="25.2" customHeight="1" x14ac:dyDescent="0.3">
      <c r="A32" s="51" t="s">
        <v>123</v>
      </c>
      <c r="B32" cm="1">
        <f t="array" aca="1" ref="B32" ca="1">SUMPRODUCT((Trabajadores!$G$2:$G$1571=A1)*(Trabajadores!$F$2:$F$1571="M")*(Trabajadores!$E$2:$E$1571&gt;=60)*(UPPER(TEXT(Trabajadores!$L$2:$L$1571,"mmmm"))=H8))</f>
        <v>0</v>
      </c>
      <c r="C32" cm="1">
        <f t="array" aca="1" ref="C32" ca="1">SUMPRODUCT((Trabajadores!$G$2:$G$1571=A1)*(Trabajadores!$F$2:$F$1571="F")*(Trabajadores!$E$2:$E$1571&gt;=60)*(UPPER(TEXT(Trabajadores!$L$2:$L$1571,"mmmm"))=H8))</f>
        <v>0</v>
      </c>
      <c r="D32" s="63">
        <f ca="1">IFERROR((B32+C32)/(B33+C33), 0)</f>
        <v>0</v>
      </c>
    </row>
    <row r="33" spans="1:11" x14ac:dyDescent="0.3">
      <c r="A33" s="51" t="s">
        <v>108</v>
      </c>
      <c r="B33" s="60">
        <f ca="1">SUM(B27:B32)</f>
        <v>16</v>
      </c>
      <c r="C33" s="58">
        <f ca="1">SUM(C27:C32)</f>
        <v>14</v>
      </c>
      <c r="D33" s="64">
        <f ca="1">SUM(D27:D32)</f>
        <v>1</v>
      </c>
    </row>
    <row r="37" spans="1:11" ht="19.95" customHeight="1" x14ac:dyDescent="0.3">
      <c r="A37" s="103"/>
      <c r="B37" s="158" t="s">
        <v>116</v>
      </c>
      <c r="C37" s="159"/>
      <c r="D37" s="159"/>
      <c r="E37" s="160"/>
      <c r="F37" s="161" t="s">
        <v>124</v>
      </c>
      <c r="G37" s="158" t="s">
        <v>117</v>
      </c>
      <c r="H37" s="159"/>
      <c r="I37" s="159"/>
      <c r="J37" s="160"/>
      <c r="K37" s="161" t="s">
        <v>125</v>
      </c>
    </row>
    <row r="38" spans="1:11" ht="30" customHeight="1" x14ac:dyDescent="0.3">
      <c r="A38" s="104"/>
      <c r="B38" s="102" t="s">
        <v>126</v>
      </c>
      <c r="C38" s="102" t="s">
        <v>127</v>
      </c>
      <c r="D38" s="102" t="s">
        <v>128</v>
      </c>
      <c r="E38" s="102" t="s">
        <v>129</v>
      </c>
      <c r="F38" s="162"/>
      <c r="G38" s="102" t="s">
        <v>126</v>
      </c>
      <c r="H38" s="102" t="s">
        <v>127</v>
      </c>
      <c r="I38" s="102" t="s">
        <v>128</v>
      </c>
      <c r="J38" s="102" t="s">
        <v>129</v>
      </c>
      <c r="K38" s="162"/>
    </row>
    <row r="39" spans="1:11" ht="19.95" customHeight="1" x14ac:dyDescent="0.3">
      <c r="A39" s="101" t="s">
        <v>108</v>
      </c>
      <c r="B39" s="68" cm="1">
        <f t="array" ref="B39">_xlfn.LET(_xlpm.m, MATCH($H$8,{"ENERO","Febrero","Marzo","Abril","Mayo","Junio","Julio","Agosto","Septiembre","Octubre","Noviembre","Diciembre"},0), _xlpm.o, $A$1, SUMPRODUCT((IFERROR(MONTH(Trabajadores!$L$2:$L$5665),0)=_xlpm.m)*(Trabajadores!$L$2:$L$5665&lt;&gt;"")*(Trabajadores!$G$2:$G$5665=_xlpm.o)*(Trabajadores!$F$2:$F$5665="M")*(Trabajadores!$V$2:$V$5665="Apto")))</f>
        <v>8</v>
      </c>
      <c r="C39" s="68" cm="1">
        <f t="array" ref="C39">_xlfn.LET(_xlpm.m, MATCH($H$8,{"Enero","Febrero","Marzo","Abril","Mayo","Junio","Julio","Agosto","Septiembre","Octubre","Noviembre","Diciembre"},0), _xlpm.o, $A$1, SUMPRODUCT((IFERROR(MONTH(Trabajadores!$L$2:$L$5665),0)=_xlpm.m)*(Trabajadores!$L$2:$L$5665&lt;&gt;"")*(Trabajadores!$G$2:$G$5665=_xlpm.o)*(Trabajadores!$F$2:$F$5665="M")*(Trabajadores!$V$2:$V$5665="Apto con Restricción")))</f>
        <v>0</v>
      </c>
      <c r="D39" s="68" cm="1">
        <f t="array" ref="D39">_xlfn.LET(_xlpm.m, MATCH($H$8,{"Enero","Febrero","Marzo","Abril","Mayo","Junio","Julio","Agosto","Septiembre","Octubre","Noviembre","Diciembre"},0), _xlpm.o, $A$1, SUMPRODUCT((IFERROR(MONTH(Trabajadores!$L$2:$L$5665),0)=_xlpm.m)*(Trabajadores!$L$2:$L$5665&lt;&gt;"")*(Trabajadores!$G$2:$G$5665=_xlpm.o)*(Trabajadores!$F$2:$F$5665="M")*(Trabajadores!$V$2:$V$5665="Observado")))</f>
        <v>0</v>
      </c>
      <c r="E39" s="68" cm="1">
        <f t="array" ref="E39">_xlfn.LET(_xlpm.m, MATCH($H$8,{"Enero","Febrero","Marzo","Abril","Mayo","Junio","Julio","Agosto","Septiembre","Octubre","Noviembre","Diciembre"},0), _xlpm.o, $A$1, SUMPRODUCT((IFERROR(MONTH(Trabajadores!$L$2:$L$5665),0)=_xlpm.m)*(Trabajadores!$L$2:$L$5665&lt;&gt;"")*(Trabajadores!$G$2:$G$5665=_xlpm.o)*(Trabajadores!$F$2:$F$5665="M")*(Trabajadores!$V$2:$V$5665="No Apto")))</f>
        <v>0</v>
      </c>
      <c r="F39" s="95">
        <f>SUM(B39:E39)</f>
        <v>8</v>
      </c>
      <c r="G39" s="68" cm="1">
        <f t="array" ref="G39">_xlfn.LET(_xlpm.m, MATCH($H$8,{"Enero","Febrero","Marzo","Abril","Mayo","Junio","Julio","Agosto","Septiembre","Octubre","Noviembre","Diciembre"},0), _xlpm.o, $A$1, SUMPRODUCT((IFERROR(MONTH(Trabajadores!$L$2:$L$5665),0)=_xlpm.m)*(Trabajadores!$L$2:$L$5665&lt;&gt;"")*(Trabajadores!$G$2:$G$5665=_xlpm.o)*(Trabajadores!$F$2:$F$5665="F")*(Trabajadores!$V$2:$V$5665="Apto")))</f>
        <v>4</v>
      </c>
      <c r="H39" s="68" cm="1">
        <f t="array" ref="H39">_xlfn.LET(_xlpm.m, MATCH($H$8,{"Enero","Febrero","Marzo","Abril","Mayo","Junio","Julio","Agosto","Septiembre","Octubre","Noviembre","Diciembre"},0), _xlpm.o, $A$1, SUMPRODUCT((IFERROR(MONTH(Trabajadores!$L$2:$L$5665),0)=_xlpm.m)*(Trabajadores!$L$2:$L$5665&lt;&gt;"")*(Trabajadores!$G$2:$G$5665=_xlpm.o)*(Trabajadores!$F$2:$F$5665="F")*(Trabajadores!$V$2:$V$5665="Apto con Restricción")))</f>
        <v>0</v>
      </c>
      <c r="I39" s="68" cm="1">
        <f t="array" ref="I39">_xlfn.LET(_xlpm.m, MATCH($H$8,{"Enero","Febrero","Marzo","Abril","Mayo","Junio","Julio","Agosto","Septiembre","Octubre","Noviembre","Diciembre"},0), _xlpm.o, $A$1, SUMPRODUCT((IFERROR(MONTH(Trabajadores!$L$2:$L$5665),0)=_xlpm.m)*(Trabajadores!$L$2:$L$5665&lt;&gt;"")*(Trabajadores!$G$2:$G$5665=_xlpm.o)*(Trabajadores!$F$2:$F$5665="F")*(Trabajadores!$V$2:$V$5665="Observado")))</f>
        <v>0</v>
      </c>
      <c r="J39" s="68" cm="1">
        <f t="array" ref="J39">_xlfn.LET(_xlpm.m, MATCH($H$8,{"Enero","Febrero","Marzo","Abril","Mayo","Junio","Julio","Agosto","Septiembre","Octubre","Noviembre","Diciembre"},0), _xlpm.o, $A$1, SUMPRODUCT((IFERROR(MONTH(Trabajadores!$L$2:$L$5665),0)=_xlpm.m)*(Trabajadores!$L$2:$L$5665&lt;&gt;"")*(Trabajadores!$G$2:$G$5665=_xlpm.o)*(Trabajadores!$F$2:$F$5665="F")*(Trabajadores!$V$2:$V$5665="No Apto")))</f>
        <v>0</v>
      </c>
      <c r="K39" s="95">
        <f>SUM(G39:J39)</f>
        <v>4</v>
      </c>
    </row>
    <row r="40" spans="1:11" x14ac:dyDescent="0.3">
      <c r="D40" s="105"/>
    </row>
    <row r="47" spans="1:11" ht="19.95" customHeight="1" x14ac:dyDescent="0.3">
      <c r="A47" s="51"/>
      <c r="B47" s="51" t="s">
        <v>130</v>
      </c>
      <c r="C47" s="106" t="s">
        <v>131</v>
      </c>
      <c r="D47" s="106" t="s">
        <v>108</v>
      </c>
    </row>
    <row r="48" spans="1:11" ht="19.95" customHeight="1" x14ac:dyDescent="0.3">
      <c r="A48" s="51" t="s">
        <v>132</v>
      </c>
      <c r="B48" s="1" cm="1">
        <f t="array" ref="B48">SUMPRODUCT((Trabajadores!$G$2:$G$1571=A1)*(Trabajadores!$F$2:$F$1571="M")*(Trabajadores!$K$2:$K$1571="Oficina")*(UPPER(TEXT(Trabajadores!$L$2:$L$1571,"mmmm"))=H8))</f>
        <v>0</v>
      </c>
      <c r="C48" s="1" cm="1">
        <f t="array" ref="C48">SUMPRODUCT((Trabajadores!$G$2:$G$1571=A1)*(Trabajadores!$F$2:$F$1571="F")*(Trabajadores!$K$2:$K$1571="Oficina")*(UPPER(TEXT(Trabajadores!$L$2:$L$1571,"mmmm"))=H8))</f>
        <v>0</v>
      </c>
      <c r="D48" s="67">
        <f>SUM(B48:C48)</f>
        <v>0</v>
      </c>
    </row>
    <row r="49" spans="1:6" ht="19.95" customHeight="1" x14ac:dyDescent="0.3">
      <c r="A49" s="51" t="s">
        <v>133</v>
      </c>
      <c r="B49" s="1" cm="1">
        <f t="array" ref="B49">SUMPRODUCT((Trabajadores!$G$2:$G$1571=A1)*(Trabajadores!$F$2:$F$1571="M")*(Trabajadores!$K$2:$K$1571="Técnico")*(UPPER(TEXT(Trabajadores!$L$2:$L$1571,"mmmm"))=H8))</f>
        <v>0</v>
      </c>
      <c r="C49" s="1" cm="1">
        <f t="array" ref="C49">SUMPRODUCT((Trabajadores!$G$2:$G$1571=A1)*(Trabajadores!$F$2:$F$1571="F")*(Trabajadores!$K$2:$K$1571="Técnico")*(UPPER(TEXT(Trabajadores!$L$2:$L$1571,"mmmm"))=H8))</f>
        <v>0</v>
      </c>
      <c r="D49" s="56">
        <f>SUM(B49:C49)</f>
        <v>0</v>
      </c>
    </row>
    <row r="50" spans="1:6" ht="19.95" customHeight="1" x14ac:dyDescent="0.3">
      <c r="A50" s="107" t="s">
        <v>108</v>
      </c>
      <c r="B50" s="55">
        <f>SUM(B48:B49)</f>
        <v>0</v>
      </c>
      <c r="C50" s="55">
        <f>SUM(C48:C49)</f>
        <v>0</v>
      </c>
      <c r="D50" s="57">
        <f>SUM(D48:D49)</f>
        <v>0</v>
      </c>
    </row>
    <row r="51" spans="1:6" ht="25.2" customHeight="1" x14ac:dyDescent="0.3"/>
    <row r="52" spans="1:6" ht="25.2" customHeight="1" x14ac:dyDescent="0.3"/>
    <row r="53" spans="1:6" ht="25.2" customHeight="1" x14ac:dyDescent="0.3"/>
    <row r="56" spans="1:6" x14ac:dyDescent="0.3">
      <c r="A56" s="51" t="s">
        <v>134</v>
      </c>
      <c r="B56" s="51" t="s">
        <v>135</v>
      </c>
      <c r="C56" s="51" t="s">
        <v>136</v>
      </c>
      <c r="D56" s="51" t="s">
        <v>137</v>
      </c>
      <c r="E56" s="51" t="s">
        <v>138</v>
      </c>
      <c r="F56" s="102" t="s">
        <v>139</v>
      </c>
    </row>
    <row r="57" spans="1:6" x14ac:dyDescent="0.3">
      <c r="A57" s="51" t="s">
        <v>66</v>
      </c>
      <c r="B57" s="1" cm="1">
        <f t="array" ref="B57">SUMPRODUCT((MONTH('Capacitaciones'!$E$2:$E$4825)=1)*('Capacitaciones'!$E$2:$E$4825&lt;&gt;"")*('Capacitaciones'!$D$2:$D$4825="GOLPE DE CALOR")*(_xlfn.XLOOKUP('Capacitaciones'!$C$2:$C$4825, Trabajadores!$B$2:$B$5665, Trabajadores!$G$2:$G$5665, "")=STATS!A1))</f>
        <v>0</v>
      </c>
      <c r="C57" s="1" cm="1">
        <f t="array" ref="C57">SUMPRODUCT((MONTH('Capacitaciones'!$E$2:$E$4825)=1)*('Capacitaciones'!$E$2:$E$4825&lt;&gt;"")*('Capacitaciones'!$D$2:$D$4825="VIGILANCIA")*(_xlfn.XLOOKUP('Capacitaciones'!$C$2:$C$4825, Trabajadores!$B$2:$B$5665, Trabajadores!$G$2:$G$5665, "")=STATS!A1))</f>
        <v>0</v>
      </c>
      <c r="D57" s="1" cm="1">
        <f t="array" ref="D57">SUMPRODUCT((MONTH('Capacitaciones'!$E$2:$E$4825)=1)*('Capacitaciones'!$E$2:$E$4825&lt;&gt;"")*('Capacitaciones'!$D$2:$D$4825="ERGONOMIA")*(_xlfn.XLOOKUP('Capacitaciones'!$C$2:$C$4825, Trabajadores!$B$2:$B$5665, Trabajadores!$G$2:$G$5665, "")=STATS!A1))</f>
        <v>0</v>
      </c>
      <c r="E57" s="1" cm="1">
        <f t="array" ref="E57">SUMPRODUCT((MONTH('Capacitaciones'!$E$2:$E$4825)=1)*('Capacitaciones'!$E$2:$E$4825&lt;&gt;"")*('Capacitaciones'!$D$2:$D$4825="TME")*(_xlfn.XLOOKUP('Capacitaciones'!$C$2:$C$4825, Trabajadores!$B$2:$B$5665, Trabajadores!$G$2:$G$5665, "")=STATS!A1))</f>
        <v>0</v>
      </c>
      <c r="F57" s="74" cm="1">
        <f t="array" ref="F57">SUMPRODUCT((MONTH('Capacitaciones'!$E$2:$E$4825)=1)*('Capacitaciones'!$E$2:$E$4825&lt;&gt;"")*('Capacitaciones'!$D$2:$D$4825="PSICOSOCIAL")*(_xlfn.XLOOKUP('Capacitaciones'!$C$2:$C$4825, Trabajadores!$B$2:$B$5665, Trabajadores!$G$2:$G$5665, "")=STATS!A1))</f>
        <v>0</v>
      </c>
    </row>
    <row r="58" spans="1:6" x14ac:dyDescent="0.3">
      <c r="A58" s="51" t="s">
        <v>67</v>
      </c>
      <c r="B58" s="1" cm="1">
        <f t="array" ref="B58">SUMPRODUCT((MONTH('Capacitaciones'!$E$2:$E$4825)=2)*('Capacitaciones'!$E$2:$E$4825&lt;&gt;"")*('Capacitaciones'!$D$2:$D$4825="GOLPE DE CALOR")*(_xlfn.XLOOKUP('Capacitaciones'!$C$2:$C$4825, Trabajadores!$B$2:$B$5665, Trabajadores!$G$2:$G$5665, "")=STATS!A1))</f>
        <v>0</v>
      </c>
      <c r="C58" s="1" cm="1">
        <f t="array" ref="C58">SUMPRODUCT((MONTH('Capacitaciones'!$E$2:$E$4825)=2)*('Capacitaciones'!$E$2:$E$4825&lt;&gt;"")*('Capacitaciones'!$D$2:$D$4825="VIGILANCIA")*(_xlfn.XLOOKUP('Capacitaciones'!$C$2:$C$4825, Trabajadores!$B$2:$B$5665, Trabajadores!$G$2:$G$5665, "")=STATS!A1))</f>
        <v>0</v>
      </c>
      <c r="D58" s="1" cm="1">
        <f t="array" ref="D58">SUMPRODUCT((MONTH('Capacitaciones'!$E$2:$E$4825)=2)*('Capacitaciones'!$E$2:$E$4825&lt;&gt;"")*('Capacitaciones'!$D$2:$D$4825="ERGONOMIA")*(_xlfn.XLOOKUP('Capacitaciones'!$C$2:$C$4825, Trabajadores!$B$2:$B$5665, Trabajadores!$G$2:$G$5665, "")=STATS!A1))</f>
        <v>0</v>
      </c>
      <c r="E58" s="1" cm="1">
        <f t="array" ref="E58">SUMPRODUCT((MONTH('Capacitaciones'!$E$2:$E$4825)=2)*('Capacitaciones'!$E$2:$E$4825&lt;&gt;"")*('Capacitaciones'!$D$2:$D$4825="TME")*(_xlfn.XLOOKUP('Capacitaciones'!$C$2:$C$4825, Trabajadores!$B$2:$B$5665, Trabajadores!$G$2:$G$5665, "")=STATS!A1))</f>
        <v>0</v>
      </c>
      <c r="F58" s="56" cm="1">
        <f t="array" ref="F58">SUMPRODUCT((MONTH('Capacitaciones'!$E$2:$E$4825)=2)*('Capacitaciones'!$E$2:$E$4825&lt;&gt;"")*('Capacitaciones'!$D$2:$D$4825="PSICOSOCIAL")*(_xlfn.XLOOKUP('Capacitaciones'!$C$2:$C$4825, Trabajadores!$B$2:$B$5665, Trabajadores!$G$2:$G$5665, "")=STATS!A1))</f>
        <v>0</v>
      </c>
    </row>
    <row r="59" spans="1:6" x14ac:dyDescent="0.3">
      <c r="A59" s="51" t="s">
        <v>74</v>
      </c>
      <c r="B59" s="1" cm="1">
        <f t="array" ref="B59">SUMPRODUCT((MONTH('Capacitaciones'!$E$2:$E$4825)=3)*('Capacitaciones'!$E$2:$E$4825&lt;&gt;"")*('Capacitaciones'!$D$2:$D$4825="GOLPE DE CALOR")*(_xlfn.XLOOKUP('Capacitaciones'!$C$2:$C$4825, Trabajadores!$B$2:$B$5665, Trabajadores!$G$2:$G$5665, "")=STATS!A1))</f>
        <v>0</v>
      </c>
      <c r="C59" s="1" cm="1">
        <f t="array" ref="C59">SUMPRODUCT((MONTH('Capacitaciones'!$E$2:$E$4825)=3)*('Capacitaciones'!$E$2:$E$4825&lt;&gt;"")*('Capacitaciones'!$D$2:$D$4825="VIGILANCIA")*(_xlfn.XLOOKUP('Capacitaciones'!$C$2:$C$4825, Trabajadores!$B$2:$B$5665, Trabajadores!$G$2:$G$5665, "")=STATS!A1))</f>
        <v>0</v>
      </c>
      <c r="D59" s="1" cm="1">
        <f t="array" ref="D59">SUMPRODUCT((MONTH('Capacitaciones'!$E$2:$E$4825)=3)*('Capacitaciones'!$E$2:$E$4825&lt;&gt;"")*('Capacitaciones'!$D$2:$D$4825="ERGONOMIA")*(_xlfn.XLOOKUP('Capacitaciones'!$C$2:$C$4825, Trabajadores!$B$2:$B$5665, Trabajadores!$G$2:$G$5665, "")=STATS!A1))</f>
        <v>0</v>
      </c>
      <c r="E59" s="1" cm="1">
        <f t="array" ref="E59">SUMPRODUCT((MONTH('Capacitaciones'!$E$2:$E$4825)=3)*('Capacitaciones'!$E$2:$E$4825&lt;&gt;"")*('Capacitaciones'!$D$2:$D$4825="TME")*(_xlfn.XLOOKUP('Capacitaciones'!$C$2:$C$4825, Trabajadores!$B$2:$B$5665, Trabajadores!$G$2:$G$5665, "")=STATS!A1))</f>
        <v>0</v>
      </c>
      <c r="F59" s="56" cm="1">
        <f t="array" ref="F59">SUMPRODUCT((MONTH('Capacitaciones'!$E$2:$E$4825)=3)*('Capacitaciones'!$E$2:$E$4825&lt;&gt;"")*('Capacitaciones'!$D$2:$D$4825="PSICOSOCIAL")*(_xlfn.XLOOKUP('Capacitaciones'!$C$2:$C$4825, Trabajadores!$B$2:$B$5665, Trabajadores!$G$2:$G$5665, "")=STATS!A1))</f>
        <v>0</v>
      </c>
    </row>
    <row r="60" spans="1:6" x14ac:dyDescent="0.3">
      <c r="A60" s="51" t="s">
        <v>76</v>
      </c>
      <c r="B60" s="1" cm="1">
        <f t="array" ref="B60">SUMPRODUCT((MONTH('Capacitaciones'!$E$2:$E$4825)=4)*('Capacitaciones'!$E$2:$E$4825&lt;&gt;"")*('Capacitaciones'!$D$2:$D$4825="GOLPE DE CALOR")*(_xlfn.XLOOKUP('Capacitaciones'!$C$2:$C$4825, Trabajadores!$B$2:$B$5665, Trabajadores!$G$2:$G$5665, "")=STATS!A1))</f>
        <v>0</v>
      </c>
      <c r="C60" s="1" cm="1">
        <f t="array" ref="C60">SUMPRODUCT((MONTH('Capacitaciones'!$E$2:$E$4825)=4)*('Capacitaciones'!$E$2:$E$4825&lt;&gt;"")*('Capacitaciones'!$D$2:$D$4825="VIGILANCIA")*(_xlfn.XLOOKUP('Capacitaciones'!$C$2:$C$4825, Trabajadores!$B$2:$B$5665, Trabajadores!$G$2:$G$5665, "")=STATS!A1))</f>
        <v>0</v>
      </c>
      <c r="D60" s="1" cm="1">
        <f t="array" ref="D60">SUMPRODUCT((MONTH('Capacitaciones'!$E$2:$E$4825)=4)*('Capacitaciones'!$E$2:$E$4825&lt;&gt;"")*('Capacitaciones'!$D$2:$D$4825="ERGONOMIA")*(_xlfn.XLOOKUP('Capacitaciones'!$C$2:$C$4825, Trabajadores!$B$2:$B$5665, Trabajadores!$G$2:$G$5665, "")=STATS!A1))</f>
        <v>0</v>
      </c>
      <c r="E60" s="1" cm="1">
        <f t="array" ref="E60">SUMPRODUCT((MONTH('Capacitaciones'!$E$2:$E$4825)=4)*('Capacitaciones'!$E$2:$E$4825&lt;&gt;"")*('Capacitaciones'!$D$2:$D$4825="TME")*(_xlfn.XLOOKUP('Capacitaciones'!$C$2:$C$4825, Trabajadores!$B$2:$B$5665, Trabajadores!$G$2:$G$5665, "")=STATS!A1))</f>
        <v>0</v>
      </c>
      <c r="F60" s="56" cm="1">
        <f t="array" ref="F60">SUMPRODUCT((MONTH('Capacitaciones'!$E$2:$E$4825)=4)*('Capacitaciones'!$E$2:$E$4825&lt;&gt;"")*('Capacitaciones'!$D$2:$D$4825="PSICOSOCIAL")*(_xlfn.XLOOKUP('Capacitaciones'!$C$2:$C$4825, Trabajadores!$B$2:$B$5665, Trabajadores!$G$2:$G$5665, "")=STATS!A1))</f>
        <v>0</v>
      </c>
    </row>
    <row r="61" spans="1:6" x14ac:dyDescent="0.3">
      <c r="A61" s="51" t="s">
        <v>85</v>
      </c>
      <c r="B61" s="1" cm="1">
        <f t="array" ref="B61">SUMPRODUCT((MONTH('Capacitaciones'!$E$2:$E$4825)=5)*('Capacitaciones'!$E$2:$E$4825&lt;&gt;"")*('Capacitaciones'!$D$2:$D$4825="GOLPE DE CALOR")*(_xlfn.XLOOKUP('Capacitaciones'!$C$2:$C$4825, Trabajadores!$B$2:$B$5665, Trabajadores!$G$2:$G$5665, "")=STATS!A1))</f>
        <v>0</v>
      </c>
      <c r="C61" s="1" cm="1">
        <f t="array" ref="C61">SUMPRODUCT((MONTH('Capacitaciones'!$E$2:$E$4825)=5)*('Capacitaciones'!$E$2:$E$4825&lt;&gt;"")*('Capacitaciones'!$D$2:$D$4825="VIGILANCIA")*(_xlfn.XLOOKUP('Capacitaciones'!$C$2:$C$4825, Trabajadores!$B$2:$B$5665, Trabajadores!$G$2:$G$5665, "")=STATS!A1))</f>
        <v>0</v>
      </c>
      <c r="D61" s="1" cm="1">
        <f t="array" ref="D61">SUMPRODUCT((MONTH('Capacitaciones'!$E$2:$E$4825)=5)*('Capacitaciones'!$E$2:$E$4825&lt;&gt;"")*('Capacitaciones'!$D$2:$D$4825="ERGONOMIA")*(_xlfn.XLOOKUP('Capacitaciones'!$C$2:$C$4825, Trabajadores!$B$2:$B$5665, Trabajadores!$G$2:$G$5665, "")=STATS!A1))</f>
        <v>0</v>
      </c>
      <c r="E61" s="1" cm="1">
        <f t="array" ref="E61">SUMPRODUCT((MONTH('Capacitaciones'!$E$2:$E$4825)=5)*('Capacitaciones'!$E$2:$E$4825&lt;&gt;"")*('Capacitaciones'!$D$2:$D$4825="TME")*(_xlfn.XLOOKUP('Capacitaciones'!$C$2:$C$4825, Trabajadores!$B$2:$B$5665, Trabajadores!$G$2:$G$5665, "")=STATS!A1))</f>
        <v>0</v>
      </c>
      <c r="F61" s="56" cm="1">
        <f t="array" ref="F61">SUMPRODUCT((MONTH('Capacitaciones'!$E$2:$E$4825)=5)*('Capacitaciones'!$E$2:$E$4825&lt;&gt;"")*('Capacitaciones'!$D$2:$D$4825="PSICOSOCIAL")*(_xlfn.XLOOKUP('Capacitaciones'!$C$2:$C$4825, Trabajadores!$B$2:$B$5665, Trabajadores!$G$2:$G$5665, "")=STATS!A1))</f>
        <v>0</v>
      </c>
    </row>
    <row r="62" spans="1:6" x14ac:dyDescent="0.3">
      <c r="A62" s="51" t="s">
        <v>88</v>
      </c>
      <c r="B62" s="1" cm="1">
        <f t="array" ref="B62">SUMPRODUCT((MONTH('Capacitaciones'!$E$2:$E$4825)=6)*('Capacitaciones'!$E$2:$E$4825&lt;&gt;"")*('Capacitaciones'!$D$2:$D$4825="GOLPE DE CALOR")*(_xlfn.XLOOKUP('Capacitaciones'!$C$2:$C$4825, Trabajadores!$B$2:$B$5665, Trabajadores!$G$2:$G$5665, "")=STATS!A1))</f>
        <v>0</v>
      </c>
      <c r="C62" s="1" cm="1">
        <f t="array" ref="C62">SUMPRODUCT((MONTH('Capacitaciones'!$E$2:$E$4825)=6)*('Capacitaciones'!$E$2:$E$4825&lt;&gt;"")*('Capacitaciones'!$D$2:$D$4825="VIGILANCIA")*(_xlfn.XLOOKUP('Capacitaciones'!$C$2:$C$4825, Trabajadores!$B$2:$B$5665, Trabajadores!$G$2:$G$5665, "")=STATS!A1))</f>
        <v>0</v>
      </c>
      <c r="D62" s="1" cm="1">
        <f t="array" ref="D62">SUMPRODUCT((MONTH('Capacitaciones'!$E$2:$E$4825)=6)*('Capacitaciones'!$E$2:$E$4825&lt;&gt;"")*('Capacitaciones'!$D$2:$D$4825="ERGONOMIA")*(_xlfn.XLOOKUP('Capacitaciones'!$C$2:$C$4825, Trabajadores!$B$2:$B$5665, Trabajadores!$G$2:$G$5665, "")=STATS!A1))</f>
        <v>0</v>
      </c>
      <c r="E62" s="1" cm="1">
        <f t="array" ref="E62">SUMPRODUCT((MONTH('Capacitaciones'!$E$2:$E$4825)=6)*('Capacitaciones'!$E$2:$E$4825&lt;&gt;"")*('Capacitaciones'!$D$2:$D$4825="TME")*(_xlfn.XLOOKUP('Capacitaciones'!$C$2:$C$4825, Trabajadores!$B$2:$B$5665, Trabajadores!$G$2:$G$5665, "")=STATS!A1))</f>
        <v>0</v>
      </c>
      <c r="F62" s="56" cm="1">
        <f t="array" ref="F62">SUMPRODUCT((MONTH('Capacitaciones'!$E$2:$E$4825)=6)*('Capacitaciones'!$E$2:$E$4825&lt;&gt;"")*('Capacitaciones'!$D$2:$D$4825="PSICOSOCIAL")*(_xlfn.XLOOKUP('Capacitaciones'!$C$2:$C$4825, Trabajadores!$B$2:$B$5665, Trabajadores!$G$2:$G$5665, "")=STATS!A1))</f>
        <v>0</v>
      </c>
    </row>
    <row r="63" spans="1:6" x14ac:dyDescent="0.3">
      <c r="A63" s="51" t="s">
        <v>95</v>
      </c>
      <c r="B63" s="1" cm="1">
        <f t="array" ref="B63">SUMPRODUCT((MONTH('Capacitaciones'!$E$2:$E$4825)=7)*('Capacitaciones'!$E$2:$E$4825&lt;&gt;"")*('Capacitaciones'!$D$2:$D$4825="GOLPE DE CALOR")*(_xlfn.XLOOKUP('Capacitaciones'!$C$2:$C$4825, Trabajadores!$B$2:$B$5665, Trabajadores!$G$2:$G$5665, "")=STATS!A1))</f>
        <v>0</v>
      </c>
      <c r="C63" s="1" cm="1">
        <f t="array" ref="C63">SUMPRODUCT((MONTH('Capacitaciones'!$E$2:$E$4825)=7)*('Capacitaciones'!$E$2:$E$4825&lt;&gt;"")*('Capacitaciones'!$D$2:$D$4825="VIGILANCIA")*(_xlfn.XLOOKUP('Capacitaciones'!$C$2:$C$4825, Trabajadores!$B$2:$B$5665, Trabajadores!$G$2:$G$5665, "")=STATS!A1))</f>
        <v>0</v>
      </c>
      <c r="D63" s="1" cm="1">
        <f t="array" ref="D63">SUMPRODUCT((MONTH('Capacitaciones'!$E$2:$E$4825)=7)*('Capacitaciones'!$E$2:$E$4825&lt;&gt;"")*('Capacitaciones'!$D$2:$D$4825="ERGONOMIA")*(_xlfn.XLOOKUP('Capacitaciones'!$C$2:$C$4825, Trabajadores!$B$2:$B$5665, Trabajadores!$G$2:$G$5665, "")=STATS!A1))</f>
        <v>0</v>
      </c>
      <c r="E63" s="1" cm="1">
        <f t="array" ref="E63">SUMPRODUCT((MONTH('Capacitaciones'!$E$2:$E$4825)=7)*('Capacitaciones'!$E$2:$E$4825&lt;&gt;"")*('Capacitaciones'!$D$2:$D$4825="TME")*(_xlfn.XLOOKUP('Capacitaciones'!$C$2:$C$4825, Trabajadores!$B$2:$B$5665, Trabajadores!$G$2:$G$5665, "")=STATS!A1))</f>
        <v>0</v>
      </c>
      <c r="F63" s="56" cm="1">
        <f t="array" ref="F63">SUMPRODUCT((MONTH('Capacitaciones'!$E$2:$E$4825)=7)*('Capacitaciones'!$E$2:$E$4825&lt;&gt;"")*('Capacitaciones'!$D$2:$D$4825="PSICOSOCIAL")*(_xlfn.XLOOKUP('Capacitaciones'!$C$2:$C$4825, Trabajadores!$B$2:$B$5665, Trabajadores!$G$2:$G$5665, "")=STATS!A1))</f>
        <v>0</v>
      </c>
    </row>
    <row r="64" spans="1:6" x14ac:dyDescent="0.3">
      <c r="A64" s="51" t="s">
        <v>97</v>
      </c>
      <c r="B64" s="1" cm="1">
        <f t="array" ref="B64">SUMPRODUCT((MONTH('Capacitaciones'!$E$2:$E$4825)=8)*('Capacitaciones'!$E$2:$E$4825&lt;&gt;"")*('Capacitaciones'!$D$2:$D$4825="GOLPE DE CALOR")*(_xlfn.XLOOKUP('Capacitaciones'!$C$2:$C$4825, Trabajadores!$B$2:$B$5665, Trabajadores!$G$2:$G$5665, "")=STATS!A1))</f>
        <v>0</v>
      </c>
      <c r="C64" s="1" cm="1">
        <f t="array" ref="C64">SUMPRODUCT((MONTH('Capacitaciones'!$E$2:$E$4825)=8)*('Capacitaciones'!$E$2:$E$4825&lt;&gt;"")*('Capacitaciones'!$D$2:$D$4825="VIGILANCIA")*(_xlfn.XLOOKUP('Capacitaciones'!$C$2:$C$4825, Trabajadores!$B$2:$B$5665, Trabajadores!$G$2:$G$5665, "")=STATS!A1))</f>
        <v>0</v>
      </c>
      <c r="D64" s="1" cm="1">
        <f t="array" ref="D64">SUMPRODUCT((MONTH('Capacitaciones'!$E$2:$E$4825)=8)*('Capacitaciones'!$E$2:$E$4825&lt;&gt;"")*('Capacitaciones'!$D$2:$D$4825="ERGONOMIA")*(_xlfn.XLOOKUP('Capacitaciones'!$C$2:$C$4825, Trabajadores!$B$2:$B$5665, Trabajadores!$G$2:$G$5665, "")=STATS!A1))</f>
        <v>0</v>
      </c>
      <c r="E64" s="1" cm="1">
        <f t="array" ref="E64">SUMPRODUCT((MONTH('Capacitaciones'!$E$2:$E$4825)=8)*('Capacitaciones'!$E$2:$E$4825&lt;&gt;"")*('Capacitaciones'!$D$2:$D$4825="TME")*(_xlfn.XLOOKUP('Capacitaciones'!$C$2:$C$4825, Trabajadores!$B$2:$B$5665, Trabajadores!$G$2:$G$5665, "")=STATS!A1))</f>
        <v>0</v>
      </c>
      <c r="F64" s="56" cm="1">
        <f t="array" ref="F64">SUMPRODUCT((MONTH('Capacitaciones'!$E$2:$E$4825)=8)*('Capacitaciones'!$E$2:$E$4825&lt;&gt;"")*('Capacitaciones'!$D$2:$D$4825="PSICOSOCIAL")*(_xlfn.XLOOKUP('Capacitaciones'!$C$2:$C$4825, Trabajadores!$B$2:$B$5665, Trabajadores!$G$2:$G$5665, "")=STATS!A1))</f>
        <v>0</v>
      </c>
    </row>
    <row r="65" spans="1:6" x14ac:dyDescent="0.3">
      <c r="A65" s="51" t="s">
        <v>99</v>
      </c>
      <c r="B65" s="1" cm="1">
        <f t="array" ref="B65">SUMPRODUCT((MONTH('Capacitaciones'!$E$2:$E$4825)=9)*('Capacitaciones'!$E$2:$E$4825&lt;&gt;"")*('Capacitaciones'!$D$2:$D$4825="GOLPE DE CALOR")*(_xlfn.XLOOKUP('Capacitaciones'!$C$2:$C$4825, Trabajadores!$B$2:$B$5665, Trabajadores!$G$2:$G$5665, "")=STATS!A1))</f>
        <v>0</v>
      </c>
      <c r="C65" s="1" cm="1">
        <f t="array" ref="C65">SUMPRODUCT((MONTH('Capacitaciones'!$E$2:$E$4825)=9)*('Capacitaciones'!$E$2:$E$4825&lt;&gt;"")*('Capacitaciones'!$D$2:$D$4825="VIGILANCIA")*(_xlfn.XLOOKUP('Capacitaciones'!$C$2:$C$4825, Trabajadores!$B$2:$B$5665, Trabajadores!$G$2:$G$5665, "")=STATS!A1))</f>
        <v>0</v>
      </c>
      <c r="D65" s="1" cm="1">
        <f t="array" ref="D65">SUMPRODUCT((MONTH('Capacitaciones'!$E$2:$E$4825)=9)*('Capacitaciones'!$E$2:$E$4825&lt;&gt;"")*('Capacitaciones'!$D$2:$D$4825="ERGONOMIA")*(_xlfn.XLOOKUP('Capacitaciones'!$C$2:$C$4825, Trabajadores!$B$2:$B$5665, Trabajadores!$G$2:$G$5665, "")=STATS!A1))</f>
        <v>0</v>
      </c>
      <c r="E65" s="1" cm="1">
        <f t="array" ref="E65">SUMPRODUCT((MONTH('Capacitaciones'!$E$2:$E$4825)=9)*('Capacitaciones'!$E$2:$E$4825&lt;&gt;"")*('Capacitaciones'!$D$2:$D$4825="TME")*(_xlfn.XLOOKUP('Capacitaciones'!$C$2:$C$4825, Trabajadores!$B$2:$B$5665, Trabajadores!$G$2:$G$5665, "")=STATS!A1))</f>
        <v>0</v>
      </c>
      <c r="F65" s="56" cm="1">
        <f t="array" ref="F65">SUMPRODUCT((MONTH('Capacitaciones'!$E$2:$E$4825)=9)*('Capacitaciones'!$E$2:$E$4825&lt;&gt;"")*('Capacitaciones'!$D$2:$D$4825="PSICOSOCIAL")*(_xlfn.XLOOKUP('Capacitaciones'!$C$2:$C$4825, Trabajadores!$B$2:$B$5665, Trabajadores!$G$2:$G$5665, "")=STATS!A1))</f>
        <v>0</v>
      </c>
    </row>
    <row r="66" spans="1:6" x14ac:dyDescent="0.3">
      <c r="A66" s="51" t="s">
        <v>102</v>
      </c>
      <c r="B66" s="1" cm="1">
        <f t="array" ref="B66">SUMPRODUCT((MONTH('Capacitaciones'!$E$2:$E$4825)=10)*('Capacitaciones'!$E$2:$E$4825&lt;&gt;"")*('Capacitaciones'!$D$2:$D$4825="GOLPE DE CALOR")*(_xlfn.XLOOKUP('Capacitaciones'!$C$2:$C$4825, Trabajadores!$B$2:$B$5665, Trabajadores!$G$2:$G$5665, "")=STATS!A1))</f>
        <v>0</v>
      </c>
      <c r="C66" s="1" cm="1">
        <f t="array" ref="C66">SUMPRODUCT((MONTH('Capacitaciones'!$E$2:$E$4825)=10)*('Capacitaciones'!$E$2:$E$4825&lt;&gt;"")*('Capacitaciones'!$D$2:$D$4825="VIGILANCIA")*(_xlfn.XLOOKUP('Capacitaciones'!$C$2:$C$4825, Trabajadores!$B$2:$B$5665, Trabajadores!$G$2:$G$5665, "")=STATS!A1))</f>
        <v>0</v>
      </c>
      <c r="D66" s="1" cm="1">
        <f t="array" ref="D66">SUMPRODUCT((MONTH('Capacitaciones'!$E$2:$E$4825)=10)*('Capacitaciones'!$E$2:$E$4825&lt;&gt;"")*('Capacitaciones'!$D$2:$D$4825="ERGONOMIA")*(_xlfn.XLOOKUP('Capacitaciones'!$C$2:$C$4825, Trabajadores!$B$2:$B$5665, Trabajadores!$G$2:$G$5665, "")=STATS!A1))</f>
        <v>0</v>
      </c>
      <c r="E66" s="1" cm="1">
        <f t="array" ref="E66">SUMPRODUCT((MONTH('Capacitaciones'!$E$2:$E$4825)=10)*('Capacitaciones'!$E$2:$E$4825&lt;&gt;"")*('Capacitaciones'!$D$2:$D$4825="TME")*(_xlfn.XLOOKUP('Capacitaciones'!$C$2:$C$4825, Trabajadores!$B$2:$B$5665, Trabajadores!$G$2:$G$5665, "")=STATS!A1))</f>
        <v>0</v>
      </c>
      <c r="F66" s="56" cm="1">
        <f t="array" ref="F66">SUMPRODUCT((MONTH('Capacitaciones'!$E$2:$E$4825)=10)*('Capacitaciones'!$E$2:$E$4825&lt;&gt;"")*('Capacitaciones'!$D$2:$D$4825="PSICOSOCIAL")*(_xlfn.XLOOKUP('Capacitaciones'!$C$2:$C$4825, Trabajadores!$B$2:$B$5665, Trabajadores!$G$2:$G$5665, "")=STATS!A1))</f>
        <v>0</v>
      </c>
    </row>
    <row r="67" spans="1:6" x14ac:dyDescent="0.3">
      <c r="A67" s="51" t="s">
        <v>104</v>
      </c>
      <c r="B67" s="1" cm="1">
        <f t="array" ref="B67">SUMPRODUCT((MONTH('Capacitaciones'!$E$2:$E$4825)=11)*('Capacitaciones'!$E$2:$E$4825&lt;&gt;"")*('Capacitaciones'!$D$2:$D$4825="GOLPE DE CALOR")*(_xlfn.XLOOKUP('Capacitaciones'!$C$2:$C$4825, Trabajadores!$B$2:$B$5665, Trabajadores!$G$2:$G$5665, "")=STATS!A1))</f>
        <v>0</v>
      </c>
      <c r="C67" s="1" cm="1">
        <f t="array" ref="C67">SUMPRODUCT((MONTH('Capacitaciones'!$E$2:$E$4825)=11)*('Capacitaciones'!$E$2:$E$4825&lt;&gt;"")*('Capacitaciones'!$D$2:$D$4825="VIGILANCIA")*(_xlfn.XLOOKUP('Capacitaciones'!$C$2:$C$4825, Trabajadores!$B$2:$B$5665, Trabajadores!$G$2:$G$5665, "")=STATS!A1))</f>
        <v>0</v>
      </c>
      <c r="D67" s="1" cm="1">
        <f t="array" ref="D67">SUMPRODUCT((MONTH('Capacitaciones'!$E$2:$E$4825)=11)*('Capacitaciones'!$E$2:$E$4825&lt;&gt;"")*('Capacitaciones'!$D$2:$D$4825="ERGONOMIA")*(_xlfn.XLOOKUP('Capacitaciones'!$C$2:$C$4825, Trabajadores!$B$2:$B$5665, Trabajadores!$G$2:$G$5665, "")=STATS!A1))</f>
        <v>0</v>
      </c>
      <c r="E67" s="1" cm="1">
        <f t="array" ref="E67">SUMPRODUCT((MONTH('Capacitaciones'!$E$2:$E$4825)=11)*('Capacitaciones'!$E$2:$E$4825&lt;&gt;"")*('Capacitaciones'!$D$2:$D$4825="TME")*(_xlfn.XLOOKUP('Capacitaciones'!$C$2:$C$4825, Trabajadores!$B$2:$B$5665, Trabajadores!$G$2:$G$5665, "")=STATS!A1))</f>
        <v>0</v>
      </c>
      <c r="F67" s="56" cm="1">
        <f t="array" ref="F67">SUMPRODUCT((MONTH('Capacitaciones'!$E$2:$E$4825)=11)*('Capacitaciones'!$E$2:$E$4825&lt;&gt;"")*('Capacitaciones'!$D$2:$D$4825="PSICOSOCIAL")*(_xlfn.XLOOKUP('Capacitaciones'!$C$2:$C$4825, Trabajadores!$B$2:$B$5665, Trabajadores!$G$2:$G$5665, "")=STATS!A1))</f>
        <v>0</v>
      </c>
    </row>
    <row r="68" spans="1:6" x14ac:dyDescent="0.3">
      <c r="A68" s="51" t="s">
        <v>106</v>
      </c>
      <c r="B68" s="1" cm="1">
        <f t="array" ref="B68">SUMPRODUCT((MONTH('Capacitaciones'!$E$2:$E$4825)=12)*('Capacitaciones'!$E$2:$E$4825&lt;&gt;"")*('Capacitaciones'!$D$2:$D$4825="GOLPE DE CALOR")*(_xlfn.XLOOKUP('Capacitaciones'!$C$2:$C$4825, Trabajadores!$B$2:$B$5665, Trabajadores!$G$2:$G$5665, "")=STATS!A1))</f>
        <v>0</v>
      </c>
      <c r="C68" s="1" cm="1">
        <f t="array" ref="C68">SUMPRODUCT((MONTH('Capacitaciones'!$E$2:$E$4825)=12)*('Capacitaciones'!$E$2:$E$4825&lt;&gt;"")*('Capacitaciones'!$D$2:$D$4825="VIGILANCIA")*(_xlfn.XLOOKUP('Capacitaciones'!$C$2:$C$4825, Trabajadores!$B$2:$B$5665, Trabajadores!$G$2:$G$5665, "")=STATS!A1))</f>
        <v>0</v>
      </c>
      <c r="D68" s="1" cm="1">
        <f t="array" ref="D68">SUMPRODUCT((MONTH('Capacitaciones'!$E$2:$E$4825)=12)*('Capacitaciones'!$E$2:$E$4825&lt;&gt;"")*('Capacitaciones'!$D$2:$D$4825="ERGONOMIA")*(_xlfn.XLOOKUP('Capacitaciones'!$C$2:$C$4825, Trabajadores!$B$2:$B$5665, Trabajadores!$G$2:$G$5665, "")=STATS!A1))</f>
        <v>0</v>
      </c>
      <c r="E68" s="1" cm="1">
        <f t="array" ref="E68">SUMPRODUCT((MONTH('Capacitaciones'!$E$2:$E$4825)=12)*('Capacitaciones'!$E$2:$E$4825&lt;&gt;"")*('Capacitaciones'!$D$2:$D$4825="TME")*(_xlfn.XLOOKUP('Capacitaciones'!$C$2:$C$4825, Trabajadores!$B$2:$B$5665, Trabajadores!$G$2:$G$5665, "")=STATS!A1))</f>
        <v>0</v>
      </c>
      <c r="F68" s="56" cm="1">
        <f t="array" ref="F68">SUMPRODUCT((MONTH('Capacitaciones'!$E$2:$E$4825)=12)*('Capacitaciones'!$E$2:$E$4825&lt;&gt;"")*('Capacitaciones'!$D$2:$D$4825="PSICOSOCIAL")*(_xlfn.XLOOKUP('Capacitaciones'!$C$2:$C$4825, Trabajadores!$B$2:$B$5665, Trabajadores!$G$2:$G$5665, "")=STATS!A1))</f>
        <v>0</v>
      </c>
    </row>
    <row r="69" spans="1:6" x14ac:dyDescent="0.3">
      <c r="A69" s="101" t="s">
        <v>108</v>
      </c>
      <c r="B69" s="68">
        <f>SUM(B57:B68)</f>
        <v>0</v>
      </c>
      <c r="C69" s="53">
        <f>SUM(C57:C68)</f>
        <v>0</v>
      </c>
      <c r="D69" s="53">
        <f>SUM(D57:D68)</f>
        <v>0</v>
      </c>
      <c r="E69" s="53">
        <f>SUM(E57:E68)</f>
        <v>0</v>
      </c>
      <c r="F69" s="59">
        <f>SUM(F57:F68)</f>
        <v>0</v>
      </c>
    </row>
    <row r="70" spans="1:6" x14ac:dyDescent="0.3">
      <c r="C70" s="108"/>
    </row>
    <row r="71" spans="1:6" ht="19.95" customHeight="1" x14ac:dyDescent="0.3">
      <c r="A71" s="164" t="s">
        <v>140</v>
      </c>
      <c r="B71" s="165"/>
      <c r="C71" s="69">
        <f>C72*1</f>
        <v>0</v>
      </c>
    </row>
    <row r="72" spans="1:6" ht="19.95" customHeight="1" x14ac:dyDescent="0.3">
      <c r="A72" s="164" t="s">
        <v>141</v>
      </c>
      <c r="B72" s="165"/>
      <c r="C72" s="70" cm="1">
        <f t="array" ref="C72">IFERROR(ROWS(_xlfn.UNIQUE(_xlfn._xlws.FILTER('Capacitaciones'!$C$2:$C$4825, (_xlfn.XLOOKUP('Capacitaciones'!$C$2:$C$4825, Trabajadores!$B$2:$B$5665, Trabajadores!$G$2:$G$5665, "")=A1) * ('Capacitaciones'!$C$2:$C$4825&lt;&gt;"")))), 0)</f>
        <v>0</v>
      </c>
    </row>
    <row r="73" spans="1:6" ht="19.95" customHeight="1" x14ac:dyDescent="0.3">
      <c r="A73" s="164" t="s">
        <v>142</v>
      </c>
      <c r="B73" s="165"/>
      <c r="C73" s="71">
        <f>IFERROR(C71 / C72, 0)</f>
        <v>0</v>
      </c>
    </row>
    <row r="74" spans="1:6" ht="19.95" customHeight="1" x14ac:dyDescent="0.3">
      <c r="C74" s="108"/>
    </row>
    <row r="75" spans="1:6" ht="19.95" customHeight="1" x14ac:dyDescent="0.3">
      <c r="A75" s="109" t="s">
        <v>143</v>
      </c>
      <c r="B75" s="69" cm="1">
        <f t="array" ref="B75">SUMPRODUCT((Trabajadores!$G$2:$G$5665=STATS!A1) * (COUNTIF('Capacitaciones'!$C$2:$C$4825, Trabajadores!$B$2:$B$5665)=0))</f>
        <v>201</v>
      </c>
    </row>
    <row r="76" spans="1:6" ht="19.95" customHeight="1" x14ac:dyDescent="0.3">
      <c r="A76" s="109" t="s">
        <v>144</v>
      </c>
      <c r="B76" s="70" cm="1">
        <f t="array" ref="B76">SUMPRODUCT((Trabajadores!$G$2:$G$5665=STATS!A1) * (COUNTIF('Capacitaciones'!$C$2:$C$4825, Trabajadores!$B$2:$B$5665)=1))</f>
        <v>0</v>
      </c>
    </row>
    <row r="77" spans="1:6" ht="19.95" customHeight="1" x14ac:dyDescent="0.3">
      <c r="A77" s="109" t="s">
        <v>145</v>
      </c>
      <c r="B77" s="70" cm="1">
        <f t="array" ref="B77">SUMPRODUCT((Trabajadores!$G$2:$G$5665=STATS!A1) * (COUNTIF('Capacitaciones'!$C$2:$C$4825, Trabajadores!$B$2:$B$5665)=2))</f>
        <v>0</v>
      </c>
    </row>
    <row r="78" spans="1:6" ht="19.95" customHeight="1" x14ac:dyDescent="0.3">
      <c r="A78" s="109" t="s">
        <v>146</v>
      </c>
      <c r="B78" s="70" cm="1">
        <f t="array" ref="B78">SUMPRODUCT((Trabajadores!$G$2:$G$5665=STATS!A1) * (COUNTIF('Capacitaciones'!$C$2:$C$4825, Trabajadores!$B$2:$B$5665)=3))</f>
        <v>0</v>
      </c>
    </row>
    <row r="79" spans="1:6" ht="19.95" customHeight="1" x14ac:dyDescent="0.3">
      <c r="A79" s="109" t="s">
        <v>147</v>
      </c>
      <c r="B79" s="70" cm="1">
        <f t="array" ref="B79">SUMPRODUCT((Trabajadores!$G$2:$G$5665=STATS!A1) * (COUNTIF('Capacitaciones'!$C$2:$C$4825, Trabajadores!$B$2:$B$5665)=4))</f>
        <v>0</v>
      </c>
    </row>
    <row r="80" spans="1:6" ht="19.95" customHeight="1" x14ac:dyDescent="0.3">
      <c r="A80" s="109" t="s">
        <v>148</v>
      </c>
      <c r="B80" s="70" cm="1">
        <f t="array" ref="B80">SUMPRODUCT((Trabajadores!$G$2:$G$5665=STATS!A1) * (COUNTIF('Capacitaciones'!$C$2:$C$4825, Trabajadores!$B$2:$B$5665)=5))</f>
        <v>0</v>
      </c>
    </row>
    <row r="81" spans="1:6" ht="19.95" customHeight="1" x14ac:dyDescent="0.3">
      <c r="A81" s="109" t="s">
        <v>149</v>
      </c>
      <c r="B81" s="72">
        <f>SUM(B75:B80)</f>
        <v>201</v>
      </c>
    </row>
    <row r="84" spans="1:6" ht="30" customHeight="1" x14ac:dyDescent="0.3">
      <c r="A84" s="161" t="s">
        <v>150</v>
      </c>
      <c r="B84" s="158" t="s">
        <v>151</v>
      </c>
      <c r="C84" s="160"/>
      <c r="D84" s="158" t="s">
        <v>152</v>
      </c>
      <c r="E84" s="160"/>
      <c r="F84" s="161" t="s">
        <v>108</v>
      </c>
    </row>
    <row r="85" spans="1:6" ht="30" customHeight="1" x14ac:dyDescent="0.3">
      <c r="A85" s="163"/>
      <c r="B85" s="51" t="s">
        <v>153</v>
      </c>
      <c r="C85" s="51" t="s">
        <v>154</v>
      </c>
      <c r="D85" s="51" t="s">
        <v>153</v>
      </c>
      <c r="E85" s="51" t="s">
        <v>154</v>
      </c>
      <c r="F85" s="162"/>
    </row>
    <row r="86" spans="1:6" ht="30" customHeight="1" x14ac:dyDescent="0.3">
      <c r="A86" s="51" t="s">
        <v>86</v>
      </c>
      <c r="B86" s="73">
        <f>COUNTIFS(Trabajadores!$G:$G,STATS!A1, Trabajadores!$F:$F, "F", Trabajadores!$E:$E, "&gt;=15", Trabajadores!$E:$E, "&lt;=45", Trabajadores!$Y:$Y, "&lt;&gt;Gestante", Trabajadores!$K:$K, "Técnico")</f>
        <v>0</v>
      </c>
      <c r="C86" s="52">
        <f>COUNTIFS(Trabajadores!$G:$G,STATS!A1, Trabajadores!$F:$F, "F", Trabajadores!$E:$E, "&gt;=15", Trabajadores!$E:$E, "&lt;=45", Trabajadores!$Y:$Y, "&lt;&gt;Gestante", Trabajadores!$K:$K, "Oficina")</f>
        <v>0</v>
      </c>
      <c r="D86" s="52">
        <f>COUNTIFS(Trabajadores!$G:$G,STATS!A1, Trabajadores!$F:$F, "F", Trabajadores!$E:$E, "&gt;=15", Trabajadores!$E:$E, "&lt;=45", Trabajadores!$Y:$Y, "Gestante", Trabajadores!$K:$K, "Técnico")</f>
        <v>0</v>
      </c>
      <c r="E86" s="52">
        <f>COUNTIFS(Trabajadores!$G:$G,STATS!A1, Trabajadores!$F:$F, "F", Trabajadores!$E:$E, "&gt;=15", Trabajadores!$E:$E, "&lt;=45", Trabajadores!$Y:$Y, "Gestante", Trabajadores!$K:$K, "Oficina")</f>
        <v>0</v>
      </c>
      <c r="F86" s="76">
        <f>SUM(B86:E86)</f>
        <v>0</v>
      </c>
    </row>
    <row r="328" spans="2:4" x14ac:dyDescent="0.3">
      <c r="B328" s="85" t="s">
        <v>155</v>
      </c>
      <c r="C328" s="85" t="s">
        <v>155</v>
      </c>
      <c r="D328" s="85" t="s">
        <v>155</v>
      </c>
    </row>
    <row r="329" spans="2:4" x14ac:dyDescent="0.3">
      <c r="B329" s="86" t="s">
        <v>67</v>
      </c>
      <c r="C329" s="86" t="s">
        <v>253</v>
      </c>
      <c r="D329" s="86">
        <v>2026</v>
      </c>
    </row>
    <row r="330" spans="2:4" x14ac:dyDescent="0.3">
      <c r="B330" s="86" t="s">
        <v>156</v>
      </c>
      <c r="C330" s="86" t="s">
        <v>156</v>
      </c>
      <c r="D330" s="86" t="s">
        <v>156</v>
      </c>
    </row>
  </sheetData>
  <mergeCells count="18">
    <mergeCell ref="F84:F85"/>
    <mergeCell ref="A84:A85"/>
    <mergeCell ref="B84:C84"/>
    <mergeCell ref="D84:E84"/>
    <mergeCell ref="A71:B71"/>
    <mergeCell ref="A72:B72"/>
    <mergeCell ref="A73:B73"/>
    <mergeCell ref="O8:P8"/>
    <mergeCell ref="Q8:R8"/>
    <mergeCell ref="A1:K1"/>
    <mergeCell ref="B37:E37"/>
    <mergeCell ref="K37:K38"/>
    <mergeCell ref="G37:J37"/>
    <mergeCell ref="F37:F38"/>
    <mergeCell ref="M10:N10"/>
    <mergeCell ref="K13:L13"/>
    <mergeCell ref="K16:L16"/>
    <mergeCell ref="F20:G20"/>
  </mergeCells>
  <phoneticPr fontId="8" type="noConversion"/>
  <pageMargins left="0.7" right="0.7" top="0.75" bottom="0.75" header="0.3" footer="0.3"/>
  <ignoredErrors>
    <ignoredError sqref="F39 C17" formula="1"/>
  </ignoredErrors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87766-A823-49ED-AEAD-5ACEDB1BA975}">
  <sheetPr codeName="Hoja6">
    <tabColor rgb="FF00B0F0"/>
  </sheetPr>
  <dimension ref="A1:AL79"/>
  <sheetViews>
    <sheetView showGridLines="0" topLeftCell="L15" zoomScale="55" zoomScaleNormal="55" workbookViewId="0">
      <selection activeCell="AP46" sqref="AP46"/>
    </sheetView>
  </sheetViews>
  <sheetFormatPr baseColWidth="10" defaultColWidth="11.44140625" defaultRowHeight="14.4" x14ac:dyDescent="0.3"/>
  <cols>
    <col min="1" max="29" width="15.6640625" customWidth="1"/>
    <col min="30" max="30" width="30.6640625" customWidth="1"/>
  </cols>
  <sheetData>
    <row r="1" spans="1:38" x14ac:dyDescent="0.3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</row>
    <row r="2" spans="1:38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</row>
    <row r="3" spans="1:38" x14ac:dyDescent="0.3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</row>
    <row r="4" spans="1:38" x14ac:dyDescent="0.3">
      <c r="A4" s="84"/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</row>
    <row r="5" spans="1:38" x14ac:dyDescent="0.3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</row>
    <row r="6" spans="1:38" x14ac:dyDescent="0.3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</row>
    <row r="7" spans="1:38" x14ac:dyDescent="0.3">
      <c r="A7" s="84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</row>
    <row r="8" spans="1:38" x14ac:dyDescent="0.3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</row>
    <row r="9" spans="1:38" x14ac:dyDescent="0.3">
      <c r="A9" s="84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</row>
    <row r="10" spans="1:38" x14ac:dyDescent="0.3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</row>
    <row r="11" spans="1:38" x14ac:dyDescent="0.3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</row>
    <row r="12" spans="1:38" x14ac:dyDescent="0.3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</row>
    <row r="13" spans="1:38" x14ac:dyDescent="0.3">
      <c r="A13" s="84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</row>
    <row r="14" spans="1:38" x14ac:dyDescent="0.3">
      <c r="A14" s="84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</row>
    <row r="15" spans="1:38" x14ac:dyDescent="0.3">
      <c r="A15" s="84"/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</row>
    <row r="16" spans="1:38" x14ac:dyDescent="0.3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</row>
    <row r="17" spans="1:38" x14ac:dyDescent="0.3">
      <c r="A17" s="84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</row>
    <row r="18" spans="1:38" x14ac:dyDescent="0.3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</row>
    <row r="19" spans="1:38" x14ac:dyDescent="0.3">
      <c r="A19" s="84"/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</row>
    <row r="20" spans="1:38" x14ac:dyDescent="0.3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</row>
    <row r="21" spans="1:38" x14ac:dyDescent="0.3">
      <c r="A21" s="84"/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</row>
    <row r="22" spans="1:38" x14ac:dyDescent="0.3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</row>
    <row r="23" spans="1:38" x14ac:dyDescent="0.3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</row>
    <row r="24" spans="1:38" x14ac:dyDescent="0.3">
      <c r="A24" s="84"/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</row>
    <row r="25" spans="1:38" x14ac:dyDescent="0.3">
      <c r="A25" s="84"/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</row>
    <row r="26" spans="1:38" x14ac:dyDescent="0.3">
      <c r="A26" s="84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</row>
    <row r="27" spans="1:38" x14ac:dyDescent="0.3">
      <c r="A27" s="84"/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</row>
    <row r="28" spans="1:38" x14ac:dyDescent="0.3">
      <c r="A28" s="84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</row>
    <row r="29" spans="1:38" x14ac:dyDescent="0.3">
      <c r="A29" s="84"/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</row>
    <row r="30" spans="1:38" x14ac:dyDescent="0.3">
      <c r="A30" s="84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</row>
    <row r="31" spans="1:38" x14ac:dyDescent="0.3">
      <c r="A31" s="84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</row>
    <row r="32" spans="1:38" x14ac:dyDescent="0.3">
      <c r="A32" s="84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</row>
    <row r="33" spans="1:38" x14ac:dyDescent="0.3">
      <c r="A33" s="84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</row>
    <row r="34" spans="1:38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</row>
    <row r="35" spans="1:38" x14ac:dyDescent="0.3">
      <c r="A35" s="84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</row>
    <row r="36" spans="1:38" x14ac:dyDescent="0.3">
      <c r="A36" s="84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</row>
    <row r="37" spans="1:38" x14ac:dyDescent="0.3">
      <c r="A37" s="84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</row>
    <row r="38" spans="1:38" x14ac:dyDescent="0.3">
      <c r="A38" s="84"/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</row>
    <row r="39" spans="1:38" x14ac:dyDescent="0.3">
      <c r="A39" s="84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</row>
    <row r="40" spans="1:38" x14ac:dyDescent="0.3">
      <c r="A40" s="84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</row>
    <row r="41" spans="1:38" x14ac:dyDescent="0.3">
      <c r="A41" s="84"/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</row>
    <row r="42" spans="1:38" x14ac:dyDescent="0.3">
      <c r="A42" s="84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</row>
    <row r="43" spans="1:38" x14ac:dyDescent="0.3">
      <c r="A43" s="84"/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</row>
    <row r="44" spans="1:38" x14ac:dyDescent="0.3">
      <c r="A44" s="84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</row>
    <row r="45" spans="1:38" x14ac:dyDescent="0.3">
      <c r="A45" s="84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</row>
    <row r="46" spans="1:38" x14ac:dyDescent="0.3">
      <c r="A46" s="84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</row>
    <row r="47" spans="1:38" x14ac:dyDescent="0.3">
      <c r="A47" s="84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</row>
    <row r="48" spans="1:38" x14ac:dyDescent="0.3">
      <c r="A48" s="84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</row>
    <row r="49" spans="1:38" x14ac:dyDescent="0.3">
      <c r="A49" s="84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</row>
    <row r="50" spans="1:38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</row>
    <row r="51" spans="1:38" x14ac:dyDescent="0.3">
      <c r="A51" s="84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</row>
    <row r="52" spans="1:38" x14ac:dyDescent="0.3">
      <c r="A52" s="84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</row>
    <row r="53" spans="1:38" x14ac:dyDescent="0.3">
      <c r="A53" s="84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</row>
    <row r="54" spans="1:38" x14ac:dyDescent="0.3">
      <c r="A54" s="84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</row>
    <row r="55" spans="1:38" x14ac:dyDescent="0.3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</row>
    <row r="56" spans="1:38" x14ac:dyDescent="0.3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</row>
    <row r="57" spans="1:38" x14ac:dyDescent="0.3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</row>
    <row r="58" spans="1:38" x14ac:dyDescent="0.3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</row>
    <row r="59" spans="1:38" x14ac:dyDescent="0.3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</row>
    <row r="60" spans="1:38" x14ac:dyDescent="0.3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</row>
    <row r="61" spans="1:38" x14ac:dyDescent="0.3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</row>
    <row r="62" spans="1:38" x14ac:dyDescent="0.3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</row>
    <row r="63" spans="1:38" x14ac:dyDescent="0.3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</row>
    <row r="64" spans="1:38" x14ac:dyDescent="0.3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</row>
    <row r="65" spans="1:38" x14ac:dyDescent="0.3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</row>
    <row r="66" spans="1:38" x14ac:dyDescent="0.3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</row>
    <row r="67" spans="1:38" x14ac:dyDescent="0.3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</row>
    <row r="68" spans="1:38" x14ac:dyDescent="0.3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</row>
    <row r="69" spans="1:38" x14ac:dyDescent="0.3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</row>
    <row r="70" spans="1:38" x14ac:dyDescent="0.3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</row>
    <row r="71" spans="1:38" x14ac:dyDescent="0.3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</row>
    <row r="72" spans="1:38" x14ac:dyDescent="0.3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</row>
    <row r="73" spans="1:38" x14ac:dyDescent="0.3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</row>
    <row r="74" spans="1:38" x14ac:dyDescent="0.3">
      <c r="A74" s="84"/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</row>
    <row r="75" spans="1:38" x14ac:dyDescent="0.3">
      <c r="A75" s="84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</row>
    <row r="76" spans="1:38" x14ac:dyDescent="0.3">
      <c r="A76" s="84"/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</row>
    <row r="77" spans="1:38" x14ac:dyDescent="0.3">
      <c r="A77" s="84"/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</row>
    <row r="78" spans="1:38" x14ac:dyDescent="0.3">
      <c r="A78" s="84"/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</row>
    <row r="79" spans="1:38" x14ac:dyDescent="0.3">
      <c r="A79" s="84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3211-5223-4CAC-84B2-A32B37D80FDF}">
  <sheetPr codeName="Hoja14">
    <tabColor rgb="FF00B0F0"/>
  </sheetPr>
  <dimension ref="A1:AR105"/>
  <sheetViews>
    <sheetView showGridLines="0" topLeftCell="C16" zoomScale="40" zoomScaleNormal="40" workbookViewId="0">
      <selection activeCell="AK93" sqref="AK93"/>
    </sheetView>
  </sheetViews>
  <sheetFormatPr baseColWidth="10" defaultColWidth="11.44140625" defaultRowHeight="14.4" x14ac:dyDescent="0.3"/>
  <cols>
    <col min="1" max="29" width="15.6640625" customWidth="1"/>
    <col min="30" max="30" width="30.6640625" customWidth="1"/>
  </cols>
  <sheetData>
    <row r="1" spans="1:44" x14ac:dyDescent="0.3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</row>
    <row r="2" spans="1:44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</row>
    <row r="3" spans="1:44" x14ac:dyDescent="0.3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</row>
    <row r="4" spans="1:44" x14ac:dyDescent="0.3">
      <c r="A4" s="84"/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</row>
    <row r="5" spans="1:44" x14ac:dyDescent="0.3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</row>
    <row r="6" spans="1:44" x14ac:dyDescent="0.3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</row>
    <row r="7" spans="1:44" x14ac:dyDescent="0.3">
      <c r="A7" s="84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</row>
    <row r="8" spans="1:44" x14ac:dyDescent="0.3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</row>
    <row r="9" spans="1:44" x14ac:dyDescent="0.3">
      <c r="A9" s="84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</row>
    <row r="10" spans="1:44" x14ac:dyDescent="0.3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</row>
    <row r="11" spans="1:44" x14ac:dyDescent="0.3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</row>
    <row r="12" spans="1:44" x14ac:dyDescent="0.3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</row>
    <row r="13" spans="1:44" x14ac:dyDescent="0.3">
      <c r="A13" s="84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</row>
    <row r="14" spans="1:44" x14ac:dyDescent="0.3">
      <c r="A14" s="84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</row>
    <row r="15" spans="1:44" x14ac:dyDescent="0.3">
      <c r="A15" s="84"/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</row>
    <row r="16" spans="1:44" x14ac:dyDescent="0.3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</row>
    <row r="17" spans="1:44" x14ac:dyDescent="0.3">
      <c r="A17" s="84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</row>
    <row r="18" spans="1:44" x14ac:dyDescent="0.3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</row>
    <row r="19" spans="1:44" x14ac:dyDescent="0.3">
      <c r="A19" s="84"/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</row>
    <row r="20" spans="1:44" x14ac:dyDescent="0.3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4"/>
    </row>
    <row r="21" spans="1:44" x14ac:dyDescent="0.3">
      <c r="A21" s="84"/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</row>
    <row r="22" spans="1:44" x14ac:dyDescent="0.3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</row>
    <row r="23" spans="1:44" x14ac:dyDescent="0.3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4"/>
    </row>
    <row r="24" spans="1:44" x14ac:dyDescent="0.3">
      <c r="A24" s="84"/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</row>
    <row r="25" spans="1:44" x14ac:dyDescent="0.3">
      <c r="A25" s="84"/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</row>
    <row r="26" spans="1:44" x14ac:dyDescent="0.3">
      <c r="A26" s="84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  <c r="AO26" s="84"/>
      <c r="AP26" s="84"/>
      <c r="AQ26" s="84"/>
      <c r="AR26" s="84"/>
    </row>
    <row r="27" spans="1:44" x14ac:dyDescent="0.3">
      <c r="A27" s="84"/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</row>
    <row r="28" spans="1:44" x14ac:dyDescent="0.3">
      <c r="A28" s="84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</row>
    <row r="29" spans="1:44" x14ac:dyDescent="0.3">
      <c r="A29" s="84"/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</row>
    <row r="30" spans="1:44" x14ac:dyDescent="0.3">
      <c r="A30" s="84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</row>
    <row r="31" spans="1:44" x14ac:dyDescent="0.3">
      <c r="A31" s="84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</row>
    <row r="32" spans="1:44" x14ac:dyDescent="0.3">
      <c r="A32" s="84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</row>
    <row r="33" spans="1:44" x14ac:dyDescent="0.3">
      <c r="A33" s="84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</row>
    <row r="34" spans="1:44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</row>
    <row r="35" spans="1:44" x14ac:dyDescent="0.3">
      <c r="A35" s="84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</row>
    <row r="36" spans="1:44" x14ac:dyDescent="0.3">
      <c r="A36" s="84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</row>
    <row r="37" spans="1:44" x14ac:dyDescent="0.3">
      <c r="A37" s="84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  <c r="AO37" s="84"/>
      <c r="AP37" s="84"/>
      <c r="AQ37" s="84"/>
      <c r="AR37" s="84"/>
    </row>
    <row r="38" spans="1:44" x14ac:dyDescent="0.3">
      <c r="A38" s="84"/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</row>
    <row r="39" spans="1:44" x14ac:dyDescent="0.3">
      <c r="A39" s="84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</row>
    <row r="40" spans="1:44" x14ac:dyDescent="0.3">
      <c r="A40" s="84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</row>
    <row r="41" spans="1:44" x14ac:dyDescent="0.3">
      <c r="A41" s="84"/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</row>
    <row r="42" spans="1:44" x14ac:dyDescent="0.3">
      <c r="A42" s="84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</row>
    <row r="43" spans="1:44" x14ac:dyDescent="0.3">
      <c r="A43" s="84"/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</row>
    <row r="44" spans="1:44" x14ac:dyDescent="0.3">
      <c r="A44" s="84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4"/>
    </row>
    <row r="45" spans="1:44" x14ac:dyDescent="0.3">
      <c r="A45" s="84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</row>
    <row r="46" spans="1:44" x14ac:dyDescent="0.3">
      <c r="A46" s="84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</row>
    <row r="47" spans="1:44" x14ac:dyDescent="0.3">
      <c r="A47" s="84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</row>
    <row r="48" spans="1:44" x14ac:dyDescent="0.3">
      <c r="A48" s="84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</row>
    <row r="49" spans="1:44" x14ac:dyDescent="0.3">
      <c r="A49" s="84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</row>
    <row r="50" spans="1:44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</row>
    <row r="51" spans="1:44" x14ac:dyDescent="0.3">
      <c r="A51" s="84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</row>
    <row r="52" spans="1:44" x14ac:dyDescent="0.3">
      <c r="A52" s="84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</row>
    <row r="53" spans="1:44" x14ac:dyDescent="0.3">
      <c r="A53" s="84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</row>
    <row r="54" spans="1:44" x14ac:dyDescent="0.3">
      <c r="A54" s="84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4"/>
    </row>
    <row r="55" spans="1:44" x14ac:dyDescent="0.3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</row>
    <row r="56" spans="1:44" x14ac:dyDescent="0.3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</row>
    <row r="57" spans="1:44" x14ac:dyDescent="0.3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  <c r="AO57" s="84"/>
      <c r="AP57" s="84"/>
      <c r="AQ57" s="84"/>
      <c r="AR57" s="84"/>
    </row>
    <row r="58" spans="1:44" x14ac:dyDescent="0.3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</row>
    <row r="59" spans="1:44" x14ac:dyDescent="0.3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</row>
    <row r="60" spans="1:44" x14ac:dyDescent="0.3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</row>
    <row r="61" spans="1:44" x14ac:dyDescent="0.3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</row>
    <row r="62" spans="1:44" x14ac:dyDescent="0.3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</row>
    <row r="63" spans="1:44" x14ac:dyDescent="0.3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</row>
    <row r="64" spans="1:44" x14ac:dyDescent="0.3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</row>
    <row r="65" spans="1:44" x14ac:dyDescent="0.3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</row>
    <row r="66" spans="1:44" x14ac:dyDescent="0.3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</row>
    <row r="67" spans="1:44" x14ac:dyDescent="0.3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</row>
    <row r="68" spans="1:44" x14ac:dyDescent="0.3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</row>
    <row r="69" spans="1:44" x14ac:dyDescent="0.3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</row>
    <row r="70" spans="1:44" x14ac:dyDescent="0.3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</row>
    <row r="71" spans="1:44" x14ac:dyDescent="0.3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  <c r="AO71" s="84"/>
      <c r="AP71" s="84"/>
      <c r="AQ71" s="84"/>
      <c r="AR71" s="84"/>
    </row>
    <row r="72" spans="1:44" x14ac:dyDescent="0.3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</row>
    <row r="73" spans="1:44" x14ac:dyDescent="0.3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</row>
    <row r="74" spans="1:44" x14ac:dyDescent="0.3">
      <c r="A74" s="84"/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</row>
    <row r="75" spans="1:44" x14ac:dyDescent="0.3">
      <c r="A75" s="84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</row>
    <row r="76" spans="1:44" x14ac:dyDescent="0.3">
      <c r="A76" s="84"/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</row>
    <row r="77" spans="1:44" x14ac:dyDescent="0.3">
      <c r="A77" s="84"/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</row>
    <row r="78" spans="1:44" x14ac:dyDescent="0.3">
      <c r="A78" s="84"/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  <c r="AO78" s="84"/>
      <c r="AP78" s="84"/>
      <c r="AQ78" s="84"/>
      <c r="AR78" s="84"/>
    </row>
    <row r="79" spans="1:44" x14ac:dyDescent="0.3">
      <c r="A79" s="84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</row>
    <row r="80" spans="1:44" x14ac:dyDescent="0.3">
      <c r="A80" s="84"/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</row>
    <row r="81" spans="1:44" x14ac:dyDescent="0.3">
      <c r="A81" s="84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</row>
    <row r="82" spans="1:44" x14ac:dyDescent="0.3">
      <c r="A82" s="84"/>
      <c r="B82" s="84"/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</row>
    <row r="83" spans="1:44" x14ac:dyDescent="0.3">
      <c r="A83" s="84"/>
      <c r="B83" s="84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</row>
    <row r="84" spans="1:44" x14ac:dyDescent="0.3">
      <c r="A84" s="84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</row>
    <row r="85" spans="1:44" x14ac:dyDescent="0.3">
      <c r="A85" s="84"/>
      <c r="B85" s="84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</row>
    <row r="86" spans="1:44" x14ac:dyDescent="0.3">
      <c r="A86" s="84"/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</row>
    <row r="87" spans="1:44" x14ac:dyDescent="0.3">
      <c r="A87" s="84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</row>
    <row r="88" spans="1:44" x14ac:dyDescent="0.3">
      <c r="A88" s="84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  <c r="AO88" s="84"/>
      <c r="AP88" s="84"/>
      <c r="AQ88" s="84"/>
      <c r="AR88" s="84"/>
    </row>
    <row r="89" spans="1:44" x14ac:dyDescent="0.3">
      <c r="A89" s="84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</row>
    <row r="90" spans="1:44" x14ac:dyDescent="0.3">
      <c r="A90" s="84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</row>
    <row r="91" spans="1:44" x14ac:dyDescent="0.3">
      <c r="A91" s="84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  <c r="AO91" s="84"/>
      <c r="AP91" s="84"/>
      <c r="AQ91" s="84"/>
      <c r="AR91" s="84"/>
    </row>
    <row r="92" spans="1:44" x14ac:dyDescent="0.3">
      <c r="A92" s="84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</row>
    <row r="93" spans="1:44" x14ac:dyDescent="0.3">
      <c r="A93" s="84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</row>
    <row r="94" spans="1:44" x14ac:dyDescent="0.3">
      <c r="A94" s="84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  <c r="AO94" s="84"/>
      <c r="AP94" s="84"/>
      <c r="AQ94" s="84"/>
      <c r="AR94" s="84"/>
    </row>
    <row r="95" spans="1:44" x14ac:dyDescent="0.3">
      <c r="A95" s="84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</row>
    <row r="96" spans="1:44" x14ac:dyDescent="0.3">
      <c r="A96" s="84"/>
      <c r="B96" s="84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</row>
    <row r="97" spans="1:44" x14ac:dyDescent="0.3">
      <c r="A97" s="84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</row>
    <row r="98" spans="1:44" x14ac:dyDescent="0.3">
      <c r="A98" s="84"/>
      <c r="B98" s="84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</row>
    <row r="99" spans="1:44" x14ac:dyDescent="0.3">
      <c r="A99" s="84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</row>
    <row r="100" spans="1:44" x14ac:dyDescent="0.3">
      <c r="A100" s="84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</row>
    <row r="101" spans="1:44" x14ac:dyDescent="0.3">
      <c r="A101" s="84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</row>
    <row r="102" spans="1:44" x14ac:dyDescent="0.3">
      <c r="A102" s="84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</row>
    <row r="103" spans="1:44" x14ac:dyDescent="0.3">
      <c r="A103" s="84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</row>
    <row r="104" spans="1:44" x14ac:dyDescent="0.3">
      <c r="A104" s="84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</row>
    <row r="105" spans="1:44" x14ac:dyDescent="0.3">
      <c r="A105" s="84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  <c r="AO105" s="84"/>
      <c r="AP105" s="84"/>
      <c r="AQ105" s="84"/>
      <c r="AR105" s="8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rgb="FFFFC000"/>
  </sheetPr>
  <dimension ref="A1:L2"/>
  <sheetViews>
    <sheetView workbookViewId="0">
      <selection activeCell="H12" sqref="H12"/>
    </sheetView>
  </sheetViews>
  <sheetFormatPr baseColWidth="10" defaultColWidth="11.44140625" defaultRowHeight="14.4" x14ac:dyDescent="0.3"/>
  <cols>
    <col min="1" max="1" width="15.5546875" style="15" bestFit="1" customWidth="1"/>
    <col min="2" max="2" width="13.33203125" style="15" bestFit="1" customWidth="1"/>
    <col min="3" max="3" width="25.6640625" style="18" customWidth="1"/>
    <col min="4" max="4" width="15.6640625" style="18" customWidth="1"/>
    <col min="5" max="5" width="22.6640625" style="15" customWidth="1"/>
    <col min="6" max="6" width="17.6640625" style="28" customWidth="1"/>
    <col min="7" max="7" width="12.6640625" style="18" customWidth="1"/>
    <col min="8" max="9" width="25.6640625" style="18" customWidth="1"/>
    <col min="10" max="10" width="19" style="15" bestFit="1" customWidth="1"/>
    <col min="11" max="11" width="14" style="18" bestFit="1" customWidth="1"/>
    <col min="12" max="12" width="11.5546875" style="15" customWidth="1"/>
  </cols>
  <sheetData>
    <row r="1" spans="1:12" x14ac:dyDescent="0.3">
      <c r="A1" s="16" t="s">
        <v>157</v>
      </c>
      <c r="B1" s="16" t="s">
        <v>33</v>
      </c>
      <c r="C1" s="16" t="s">
        <v>2</v>
      </c>
      <c r="D1" s="16" t="s">
        <v>1</v>
      </c>
      <c r="E1" s="16" t="s">
        <v>158</v>
      </c>
      <c r="F1" s="16" t="s">
        <v>34</v>
      </c>
      <c r="G1" s="16" t="s">
        <v>49</v>
      </c>
      <c r="H1" s="16" t="s">
        <v>51</v>
      </c>
      <c r="I1" s="16" t="s">
        <v>159</v>
      </c>
      <c r="J1" s="16" t="s">
        <v>26</v>
      </c>
      <c r="K1" s="16" t="s">
        <v>160</v>
      </c>
      <c r="L1" s="19" t="s">
        <v>161</v>
      </c>
    </row>
    <row r="2" spans="1:12" ht="28.95" customHeight="1" x14ac:dyDescent="0.3">
      <c r="A2" s="13" t="str">
        <f>IF(B2&lt;&gt;"", "SEG-" &amp; TEXT(8000 + ROW(A2) - 1, "0000"), "")</f>
        <v/>
      </c>
      <c r="B2" s="13"/>
      <c r="C2" s="17"/>
      <c r="D2" s="17"/>
      <c r="E2" s="13"/>
      <c r="F2" s="20"/>
      <c r="G2" s="17"/>
      <c r="H2" s="17"/>
      <c r="I2" s="17"/>
      <c r="J2" s="13"/>
      <c r="K2" s="17"/>
      <c r="L2" s="14"/>
    </row>
  </sheetData>
  <dataValidations count="1">
    <dataValidation type="list" allowBlank="1" showInputMessage="1" showErrorMessage="1" sqref="G2" xr:uid="{00000000-0002-0000-0300-000000000000}">
      <formula1>"SI,NO"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>
    <tabColor rgb="FFFFC000"/>
  </sheetPr>
  <dimension ref="A1:J2"/>
  <sheetViews>
    <sheetView zoomScale="90" zoomScaleNormal="90" workbookViewId="0">
      <pane ySplit="1" topLeftCell="A2" activePane="bottomLeft" state="frozen"/>
      <selection activeCell="E2" sqref="E2"/>
      <selection pane="bottomLeft" activeCell="G11" sqref="G11"/>
    </sheetView>
  </sheetViews>
  <sheetFormatPr baseColWidth="10" defaultColWidth="8.88671875" defaultRowHeight="14.4" x14ac:dyDescent="0.3"/>
  <cols>
    <col min="1" max="1" width="19" style="2" bestFit="1" customWidth="1"/>
    <col min="2" max="2" width="25.6640625" style="2" customWidth="1"/>
    <col min="3" max="3" width="15.6640625" style="2" customWidth="1"/>
    <col min="4" max="4" width="20.6640625" style="3" customWidth="1"/>
    <col min="5" max="5" width="17.6640625" style="3" customWidth="1"/>
    <col min="6" max="6" width="22.6640625" style="3" hidden="1" customWidth="1"/>
    <col min="7" max="7" width="17.109375" style="21" bestFit="1" customWidth="1"/>
    <col min="8" max="8" width="11.109375" style="21" bestFit="1" customWidth="1"/>
    <col min="9" max="9" width="15.6640625" customWidth="1"/>
    <col min="10" max="10" width="10.6640625" customWidth="1"/>
  </cols>
  <sheetData>
    <row r="1" spans="1:10" ht="30" customHeight="1" x14ac:dyDescent="0.3">
      <c r="A1" s="8" t="s">
        <v>162</v>
      </c>
      <c r="B1" s="8" t="s">
        <v>2</v>
      </c>
      <c r="C1" s="8" t="s">
        <v>1</v>
      </c>
      <c r="D1" s="10" t="s">
        <v>163</v>
      </c>
      <c r="E1" s="33" t="s">
        <v>34</v>
      </c>
      <c r="F1" s="45" t="s">
        <v>164</v>
      </c>
      <c r="G1" s="44" t="s">
        <v>165</v>
      </c>
      <c r="H1" s="10" t="s">
        <v>166</v>
      </c>
      <c r="I1" s="50" t="s">
        <v>167</v>
      </c>
      <c r="J1" s="50" t="s">
        <v>168</v>
      </c>
    </row>
    <row r="2" spans="1:10" x14ac:dyDescent="0.3">
      <c r="A2" s="11" t="str">
        <f>IF(B2&lt;&gt;"", "PRG-" &amp; TEXT(2000 + ROW(A2) - 1, "0000"), "")</f>
        <v/>
      </c>
      <c r="B2" s="7"/>
      <c r="C2" s="11"/>
      <c r="D2" s="7"/>
      <c r="E2" s="96"/>
      <c r="F2" s="46"/>
      <c r="G2" s="47"/>
      <c r="H2" s="7"/>
      <c r="I2" s="7"/>
      <c r="J2" s="7"/>
    </row>
  </sheetData>
  <dataValidations count="2">
    <dataValidation type="list" allowBlank="1" showInputMessage="1" showErrorMessage="1" sqref="D2" xr:uid="{00000000-0002-0000-0700-000000000000}">
      <formula1>"Vigilancia,Seguimiento"</formula1>
    </dataValidation>
    <dataValidation type="list" allowBlank="1" showInputMessage="1" showErrorMessage="1" sqref="H2" xr:uid="{00000000-0002-0000-0700-000001000000}">
      <formula1>"Realizado, Cancelado, Postergado, Pendiente"</formula1>
    </dataValidation>
  </dataValidation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32365-94FF-4B01-AFB4-172E8D0F542B}">
  <sheetPr codeName="Hoja3">
    <tabColor rgb="FF92D050"/>
  </sheetPr>
  <dimension ref="A1:G554"/>
  <sheetViews>
    <sheetView workbookViewId="0">
      <selection activeCell="X454" sqref="X454"/>
    </sheetView>
  </sheetViews>
  <sheetFormatPr baseColWidth="10" defaultColWidth="11.44140625" defaultRowHeight="14.4" x14ac:dyDescent="0.3"/>
  <cols>
    <col min="1" max="1" width="15.6640625" customWidth="1"/>
    <col min="2" max="2" width="30.6640625" customWidth="1"/>
    <col min="3" max="5" width="15.6640625" customWidth="1"/>
    <col min="6" max="7" width="15.6640625" style="82" customWidth="1"/>
  </cols>
  <sheetData>
    <row r="1" spans="1:7" ht="19.95" customHeight="1" x14ac:dyDescent="0.3">
      <c r="A1" s="80" t="s">
        <v>1</v>
      </c>
      <c r="B1" s="80" t="s">
        <v>2</v>
      </c>
      <c r="C1" s="81" t="s">
        <v>4</v>
      </c>
      <c r="D1" s="80" t="s">
        <v>5</v>
      </c>
      <c r="E1" s="80" t="s">
        <v>6</v>
      </c>
      <c r="F1" s="83" t="s">
        <v>11</v>
      </c>
      <c r="G1" s="83" t="s">
        <v>169</v>
      </c>
    </row>
    <row r="2" spans="1:7" x14ac:dyDescent="0.3">
      <c r="A2">
        <v>41842252</v>
      </c>
      <c r="B2" t="s">
        <v>256</v>
      </c>
      <c r="C2">
        <v>43</v>
      </c>
      <c r="D2" t="s">
        <v>743</v>
      </c>
      <c r="E2" t="s">
        <v>254</v>
      </c>
      <c r="F2" s="82">
        <v>45717</v>
      </c>
    </row>
    <row r="3" spans="1:7" x14ac:dyDescent="0.3">
      <c r="A3">
        <v>40628595</v>
      </c>
      <c r="B3" t="s">
        <v>816</v>
      </c>
      <c r="C3">
        <v>45</v>
      </c>
      <c r="D3" t="s">
        <v>743</v>
      </c>
      <c r="E3" t="s">
        <v>253</v>
      </c>
      <c r="F3" s="82">
        <v>46030</v>
      </c>
    </row>
    <row r="4" spans="1:7" x14ac:dyDescent="0.3">
      <c r="A4">
        <v>42050527</v>
      </c>
      <c r="B4" t="s">
        <v>817</v>
      </c>
      <c r="C4">
        <v>43</v>
      </c>
      <c r="D4" t="s">
        <v>743</v>
      </c>
      <c r="E4" t="s">
        <v>253</v>
      </c>
      <c r="F4" s="82">
        <v>44593</v>
      </c>
    </row>
    <row r="5" spans="1:7" x14ac:dyDescent="0.3">
      <c r="A5">
        <v>76416871</v>
      </c>
      <c r="B5" t="s">
        <v>462</v>
      </c>
      <c r="C5">
        <v>21</v>
      </c>
      <c r="D5" t="s">
        <v>743</v>
      </c>
      <c r="E5" t="s">
        <v>254</v>
      </c>
      <c r="F5" s="82">
        <v>46038</v>
      </c>
    </row>
    <row r="6" spans="1:7" x14ac:dyDescent="0.3">
      <c r="A6">
        <v>73929178</v>
      </c>
      <c r="B6" t="s">
        <v>472</v>
      </c>
      <c r="C6">
        <v>26</v>
      </c>
      <c r="D6" t="s">
        <v>762</v>
      </c>
      <c r="E6" t="s">
        <v>254</v>
      </c>
      <c r="F6" s="82">
        <v>45804</v>
      </c>
    </row>
    <row r="7" spans="1:7" x14ac:dyDescent="0.3">
      <c r="A7">
        <v>71427244</v>
      </c>
      <c r="B7" t="s">
        <v>258</v>
      </c>
      <c r="C7">
        <v>33</v>
      </c>
      <c r="D7" t="s">
        <v>743</v>
      </c>
      <c r="E7" t="s">
        <v>254</v>
      </c>
      <c r="F7" s="82">
        <v>44120</v>
      </c>
    </row>
    <row r="8" spans="1:7" x14ac:dyDescent="0.3">
      <c r="A8">
        <v>71356690</v>
      </c>
      <c r="B8" t="s">
        <v>260</v>
      </c>
      <c r="C8">
        <v>26</v>
      </c>
      <c r="D8" t="s">
        <v>743</v>
      </c>
      <c r="E8" t="s">
        <v>254</v>
      </c>
      <c r="F8" s="82">
        <v>45997</v>
      </c>
    </row>
    <row r="9" spans="1:7" x14ac:dyDescent="0.3">
      <c r="A9">
        <v>72391311</v>
      </c>
      <c r="B9" t="s">
        <v>262</v>
      </c>
      <c r="C9">
        <v>29</v>
      </c>
      <c r="D9" t="s">
        <v>743</v>
      </c>
      <c r="E9" t="s">
        <v>254</v>
      </c>
      <c r="F9" s="82">
        <v>45931</v>
      </c>
    </row>
    <row r="10" spans="1:7" x14ac:dyDescent="0.3">
      <c r="A10">
        <v>70358542</v>
      </c>
      <c r="B10" t="s">
        <v>264</v>
      </c>
      <c r="C10">
        <v>23</v>
      </c>
      <c r="D10" t="s">
        <v>743</v>
      </c>
      <c r="E10" t="s">
        <v>254</v>
      </c>
      <c r="F10" s="82">
        <v>45597</v>
      </c>
    </row>
    <row r="11" spans="1:7" x14ac:dyDescent="0.3">
      <c r="A11">
        <v>74872387</v>
      </c>
      <c r="B11" t="s">
        <v>265</v>
      </c>
      <c r="C11">
        <v>24</v>
      </c>
      <c r="D11" t="s">
        <v>743</v>
      </c>
      <c r="E11" t="s">
        <v>254</v>
      </c>
      <c r="F11" s="82">
        <v>45551</v>
      </c>
    </row>
    <row r="12" spans="1:7" x14ac:dyDescent="0.3">
      <c r="A12">
        <v>77361813</v>
      </c>
      <c r="B12" t="s">
        <v>267</v>
      </c>
      <c r="C12">
        <v>19</v>
      </c>
      <c r="D12" t="s">
        <v>743</v>
      </c>
      <c r="E12" t="s">
        <v>254</v>
      </c>
      <c r="F12" s="82">
        <v>46029</v>
      </c>
    </row>
    <row r="13" spans="1:7" x14ac:dyDescent="0.3">
      <c r="A13">
        <v>73937194</v>
      </c>
      <c r="B13" t="s">
        <v>269</v>
      </c>
      <c r="C13">
        <v>20</v>
      </c>
      <c r="D13" t="s">
        <v>743</v>
      </c>
      <c r="E13" t="s">
        <v>254</v>
      </c>
      <c r="F13" s="82">
        <v>45931</v>
      </c>
    </row>
    <row r="14" spans="1:7" x14ac:dyDescent="0.3">
      <c r="A14">
        <v>74034287</v>
      </c>
      <c r="B14" t="s">
        <v>270</v>
      </c>
      <c r="C14">
        <v>25</v>
      </c>
      <c r="D14" t="s">
        <v>743</v>
      </c>
      <c r="E14" t="s">
        <v>254</v>
      </c>
      <c r="F14" s="82">
        <v>46029</v>
      </c>
    </row>
    <row r="15" spans="1:7" x14ac:dyDescent="0.3">
      <c r="A15">
        <v>74597901</v>
      </c>
      <c r="B15" t="s">
        <v>272</v>
      </c>
      <c r="C15">
        <v>27</v>
      </c>
      <c r="D15" t="s">
        <v>743</v>
      </c>
      <c r="E15" t="s">
        <v>254</v>
      </c>
      <c r="F15" s="82">
        <v>44820</v>
      </c>
    </row>
    <row r="16" spans="1:7" x14ac:dyDescent="0.3">
      <c r="A16">
        <v>63265579</v>
      </c>
      <c r="B16" t="s">
        <v>274</v>
      </c>
      <c r="C16">
        <v>19</v>
      </c>
      <c r="D16" t="s">
        <v>743</v>
      </c>
      <c r="E16" t="s">
        <v>254</v>
      </c>
      <c r="F16" s="82">
        <v>46023</v>
      </c>
    </row>
    <row r="17" spans="1:6" x14ac:dyDescent="0.3">
      <c r="A17">
        <v>46812319</v>
      </c>
      <c r="B17" t="s">
        <v>276</v>
      </c>
      <c r="C17">
        <v>34</v>
      </c>
      <c r="D17" t="s">
        <v>743</v>
      </c>
      <c r="E17" t="s">
        <v>254</v>
      </c>
      <c r="F17" s="82">
        <v>45983</v>
      </c>
    </row>
    <row r="18" spans="1:6" x14ac:dyDescent="0.3">
      <c r="A18">
        <v>48107495</v>
      </c>
      <c r="B18" t="s">
        <v>278</v>
      </c>
      <c r="C18">
        <v>32</v>
      </c>
      <c r="D18" t="s">
        <v>743</v>
      </c>
      <c r="E18" t="s">
        <v>254</v>
      </c>
      <c r="F18" s="82">
        <v>44942</v>
      </c>
    </row>
    <row r="19" spans="1:6" x14ac:dyDescent="0.3">
      <c r="A19">
        <v>74454520</v>
      </c>
      <c r="B19" t="s">
        <v>280</v>
      </c>
      <c r="C19">
        <v>31</v>
      </c>
      <c r="D19" t="s">
        <v>743</v>
      </c>
      <c r="E19" t="s">
        <v>254</v>
      </c>
      <c r="F19" s="82">
        <v>45797</v>
      </c>
    </row>
    <row r="20" spans="1:6" x14ac:dyDescent="0.3">
      <c r="A20">
        <v>46576771</v>
      </c>
      <c r="B20" t="s">
        <v>282</v>
      </c>
      <c r="C20">
        <v>20</v>
      </c>
      <c r="D20" t="s">
        <v>743</v>
      </c>
      <c r="E20" t="s">
        <v>254</v>
      </c>
      <c r="F20" s="82">
        <v>44510</v>
      </c>
    </row>
    <row r="21" spans="1:6" x14ac:dyDescent="0.3">
      <c r="A21">
        <v>62333339</v>
      </c>
      <c r="B21" t="s">
        <v>284</v>
      </c>
      <c r="C21">
        <v>35</v>
      </c>
      <c r="D21" t="s">
        <v>743</v>
      </c>
      <c r="E21" t="s">
        <v>254</v>
      </c>
      <c r="F21" s="82">
        <v>45885</v>
      </c>
    </row>
    <row r="22" spans="1:6" x14ac:dyDescent="0.3">
      <c r="A22">
        <v>60344962</v>
      </c>
      <c r="B22" t="s">
        <v>286</v>
      </c>
      <c r="C22">
        <v>21</v>
      </c>
      <c r="D22" t="s">
        <v>743</v>
      </c>
      <c r="E22" t="s">
        <v>254</v>
      </c>
      <c r="F22" s="82">
        <v>45689</v>
      </c>
    </row>
    <row r="23" spans="1:6" x14ac:dyDescent="0.3">
      <c r="A23">
        <v>44990247</v>
      </c>
      <c r="B23" t="s">
        <v>288</v>
      </c>
      <c r="C23">
        <v>38</v>
      </c>
      <c r="D23" t="s">
        <v>743</v>
      </c>
      <c r="E23" t="s">
        <v>254</v>
      </c>
      <c r="F23" s="82">
        <v>45748</v>
      </c>
    </row>
    <row r="24" spans="1:6" x14ac:dyDescent="0.3">
      <c r="A24">
        <v>62851990</v>
      </c>
      <c r="B24" t="s">
        <v>290</v>
      </c>
      <c r="C24">
        <v>28</v>
      </c>
      <c r="D24" t="s">
        <v>743</v>
      </c>
      <c r="E24" t="s">
        <v>254</v>
      </c>
      <c r="F24" s="82">
        <v>43941</v>
      </c>
    </row>
    <row r="25" spans="1:6" x14ac:dyDescent="0.3">
      <c r="A25">
        <v>77081893</v>
      </c>
      <c r="B25" t="s">
        <v>292</v>
      </c>
      <c r="C25">
        <v>30</v>
      </c>
      <c r="D25" t="s">
        <v>743</v>
      </c>
      <c r="E25" t="s">
        <v>254</v>
      </c>
      <c r="F25" s="82">
        <v>44228</v>
      </c>
    </row>
    <row r="26" spans="1:6" x14ac:dyDescent="0.3">
      <c r="A26">
        <v>73572450</v>
      </c>
      <c r="B26" t="s">
        <v>294</v>
      </c>
      <c r="C26">
        <v>26</v>
      </c>
      <c r="D26" t="s">
        <v>743</v>
      </c>
      <c r="E26" t="s">
        <v>254</v>
      </c>
      <c r="F26" s="82">
        <v>43344</v>
      </c>
    </row>
    <row r="27" spans="1:6" x14ac:dyDescent="0.3">
      <c r="A27">
        <v>80510176</v>
      </c>
      <c r="B27" t="s">
        <v>296</v>
      </c>
      <c r="C27">
        <v>50</v>
      </c>
      <c r="D27" t="s">
        <v>743</v>
      </c>
      <c r="E27" t="s">
        <v>254</v>
      </c>
      <c r="F27" s="82">
        <v>43160</v>
      </c>
    </row>
    <row r="28" spans="1:6" x14ac:dyDescent="0.3">
      <c r="A28">
        <v>60332454</v>
      </c>
      <c r="B28" t="s">
        <v>298</v>
      </c>
      <c r="C28">
        <v>27</v>
      </c>
      <c r="D28" t="s">
        <v>743</v>
      </c>
      <c r="E28" t="s">
        <v>254</v>
      </c>
      <c r="F28" s="82">
        <v>45722</v>
      </c>
    </row>
    <row r="29" spans="1:6" x14ac:dyDescent="0.3">
      <c r="A29">
        <v>45659266</v>
      </c>
      <c r="B29" t="s">
        <v>300</v>
      </c>
      <c r="C29">
        <v>36</v>
      </c>
      <c r="D29" t="s">
        <v>743</v>
      </c>
      <c r="E29" t="s">
        <v>254</v>
      </c>
      <c r="F29" s="82">
        <v>43480</v>
      </c>
    </row>
    <row r="30" spans="1:6" x14ac:dyDescent="0.3">
      <c r="A30">
        <v>77296249</v>
      </c>
      <c r="B30" t="s">
        <v>302</v>
      </c>
      <c r="C30">
        <v>26</v>
      </c>
      <c r="D30" t="s">
        <v>743</v>
      </c>
      <c r="E30" t="s">
        <v>254</v>
      </c>
      <c r="F30" s="82">
        <v>45874</v>
      </c>
    </row>
    <row r="31" spans="1:6" x14ac:dyDescent="0.3">
      <c r="A31">
        <v>48092001</v>
      </c>
      <c r="B31" t="s">
        <v>304</v>
      </c>
      <c r="C31">
        <v>34</v>
      </c>
      <c r="D31" t="s">
        <v>743</v>
      </c>
      <c r="E31" t="s">
        <v>254</v>
      </c>
      <c r="F31" s="82">
        <v>44789</v>
      </c>
    </row>
    <row r="32" spans="1:6" x14ac:dyDescent="0.3">
      <c r="A32">
        <v>76636339</v>
      </c>
      <c r="B32" t="s">
        <v>305</v>
      </c>
      <c r="C32">
        <v>21</v>
      </c>
      <c r="D32" t="s">
        <v>743</v>
      </c>
      <c r="E32" t="s">
        <v>254</v>
      </c>
      <c r="F32" s="82">
        <v>45062</v>
      </c>
    </row>
    <row r="33" spans="1:6" x14ac:dyDescent="0.3">
      <c r="A33">
        <v>73625524</v>
      </c>
      <c r="B33" t="s">
        <v>307</v>
      </c>
      <c r="C33">
        <v>26</v>
      </c>
      <c r="D33" t="s">
        <v>743</v>
      </c>
      <c r="E33" t="s">
        <v>254</v>
      </c>
      <c r="F33" s="82">
        <v>45769</v>
      </c>
    </row>
    <row r="34" spans="1:6" x14ac:dyDescent="0.3">
      <c r="A34">
        <v>70576697</v>
      </c>
      <c r="B34" t="s">
        <v>309</v>
      </c>
      <c r="C34">
        <v>24</v>
      </c>
      <c r="D34" t="s">
        <v>743</v>
      </c>
      <c r="E34" t="s">
        <v>254</v>
      </c>
      <c r="F34" s="82">
        <v>45931</v>
      </c>
    </row>
    <row r="35" spans="1:6" x14ac:dyDescent="0.3">
      <c r="A35">
        <v>70462340</v>
      </c>
      <c r="B35" t="s">
        <v>311</v>
      </c>
      <c r="C35">
        <v>30</v>
      </c>
      <c r="D35" t="s">
        <v>743</v>
      </c>
      <c r="E35" t="s">
        <v>254</v>
      </c>
      <c r="F35" s="82">
        <v>44166</v>
      </c>
    </row>
    <row r="36" spans="1:6" x14ac:dyDescent="0.3">
      <c r="A36">
        <v>44307949</v>
      </c>
      <c r="B36" t="s">
        <v>313</v>
      </c>
      <c r="C36">
        <v>38</v>
      </c>
      <c r="D36" t="s">
        <v>743</v>
      </c>
      <c r="E36" t="s">
        <v>254</v>
      </c>
      <c r="F36" s="82">
        <v>45846</v>
      </c>
    </row>
    <row r="37" spans="1:6" x14ac:dyDescent="0.3">
      <c r="A37">
        <v>77078244</v>
      </c>
      <c r="B37" t="s">
        <v>315</v>
      </c>
      <c r="C37">
        <v>31</v>
      </c>
      <c r="D37" t="s">
        <v>743</v>
      </c>
      <c r="E37" t="s">
        <v>254</v>
      </c>
      <c r="F37" s="82">
        <v>45828</v>
      </c>
    </row>
    <row r="38" spans="1:6" x14ac:dyDescent="0.3">
      <c r="A38">
        <v>60981159</v>
      </c>
      <c r="B38" t="s">
        <v>317</v>
      </c>
      <c r="C38">
        <v>18</v>
      </c>
      <c r="D38" t="s">
        <v>743</v>
      </c>
      <c r="E38" t="s">
        <v>254</v>
      </c>
      <c r="F38" s="82">
        <v>45981</v>
      </c>
    </row>
    <row r="39" spans="1:6" x14ac:dyDescent="0.3">
      <c r="A39">
        <v>74645467</v>
      </c>
      <c r="B39" t="s">
        <v>319</v>
      </c>
      <c r="C39">
        <v>28</v>
      </c>
      <c r="D39" t="s">
        <v>743</v>
      </c>
      <c r="E39" t="s">
        <v>254</v>
      </c>
      <c r="F39" s="82">
        <v>44292</v>
      </c>
    </row>
    <row r="40" spans="1:6" x14ac:dyDescent="0.3">
      <c r="A40">
        <v>72957593</v>
      </c>
      <c r="B40" t="s">
        <v>321</v>
      </c>
      <c r="C40">
        <v>32</v>
      </c>
      <c r="D40" t="s">
        <v>743</v>
      </c>
      <c r="E40" t="s">
        <v>254</v>
      </c>
      <c r="F40" s="82">
        <v>43862</v>
      </c>
    </row>
    <row r="41" spans="1:6" x14ac:dyDescent="0.3">
      <c r="A41">
        <v>70119177</v>
      </c>
      <c r="B41" t="s">
        <v>323</v>
      </c>
      <c r="C41">
        <v>31</v>
      </c>
      <c r="D41" t="s">
        <v>743</v>
      </c>
      <c r="E41" t="s">
        <v>254</v>
      </c>
      <c r="F41" s="82">
        <v>45307</v>
      </c>
    </row>
    <row r="42" spans="1:6" x14ac:dyDescent="0.3">
      <c r="A42">
        <v>76542134</v>
      </c>
      <c r="B42" t="s">
        <v>325</v>
      </c>
      <c r="C42">
        <v>23</v>
      </c>
      <c r="D42" t="s">
        <v>743</v>
      </c>
      <c r="E42" t="s">
        <v>254</v>
      </c>
      <c r="F42" s="82">
        <v>45551</v>
      </c>
    </row>
    <row r="43" spans="1:6" x14ac:dyDescent="0.3">
      <c r="A43">
        <v>73967602</v>
      </c>
      <c r="B43" t="s">
        <v>327</v>
      </c>
      <c r="C43">
        <v>21</v>
      </c>
      <c r="D43" t="s">
        <v>743</v>
      </c>
      <c r="E43" t="s">
        <v>254</v>
      </c>
      <c r="F43" s="82">
        <v>45953</v>
      </c>
    </row>
    <row r="44" spans="1:6" x14ac:dyDescent="0.3">
      <c r="A44">
        <v>73967603</v>
      </c>
      <c r="B44" t="s">
        <v>329</v>
      </c>
      <c r="C44">
        <v>40</v>
      </c>
      <c r="D44" t="s">
        <v>743</v>
      </c>
      <c r="E44" t="s">
        <v>254</v>
      </c>
      <c r="F44" s="82">
        <v>45754</v>
      </c>
    </row>
    <row r="45" spans="1:6" x14ac:dyDescent="0.3">
      <c r="A45">
        <v>43027751</v>
      </c>
      <c r="B45" t="s">
        <v>331</v>
      </c>
      <c r="C45">
        <v>19</v>
      </c>
      <c r="D45" t="s">
        <v>743</v>
      </c>
      <c r="E45" t="s">
        <v>254</v>
      </c>
      <c r="F45" s="82">
        <v>39904</v>
      </c>
    </row>
    <row r="46" spans="1:6" x14ac:dyDescent="0.3">
      <c r="A46">
        <v>77644241</v>
      </c>
      <c r="B46" t="s">
        <v>333</v>
      </c>
      <c r="C46">
        <v>27</v>
      </c>
      <c r="D46" t="s">
        <v>743</v>
      </c>
      <c r="E46" t="s">
        <v>254</v>
      </c>
      <c r="F46" s="82">
        <v>45748</v>
      </c>
    </row>
    <row r="47" spans="1:6" x14ac:dyDescent="0.3">
      <c r="A47">
        <v>43226268</v>
      </c>
      <c r="B47" t="s">
        <v>335</v>
      </c>
      <c r="C47">
        <v>47</v>
      </c>
      <c r="D47" t="s">
        <v>743</v>
      </c>
      <c r="E47" t="s">
        <v>254</v>
      </c>
      <c r="F47" s="82">
        <v>45980</v>
      </c>
    </row>
    <row r="48" spans="1:6" x14ac:dyDescent="0.3">
      <c r="A48">
        <v>76951650</v>
      </c>
      <c r="B48" t="s">
        <v>337</v>
      </c>
      <c r="C48">
        <v>22</v>
      </c>
      <c r="D48" t="s">
        <v>743</v>
      </c>
      <c r="E48" t="s">
        <v>254</v>
      </c>
      <c r="F48" s="82">
        <v>44608</v>
      </c>
    </row>
    <row r="49" spans="1:6" x14ac:dyDescent="0.3">
      <c r="A49">
        <v>80517769</v>
      </c>
      <c r="B49" t="s">
        <v>339</v>
      </c>
      <c r="C49">
        <v>29</v>
      </c>
      <c r="D49" t="s">
        <v>743</v>
      </c>
      <c r="E49" t="s">
        <v>254</v>
      </c>
      <c r="F49" s="82">
        <v>43785</v>
      </c>
    </row>
    <row r="50" spans="1:6" x14ac:dyDescent="0.3">
      <c r="A50">
        <v>71545675</v>
      </c>
      <c r="B50" t="s">
        <v>341</v>
      </c>
      <c r="C50">
        <v>23</v>
      </c>
      <c r="D50" t="s">
        <v>743</v>
      </c>
      <c r="E50" t="s">
        <v>254</v>
      </c>
      <c r="F50" s="82">
        <v>45946</v>
      </c>
    </row>
    <row r="51" spans="1:6" x14ac:dyDescent="0.3">
      <c r="A51">
        <v>70612179</v>
      </c>
      <c r="B51" t="s">
        <v>343</v>
      </c>
      <c r="C51">
        <v>23</v>
      </c>
      <c r="D51" t="s">
        <v>743</v>
      </c>
      <c r="E51" t="s">
        <v>254</v>
      </c>
      <c r="F51" s="82">
        <v>42979</v>
      </c>
    </row>
    <row r="52" spans="1:6" x14ac:dyDescent="0.3">
      <c r="A52">
        <v>76616031</v>
      </c>
      <c r="B52" t="s">
        <v>345</v>
      </c>
      <c r="C52">
        <v>36</v>
      </c>
      <c r="D52" t="s">
        <v>743</v>
      </c>
      <c r="E52" t="s">
        <v>254</v>
      </c>
      <c r="F52" s="82">
        <v>45108</v>
      </c>
    </row>
    <row r="53" spans="1:6" x14ac:dyDescent="0.3">
      <c r="A53">
        <v>79135985</v>
      </c>
      <c r="B53" t="s">
        <v>347</v>
      </c>
      <c r="C53">
        <v>33</v>
      </c>
      <c r="D53" t="s">
        <v>743</v>
      </c>
      <c r="E53" t="s">
        <v>254</v>
      </c>
      <c r="F53" s="82">
        <v>45870</v>
      </c>
    </row>
    <row r="54" spans="1:6" x14ac:dyDescent="0.3">
      <c r="A54">
        <v>42912499</v>
      </c>
      <c r="B54" t="s">
        <v>349</v>
      </c>
      <c r="C54">
        <v>29</v>
      </c>
      <c r="D54" t="s">
        <v>743</v>
      </c>
      <c r="E54" t="s">
        <v>254</v>
      </c>
      <c r="F54" s="82">
        <v>45882</v>
      </c>
    </row>
    <row r="55" spans="1:6" x14ac:dyDescent="0.3">
      <c r="A55">
        <v>46103057</v>
      </c>
      <c r="B55" t="s">
        <v>351</v>
      </c>
      <c r="C55">
        <v>23</v>
      </c>
      <c r="D55" t="s">
        <v>743</v>
      </c>
      <c r="E55" t="s">
        <v>254</v>
      </c>
      <c r="F55" s="82">
        <v>40725</v>
      </c>
    </row>
    <row r="56" spans="1:6" x14ac:dyDescent="0.3">
      <c r="A56">
        <v>71195376</v>
      </c>
      <c r="B56" t="s">
        <v>353</v>
      </c>
      <c r="C56">
        <v>36</v>
      </c>
      <c r="D56" t="s">
        <v>743</v>
      </c>
      <c r="E56" t="s">
        <v>254</v>
      </c>
      <c r="F56" s="82">
        <v>45428</v>
      </c>
    </row>
    <row r="57" spans="1:6" x14ac:dyDescent="0.3">
      <c r="A57">
        <v>73203529</v>
      </c>
      <c r="B57" t="s">
        <v>355</v>
      </c>
      <c r="C57">
        <v>32</v>
      </c>
      <c r="D57" t="s">
        <v>743</v>
      </c>
      <c r="E57" t="s">
        <v>254</v>
      </c>
      <c r="F57" s="82">
        <v>45689</v>
      </c>
    </row>
    <row r="58" spans="1:6" x14ac:dyDescent="0.3">
      <c r="A58">
        <v>71476920</v>
      </c>
      <c r="B58" t="s">
        <v>357</v>
      </c>
      <c r="C58">
        <v>21</v>
      </c>
      <c r="D58" t="s">
        <v>743</v>
      </c>
      <c r="E58" t="s">
        <v>254</v>
      </c>
      <c r="F58" s="82">
        <v>45261</v>
      </c>
    </row>
    <row r="59" spans="1:6" x14ac:dyDescent="0.3">
      <c r="A59">
        <v>46303392</v>
      </c>
      <c r="B59" t="s">
        <v>359</v>
      </c>
      <c r="C59">
        <v>24</v>
      </c>
      <c r="D59" t="s">
        <v>743</v>
      </c>
      <c r="E59" t="s">
        <v>254</v>
      </c>
      <c r="F59" s="82">
        <v>45551</v>
      </c>
    </row>
    <row r="60" spans="1:6" x14ac:dyDescent="0.3">
      <c r="A60">
        <v>48293208</v>
      </c>
      <c r="B60" t="s">
        <v>361</v>
      </c>
      <c r="C60">
        <v>28</v>
      </c>
      <c r="D60" t="s">
        <v>743</v>
      </c>
      <c r="E60" t="s">
        <v>254</v>
      </c>
      <c r="F60" s="82">
        <v>43846</v>
      </c>
    </row>
    <row r="61" spans="1:6" x14ac:dyDescent="0.3">
      <c r="A61">
        <v>72529947</v>
      </c>
      <c r="B61" t="s">
        <v>363</v>
      </c>
      <c r="C61">
        <v>27</v>
      </c>
      <c r="D61" t="s">
        <v>743</v>
      </c>
      <c r="E61" t="s">
        <v>254</v>
      </c>
      <c r="F61" s="82">
        <v>45773</v>
      </c>
    </row>
    <row r="62" spans="1:6" x14ac:dyDescent="0.3">
      <c r="A62">
        <v>71747176</v>
      </c>
      <c r="B62" t="s">
        <v>365</v>
      </c>
      <c r="C62">
        <v>33</v>
      </c>
      <c r="D62" t="s">
        <v>743</v>
      </c>
      <c r="E62" t="s">
        <v>254</v>
      </c>
      <c r="F62" s="82">
        <v>45383</v>
      </c>
    </row>
    <row r="63" spans="1:6" x14ac:dyDescent="0.3">
      <c r="A63">
        <v>76438207</v>
      </c>
      <c r="B63" t="s">
        <v>367</v>
      </c>
      <c r="C63">
        <v>24</v>
      </c>
      <c r="D63" t="s">
        <v>743</v>
      </c>
      <c r="E63" t="s">
        <v>254</v>
      </c>
      <c r="F63" s="82">
        <v>45832</v>
      </c>
    </row>
    <row r="64" spans="1:6" x14ac:dyDescent="0.3">
      <c r="A64">
        <v>70884402</v>
      </c>
      <c r="B64" t="s">
        <v>369</v>
      </c>
      <c r="C64">
        <v>23</v>
      </c>
      <c r="D64" t="s">
        <v>743</v>
      </c>
      <c r="E64" t="s">
        <v>254</v>
      </c>
      <c r="F64" s="82">
        <v>45826</v>
      </c>
    </row>
    <row r="65" spans="1:6" x14ac:dyDescent="0.3">
      <c r="A65">
        <v>60073147</v>
      </c>
      <c r="B65" t="s">
        <v>371</v>
      </c>
      <c r="C65">
        <v>27</v>
      </c>
      <c r="D65" t="s">
        <v>743</v>
      </c>
      <c r="E65" t="s">
        <v>254</v>
      </c>
      <c r="F65" s="82">
        <v>45965</v>
      </c>
    </row>
    <row r="66" spans="1:6" x14ac:dyDescent="0.3">
      <c r="A66">
        <v>47624520</v>
      </c>
      <c r="B66" t="s">
        <v>373</v>
      </c>
      <c r="C66">
        <v>21</v>
      </c>
      <c r="D66" t="s">
        <v>743</v>
      </c>
      <c r="E66" t="s">
        <v>254</v>
      </c>
      <c r="F66" s="82">
        <v>45956</v>
      </c>
    </row>
    <row r="67" spans="1:6" x14ac:dyDescent="0.3">
      <c r="A67">
        <v>72811014</v>
      </c>
      <c r="B67" t="s">
        <v>375</v>
      </c>
      <c r="C67">
        <v>30</v>
      </c>
      <c r="D67" t="s">
        <v>743</v>
      </c>
      <c r="E67" t="s">
        <v>254</v>
      </c>
      <c r="F67" s="82">
        <v>45001</v>
      </c>
    </row>
    <row r="68" spans="1:6" x14ac:dyDescent="0.3">
      <c r="A68">
        <v>75597646</v>
      </c>
      <c r="B68" t="s">
        <v>377</v>
      </c>
      <c r="C68">
        <v>26</v>
      </c>
      <c r="D68" t="s">
        <v>743</v>
      </c>
      <c r="E68" t="s">
        <v>254</v>
      </c>
      <c r="F68" s="82">
        <v>45658</v>
      </c>
    </row>
    <row r="69" spans="1:6" x14ac:dyDescent="0.3">
      <c r="A69">
        <v>74167636</v>
      </c>
      <c r="B69" t="s">
        <v>379</v>
      </c>
      <c r="C69">
        <v>19</v>
      </c>
      <c r="D69" t="s">
        <v>743</v>
      </c>
      <c r="E69" t="s">
        <v>254</v>
      </c>
      <c r="F69" s="82">
        <v>45047</v>
      </c>
    </row>
    <row r="70" spans="1:6" x14ac:dyDescent="0.3">
      <c r="A70">
        <v>70645721</v>
      </c>
      <c r="B70" t="s">
        <v>381</v>
      </c>
      <c r="C70">
        <v>35</v>
      </c>
      <c r="D70" t="s">
        <v>743</v>
      </c>
      <c r="E70" t="s">
        <v>254</v>
      </c>
      <c r="F70" s="82">
        <v>45798</v>
      </c>
    </row>
    <row r="71" spans="1:6" x14ac:dyDescent="0.3">
      <c r="A71">
        <v>81011489</v>
      </c>
      <c r="B71" t="s">
        <v>383</v>
      </c>
      <c r="C71">
        <v>24</v>
      </c>
      <c r="D71" t="s">
        <v>743</v>
      </c>
      <c r="E71" t="s">
        <v>254</v>
      </c>
      <c r="F71" s="82">
        <v>45979</v>
      </c>
    </row>
    <row r="72" spans="1:6" x14ac:dyDescent="0.3">
      <c r="A72">
        <v>77500014</v>
      </c>
      <c r="B72" t="s">
        <v>385</v>
      </c>
      <c r="C72">
        <v>20</v>
      </c>
      <c r="D72" t="s">
        <v>743</v>
      </c>
      <c r="E72" t="s">
        <v>254</v>
      </c>
      <c r="F72" s="82">
        <v>44820</v>
      </c>
    </row>
    <row r="73" spans="1:6" x14ac:dyDescent="0.3">
      <c r="A73">
        <v>77323411</v>
      </c>
      <c r="B73" t="s">
        <v>387</v>
      </c>
      <c r="C73">
        <v>21</v>
      </c>
      <c r="D73" t="s">
        <v>743</v>
      </c>
      <c r="E73" t="s">
        <v>254</v>
      </c>
      <c r="F73" s="82">
        <v>45367</v>
      </c>
    </row>
    <row r="74" spans="1:6" x14ac:dyDescent="0.3">
      <c r="A74">
        <v>60183358</v>
      </c>
      <c r="B74" t="s">
        <v>389</v>
      </c>
      <c r="C74">
        <v>32</v>
      </c>
      <c r="D74" t="s">
        <v>743</v>
      </c>
      <c r="E74" t="s">
        <v>254</v>
      </c>
      <c r="F74" s="82">
        <v>46018</v>
      </c>
    </row>
    <row r="75" spans="1:6" x14ac:dyDescent="0.3">
      <c r="A75">
        <v>46934476</v>
      </c>
      <c r="B75" t="s">
        <v>391</v>
      </c>
      <c r="C75">
        <v>23</v>
      </c>
      <c r="D75" t="s">
        <v>743</v>
      </c>
      <c r="E75" t="s">
        <v>254</v>
      </c>
      <c r="F75" s="82">
        <v>42566</v>
      </c>
    </row>
    <row r="76" spans="1:6" x14ac:dyDescent="0.3">
      <c r="A76">
        <v>75025925</v>
      </c>
      <c r="B76" t="s">
        <v>393</v>
      </c>
      <c r="C76">
        <v>48</v>
      </c>
      <c r="D76" t="s">
        <v>743</v>
      </c>
      <c r="E76" t="s">
        <v>254</v>
      </c>
      <c r="F76" s="82">
        <v>45875</v>
      </c>
    </row>
    <row r="77" spans="1:6" x14ac:dyDescent="0.3">
      <c r="A77">
        <v>74496648</v>
      </c>
      <c r="B77" t="s">
        <v>395</v>
      </c>
      <c r="C77">
        <v>24</v>
      </c>
      <c r="D77" t="s">
        <v>743</v>
      </c>
      <c r="E77" t="s">
        <v>254</v>
      </c>
      <c r="F77" s="82">
        <v>45658</v>
      </c>
    </row>
    <row r="78" spans="1:6" x14ac:dyDescent="0.3">
      <c r="A78">
        <v>78377668</v>
      </c>
      <c r="B78" t="s">
        <v>397</v>
      </c>
      <c r="C78">
        <v>27</v>
      </c>
      <c r="D78" t="s">
        <v>743</v>
      </c>
      <c r="E78" t="s">
        <v>254</v>
      </c>
      <c r="F78" s="82">
        <v>45994</v>
      </c>
    </row>
    <row r="79" spans="1:6" x14ac:dyDescent="0.3">
      <c r="A79">
        <v>74908661</v>
      </c>
      <c r="B79" t="s">
        <v>399</v>
      </c>
      <c r="C79">
        <v>20</v>
      </c>
      <c r="D79" t="s">
        <v>743</v>
      </c>
      <c r="E79" t="s">
        <v>254</v>
      </c>
      <c r="F79" s="82">
        <v>45994</v>
      </c>
    </row>
    <row r="80" spans="1:6" x14ac:dyDescent="0.3">
      <c r="A80">
        <v>77153896</v>
      </c>
      <c r="B80" t="s">
        <v>401</v>
      </c>
      <c r="C80">
        <v>35</v>
      </c>
      <c r="D80" t="s">
        <v>743</v>
      </c>
      <c r="E80" t="s">
        <v>254</v>
      </c>
      <c r="F80" s="82">
        <v>45723</v>
      </c>
    </row>
    <row r="81" spans="1:6" x14ac:dyDescent="0.3">
      <c r="A81">
        <v>70854054</v>
      </c>
      <c r="B81" t="s">
        <v>403</v>
      </c>
      <c r="C81">
        <v>22</v>
      </c>
      <c r="D81" t="s">
        <v>743</v>
      </c>
      <c r="E81" t="s">
        <v>254</v>
      </c>
      <c r="F81" s="82">
        <v>43692</v>
      </c>
    </row>
    <row r="82" spans="1:6" x14ac:dyDescent="0.3">
      <c r="A82">
        <v>75516129</v>
      </c>
      <c r="B82" t="s">
        <v>405</v>
      </c>
      <c r="C82">
        <v>30</v>
      </c>
      <c r="D82" t="s">
        <v>743</v>
      </c>
      <c r="E82" t="s">
        <v>254</v>
      </c>
      <c r="F82" s="82">
        <v>45970</v>
      </c>
    </row>
    <row r="83" spans="1:6" x14ac:dyDescent="0.3">
      <c r="A83">
        <v>10601507</v>
      </c>
      <c r="B83" t="s">
        <v>407</v>
      </c>
      <c r="C83">
        <v>32</v>
      </c>
      <c r="D83" t="s">
        <v>743</v>
      </c>
      <c r="E83" t="s">
        <v>254</v>
      </c>
      <c r="F83" s="82">
        <v>41153</v>
      </c>
    </row>
    <row r="84" spans="1:6" x14ac:dyDescent="0.3">
      <c r="A84">
        <v>73325604</v>
      </c>
      <c r="B84" t="s">
        <v>409</v>
      </c>
      <c r="C84">
        <v>27</v>
      </c>
      <c r="D84" t="s">
        <v>743</v>
      </c>
      <c r="E84" t="s">
        <v>254</v>
      </c>
      <c r="F84" s="82">
        <v>45047</v>
      </c>
    </row>
    <row r="85" spans="1:6" x14ac:dyDescent="0.3">
      <c r="A85">
        <v>72421776</v>
      </c>
      <c r="B85" t="s">
        <v>411</v>
      </c>
      <c r="C85">
        <v>33</v>
      </c>
      <c r="D85" t="s">
        <v>743</v>
      </c>
      <c r="E85" t="s">
        <v>254</v>
      </c>
      <c r="F85" s="82">
        <v>45938</v>
      </c>
    </row>
    <row r="86" spans="1:6" x14ac:dyDescent="0.3">
      <c r="A86">
        <v>76548331</v>
      </c>
      <c r="B86" t="s">
        <v>413</v>
      </c>
      <c r="C86">
        <v>35</v>
      </c>
      <c r="D86" t="s">
        <v>743</v>
      </c>
      <c r="E86" t="s">
        <v>254</v>
      </c>
      <c r="F86" s="82">
        <v>43998</v>
      </c>
    </row>
    <row r="87" spans="1:6" x14ac:dyDescent="0.3">
      <c r="A87">
        <v>73515447</v>
      </c>
      <c r="B87" t="s">
        <v>415</v>
      </c>
      <c r="C87">
        <v>46</v>
      </c>
      <c r="D87" t="s">
        <v>743</v>
      </c>
      <c r="E87" t="s">
        <v>254</v>
      </c>
      <c r="F87" s="82">
        <v>45978</v>
      </c>
    </row>
    <row r="88" spans="1:6" x14ac:dyDescent="0.3">
      <c r="A88">
        <v>46485164</v>
      </c>
      <c r="B88" t="s">
        <v>417</v>
      </c>
      <c r="C88">
        <v>28</v>
      </c>
      <c r="D88" t="s">
        <v>743</v>
      </c>
      <c r="E88" t="s">
        <v>254</v>
      </c>
      <c r="F88" s="82">
        <v>45980</v>
      </c>
    </row>
    <row r="89" spans="1:6" x14ac:dyDescent="0.3">
      <c r="A89">
        <v>74136766</v>
      </c>
      <c r="B89" t="s">
        <v>419</v>
      </c>
      <c r="C89">
        <v>47</v>
      </c>
      <c r="D89" t="s">
        <v>743</v>
      </c>
      <c r="E89" t="s">
        <v>254</v>
      </c>
      <c r="F89" s="82">
        <v>45520</v>
      </c>
    </row>
    <row r="90" spans="1:6" x14ac:dyDescent="0.3">
      <c r="A90">
        <v>72192455</v>
      </c>
      <c r="B90" t="s">
        <v>421</v>
      </c>
      <c r="C90">
        <v>42</v>
      </c>
      <c r="D90" t="s">
        <v>743</v>
      </c>
      <c r="E90" t="s">
        <v>254</v>
      </c>
      <c r="F90" s="82">
        <v>44866</v>
      </c>
    </row>
    <row r="91" spans="1:6" x14ac:dyDescent="0.3">
      <c r="A91">
        <v>71197121</v>
      </c>
      <c r="B91" t="s">
        <v>423</v>
      </c>
      <c r="C91">
        <v>51</v>
      </c>
      <c r="D91" t="s">
        <v>743</v>
      </c>
      <c r="E91" t="s">
        <v>254</v>
      </c>
      <c r="F91" s="82">
        <v>45938</v>
      </c>
    </row>
    <row r="92" spans="1:6" x14ac:dyDescent="0.3">
      <c r="A92">
        <v>70903504</v>
      </c>
      <c r="B92" t="s">
        <v>425</v>
      </c>
      <c r="C92">
        <v>23</v>
      </c>
      <c r="D92" t="s">
        <v>743</v>
      </c>
      <c r="E92" t="s">
        <v>254</v>
      </c>
      <c r="F92" s="82">
        <v>43952</v>
      </c>
    </row>
    <row r="93" spans="1:6" x14ac:dyDescent="0.3">
      <c r="A93">
        <v>48045972</v>
      </c>
      <c r="B93" t="s">
        <v>427</v>
      </c>
      <c r="C93">
        <v>28</v>
      </c>
      <c r="D93" t="s">
        <v>743</v>
      </c>
      <c r="E93" t="s">
        <v>254</v>
      </c>
      <c r="F93" s="82">
        <v>44510</v>
      </c>
    </row>
    <row r="94" spans="1:6" x14ac:dyDescent="0.3">
      <c r="A94">
        <v>47922856</v>
      </c>
      <c r="B94" t="s">
        <v>429</v>
      </c>
      <c r="C94">
        <v>30</v>
      </c>
      <c r="D94" t="s">
        <v>743</v>
      </c>
      <c r="E94" t="s">
        <v>254</v>
      </c>
      <c r="F94" s="82">
        <v>45459</v>
      </c>
    </row>
    <row r="95" spans="1:6" x14ac:dyDescent="0.3">
      <c r="A95">
        <v>80058504</v>
      </c>
      <c r="B95" t="s">
        <v>431</v>
      </c>
      <c r="C95">
        <v>39</v>
      </c>
      <c r="D95" t="s">
        <v>743</v>
      </c>
      <c r="E95" t="s">
        <v>254</v>
      </c>
      <c r="F95" s="82">
        <v>41699</v>
      </c>
    </row>
    <row r="96" spans="1:6" x14ac:dyDescent="0.3">
      <c r="A96">
        <v>70657401</v>
      </c>
      <c r="B96" t="s">
        <v>433</v>
      </c>
      <c r="C96">
        <v>19</v>
      </c>
      <c r="D96" t="s">
        <v>743</v>
      </c>
      <c r="E96" t="s">
        <v>254</v>
      </c>
      <c r="F96" s="82">
        <v>45903</v>
      </c>
    </row>
    <row r="97" spans="1:6" x14ac:dyDescent="0.3">
      <c r="A97">
        <v>81628166</v>
      </c>
      <c r="B97" t="s">
        <v>435</v>
      </c>
      <c r="C97">
        <v>20</v>
      </c>
      <c r="D97" t="s">
        <v>743</v>
      </c>
      <c r="E97" t="s">
        <v>254</v>
      </c>
      <c r="F97" s="82">
        <v>45927</v>
      </c>
    </row>
    <row r="98" spans="1:6" x14ac:dyDescent="0.3">
      <c r="A98">
        <v>40284701</v>
      </c>
      <c r="B98" t="s">
        <v>437</v>
      </c>
      <c r="C98">
        <v>18</v>
      </c>
      <c r="D98" t="s">
        <v>743</v>
      </c>
      <c r="E98" t="s">
        <v>254</v>
      </c>
      <c r="F98" s="82">
        <v>45950</v>
      </c>
    </row>
    <row r="99" spans="1:6" x14ac:dyDescent="0.3">
      <c r="A99">
        <v>41798971</v>
      </c>
      <c r="B99" t="s">
        <v>439</v>
      </c>
      <c r="C99">
        <v>26</v>
      </c>
      <c r="D99" t="s">
        <v>743</v>
      </c>
      <c r="E99" t="s">
        <v>254</v>
      </c>
      <c r="F99" s="82">
        <v>43785</v>
      </c>
    </row>
    <row r="100" spans="1:6" x14ac:dyDescent="0.3">
      <c r="A100">
        <v>9946002</v>
      </c>
      <c r="B100" t="s">
        <v>441</v>
      </c>
      <c r="C100">
        <v>19</v>
      </c>
      <c r="D100" t="s">
        <v>743</v>
      </c>
      <c r="E100" t="s">
        <v>254</v>
      </c>
      <c r="F100" s="82">
        <v>45890</v>
      </c>
    </row>
    <row r="101" spans="1:6" x14ac:dyDescent="0.3">
      <c r="A101">
        <v>72284394</v>
      </c>
      <c r="B101" t="s">
        <v>443</v>
      </c>
      <c r="C101">
        <v>22</v>
      </c>
      <c r="D101" t="s">
        <v>743</v>
      </c>
      <c r="E101" t="s">
        <v>254</v>
      </c>
      <c r="F101" s="82">
        <v>45139</v>
      </c>
    </row>
    <row r="102" spans="1:6" x14ac:dyDescent="0.3">
      <c r="A102">
        <v>75452943</v>
      </c>
      <c r="B102" t="s">
        <v>444</v>
      </c>
      <c r="C102">
        <v>19</v>
      </c>
      <c r="D102" t="s">
        <v>743</v>
      </c>
      <c r="E102" t="s">
        <v>254</v>
      </c>
      <c r="F102" s="82">
        <v>44615</v>
      </c>
    </row>
    <row r="103" spans="1:6" x14ac:dyDescent="0.3">
      <c r="A103">
        <v>76243736</v>
      </c>
      <c r="B103" t="s">
        <v>446</v>
      </c>
      <c r="C103">
        <v>24</v>
      </c>
      <c r="D103" t="s">
        <v>743</v>
      </c>
      <c r="E103" t="s">
        <v>254</v>
      </c>
      <c r="F103" s="82">
        <v>44958</v>
      </c>
    </row>
    <row r="104" spans="1:6" x14ac:dyDescent="0.3">
      <c r="A104">
        <v>44198510</v>
      </c>
      <c r="B104" t="s">
        <v>448</v>
      </c>
      <c r="C104">
        <v>26</v>
      </c>
      <c r="D104" t="s">
        <v>762</v>
      </c>
      <c r="E104" t="s">
        <v>254</v>
      </c>
      <c r="F104" s="82">
        <v>45017</v>
      </c>
    </row>
    <row r="105" spans="1:6" x14ac:dyDescent="0.3">
      <c r="A105">
        <v>72031755</v>
      </c>
      <c r="B105" t="s">
        <v>450</v>
      </c>
      <c r="C105">
        <v>24</v>
      </c>
      <c r="D105" t="s">
        <v>743</v>
      </c>
      <c r="E105" t="s">
        <v>254</v>
      </c>
      <c r="F105" s="82">
        <v>45978</v>
      </c>
    </row>
    <row r="106" spans="1:6" x14ac:dyDescent="0.3">
      <c r="A106">
        <v>74758279</v>
      </c>
      <c r="B106" t="s">
        <v>452</v>
      </c>
      <c r="C106">
        <v>25</v>
      </c>
      <c r="D106" t="s">
        <v>743</v>
      </c>
      <c r="E106" t="s">
        <v>254</v>
      </c>
      <c r="F106" s="82">
        <v>44973</v>
      </c>
    </row>
    <row r="107" spans="1:6" x14ac:dyDescent="0.3">
      <c r="A107">
        <v>74817348</v>
      </c>
      <c r="B107" t="s">
        <v>454</v>
      </c>
      <c r="C107">
        <v>26</v>
      </c>
      <c r="D107" t="s">
        <v>743</v>
      </c>
      <c r="E107" t="s">
        <v>254</v>
      </c>
      <c r="F107" s="82">
        <v>45935</v>
      </c>
    </row>
    <row r="108" spans="1:6" x14ac:dyDescent="0.3">
      <c r="A108">
        <v>72268084</v>
      </c>
      <c r="B108" t="s">
        <v>456</v>
      </c>
      <c r="C108">
        <v>20</v>
      </c>
      <c r="D108" t="s">
        <v>743</v>
      </c>
      <c r="E108" t="s">
        <v>254</v>
      </c>
      <c r="F108" s="82">
        <v>44212</v>
      </c>
    </row>
    <row r="109" spans="1:6" x14ac:dyDescent="0.3">
      <c r="A109">
        <v>72268085</v>
      </c>
      <c r="B109" t="s">
        <v>458</v>
      </c>
      <c r="C109">
        <v>39</v>
      </c>
      <c r="D109" t="s">
        <v>743</v>
      </c>
      <c r="E109" t="s">
        <v>254</v>
      </c>
      <c r="F109" s="82">
        <v>43846</v>
      </c>
    </row>
    <row r="110" spans="1:6" x14ac:dyDescent="0.3">
      <c r="A110">
        <v>77043616</v>
      </c>
      <c r="B110" t="s">
        <v>460</v>
      </c>
      <c r="C110">
        <v>28</v>
      </c>
      <c r="D110" t="s">
        <v>743</v>
      </c>
      <c r="E110" t="s">
        <v>254</v>
      </c>
      <c r="F110" s="82">
        <v>45689</v>
      </c>
    </row>
    <row r="111" spans="1:6" x14ac:dyDescent="0.3">
      <c r="A111">
        <v>76296428</v>
      </c>
      <c r="B111" t="s">
        <v>464</v>
      </c>
      <c r="C111">
        <v>23</v>
      </c>
      <c r="D111" t="s">
        <v>743</v>
      </c>
      <c r="E111" t="s">
        <v>254</v>
      </c>
      <c r="F111" s="82">
        <v>46005</v>
      </c>
    </row>
    <row r="112" spans="1:6" x14ac:dyDescent="0.3">
      <c r="A112">
        <v>44077872</v>
      </c>
      <c r="B112" t="s">
        <v>466</v>
      </c>
      <c r="C112">
        <v>26</v>
      </c>
      <c r="D112" t="s">
        <v>743</v>
      </c>
      <c r="E112" t="s">
        <v>254</v>
      </c>
      <c r="F112" s="82">
        <v>43739</v>
      </c>
    </row>
    <row r="113" spans="1:6" x14ac:dyDescent="0.3">
      <c r="A113">
        <v>76224003</v>
      </c>
      <c r="B113" t="s">
        <v>468</v>
      </c>
      <c r="C113">
        <v>31</v>
      </c>
      <c r="D113" t="s">
        <v>743</v>
      </c>
      <c r="E113" t="s">
        <v>254</v>
      </c>
      <c r="F113" s="82">
        <v>45367</v>
      </c>
    </row>
    <row r="114" spans="1:6" x14ac:dyDescent="0.3">
      <c r="A114">
        <v>78390220</v>
      </c>
      <c r="B114" t="s">
        <v>470</v>
      </c>
      <c r="C114">
        <v>33</v>
      </c>
      <c r="D114" t="s">
        <v>743</v>
      </c>
      <c r="E114" t="s">
        <v>254</v>
      </c>
      <c r="F114" s="82">
        <v>45931</v>
      </c>
    </row>
    <row r="115" spans="1:6" x14ac:dyDescent="0.3">
      <c r="A115">
        <v>75512225</v>
      </c>
      <c r="B115" t="s">
        <v>474</v>
      </c>
      <c r="C115">
        <v>23</v>
      </c>
      <c r="D115" t="s">
        <v>743</v>
      </c>
      <c r="E115" t="s">
        <v>254</v>
      </c>
      <c r="F115" s="82">
        <v>44440</v>
      </c>
    </row>
    <row r="116" spans="1:6" x14ac:dyDescent="0.3">
      <c r="A116">
        <v>76925642</v>
      </c>
      <c r="B116" t="s">
        <v>476</v>
      </c>
      <c r="C116">
        <v>30</v>
      </c>
      <c r="D116" t="s">
        <v>743</v>
      </c>
      <c r="E116" t="s">
        <v>254</v>
      </c>
      <c r="F116" s="82">
        <v>45931</v>
      </c>
    </row>
    <row r="117" spans="1:6" x14ac:dyDescent="0.3">
      <c r="A117">
        <v>72316475</v>
      </c>
      <c r="B117" t="s">
        <v>478</v>
      </c>
      <c r="C117">
        <v>30</v>
      </c>
      <c r="D117" t="s">
        <v>743</v>
      </c>
      <c r="E117" t="s">
        <v>254</v>
      </c>
      <c r="F117" s="82">
        <v>45798</v>
      </c>
    </row>
    <row r="118" spans="1:6" x14ac:dyDescent="0.3">
      <c r="A118">
        <v>75336055</v>
      </c>
      <c r="B118" t="s">
        <v>480</v>
      </c>
      <c r="C118">
        <v>32</v>
      </c>
      <c r="D118" t="s">
        <v>743</v>
      </c>
      <c r="E118" t="s">
        <v>254</v>
      </c>
      <c r="F118" s="82">
        <v>45748</v>
      </c>
    </row>
    <row r="119" spans="1:6" x14ac:dyDescent="0.3">
      <c r="A119">
        <v>72157299</v>
      </c>
      <c r="B119" t="s">
        <v>482</v>
      </c>
      <c r="C119">
        <v>24</v>
      </c>
      <c r="D119" t="s">
        <v>743</v>
      </c>
      <c r="E119" t="s">
        <v>254</v>
      </c>
      <c r="F119" s="82">
        <v>45818</v>
      </c>
    </row>
    <row r="120" spans="1:6" x14ac:dyDescent="0.3">
      <c r="A120">
        <v>70569992</v>
      </c>
      <c r="B120" t="s">
        <v>484</v>
      </c>
      <c r="C120">
        <v>36</v>
      </c>
      <c r="D120" t="s">
        <v>743</v>
      </c>
      <c r="E120" t="s">
        <v>254</v>
      </c>
      <c r="F120" s="82">
        <v>44942</v>
      </c>
    </row>
    <row r="121" spans="1:6" x14ac:dyDescent="0.3">
      <c r="A121">
        <v>70187485</v>
      </c>
      <c r="B121" t="s">
        <v>486</v>
      </c>
      <c r="C121">
        <v>37</v>
      </c>
      <c r="D121" t="s">
        <v>743</v>
      </c>
      <c r="E121" t="s">
        <v>254</v>
      </c>
      <c r="F121" s="82">
        <v>44850</v>
      </c>
    </row>
    <row r="122" spans="1:6" x14ac:dyDescent="0.3">
      <c r="A122">
        <v>70187486</v>
      </c>
      <c r="B122" t="s">
        <v>488</v>
      </c>
      <c r="C122">
        <v>51</v>
      </c>
      <c r="D122" t="s">
        <v>743</v>
      </c>
      <c r="E122" t="s">
        <v>254</v>
      </c>
      <c r="F122" s="82">
        <v>44482</v>
      </c>
    </row>
    <row r="123" spans="1:6" x14ac:dyDescent="0.3">
      <c r="A123">
        <v>10510294</v>
      </c>
      <c r="B123" t="s">
        <v>490</v>
      </c>
      <c r="C123">
        <v>28</v>
      </c>
      <c r="D123" t="s">
        <v>743</v>
      </c>
      <c r="E123" t="s">
        <v>254</v>
      </c>
      <c r="F123" s="82">
        <v>44044</v>
      </c>
    </row>
    <row r="124" spans="1:6" x14ac:dyDescent="0.3">
      <c r="A124">
        <v>76318160</v>
      </c>
      <c r="B124" t="s">
        <v>492</v>
      </c>
      <c r="C124">
        <v>20</v>
      </c>
      <c r="D124" t="s">
        <v>743</v>
      </c>
      <c r="E124" t="s">
        <v>254</v>
      </c>
      <c r="F124" s="82">
        <v>45536</v>
      </c>
    </row>
    <row r="125" spans="1:6" x14ac:dyDescent="0.3">
      <c r="A125">
        <v>75154069</v>
      </c>
      <c r="B125" t="s">
        <v>494</v>
      </c>
      <c r="C125">
        <v>22</v>
      </c>
      <c r="D125" t="s">
        <v>743</v>
      </c>
      <c r="E125" t="s">
        <v>254</v>
      </c>
      <c r="F125" s="82">
        <v>45842</v>
      </c>
    </row>
    <row r="126" spans="1:6" x14ac:dyDescent="0.3">
      <c r="A126">
        <v>72589997</v>
      </c>
      <c r="B126" t="s">
        <v>496</v>
      </c>
      <c r="C126">
        <v>32</v>
      </c>
      <c r="D126" t="s">
        <v>743</v>
      </c>
      <c r="E126" t="s">
        <v>254</v>
      </c>
      <c r="F126" s="82">
        <v>45855</v>
      </c>
    </row>
    <row r="127" spans="1:6" x14ac:dyDescent="0.3">
      <c r="A127">
        <v>62906289</v>
      </c>
      <c r="B127" t="s">
        <v>498</v>
      </c>
      <c r="C127">
        <v>23</v>
      </c>
      <c r="D127" t="s">
        <v>743</v>
      </c>
      <c r="E127" t="s">
        <v>254</v>
      </c>
      <c r="F127" s="82">
        <v>45787</v>
      </c>
    </row>
    <row r="128" spans="1:6" x14ac:dyDescent="0.3">
      <c r="A128">
        <v>48079196</v>
      </c>
      <c r="B128" t="s">
        <v>500</v>
      </c>
      <c r="C128">
        <v>29</v>
      </c>
      <c r="D128" t="s">
        <v>743</v>
      </c>
      <c r="E128" t="s">
        <v>254</v>
      </c>
      <c r="F128" s="82">
        <v>44013</v>
      </c>
    </row>
    <row r="129" spans="1:6" x14ac:dyDescent="0.3">
      <c r="A129">
        <v>62491031</v>
      </c>
      <c r="B129" t="s">
        <v>502</v>
      </c>
      <c r="C129">
        <v>20</v>
      </c>
      <c r="D129" t="s">
        <v>743</v>
      </c>
      <c r="E129" t="s">
        <v>254</v>
      </c>
      <c r="F129" s="82">
        <v>45935</v>
      </c>
    </row>
    <row r="130" spans="1:6" x14ac:dyDescent="0.3">
      <c r="A130">
        <v>75370129</v>
      </c>
      <c r="B130" t="s">
        <v>504</v>
      </c>
      <c r="C130">
        <v>26</v>
      </c>
      <c r="D130" t="s">
        <v>743</v>
      </c>
      <c r="E130" t="s">
        <v>254</v>
      </c>
      <c r="F130" s="82">
        <v>45367</v>
      </c>
    </row>
    <row r="131" spans="1:6" x14ac:dyDescent="0.3">
      <c r="A131">
        <v>76123174</v>
      </c>
      <c r="B131" t="s">
        <v>506</v>
      </c>
      <c r="C131">
        <v>23</v>
      </c>
      <c r="D131" t="s">
        <v>743</v>
      </c>
      <c r="E131" t="s">
        <v>254</v>
      </c>
      <c r="F131" s="82">
        <v>45985</v>
      </c>
    </row>
    <row r="132" spans="1:6" x14ac:dyDescent="0.3">
      <c r="A132">
        <v>77203778</v>
      </c>
      <c r="B132" t="s">
        <v>508</v>
      </c>
      <c r="C132">
        <v>19</v>
      </c>
      <c r="D132" t="s">
        <v>743</v>
      </c>
      <c r="E132" t="s">
        <v>254</v>
      </c>
      <c r="F132" s="82">
        <v>45809</v>
      </c>
    </row>
    <row r="133" spans="1:6" x14ac:dyDescent="0.3">
      <c r="A133">
        <v>76134689</v>
      </c>
      <c r="B133" t="s">
        <v>510</v>
      </c>
      <c r="C133">
        <v>23</v>
      </c>
      <c r="D133" t="s">
        <v>743</v>
      </c>
      <c r="E133" t="s">
        <v>254</v>
      </c>
      <c r="F133" s="82">
        <v>45323</v>
      </c>
    </row>
    <row r="134" spans="1:6" x14ac:dyDescent="0.3">
      <c r="A134">
        <v>61212149</v>
      </c>
      <c r="B134" t="s">
        <v>512</v>
      </c>
      <c r="C134">
        <v>24</v>
      </c>
      <c r="D134" t="s">
        <v>743</v>
      </c>
      <c r="E134" t="s">
        <v>254</v>
      </c>
      <c r="F134" s="82">
        <v>45992</v>
      </c>
    </row>
    <row r="135" spans="1:6" x14ac:dyDescent="0.3">
      <c r="A135">
        <v>75870914</v>
      </c>
      <c r="B135" t="s">
        <v>514</v>
      </c>
      <c r="C135">
        <v>31</v>
      </c>
      <c r="D135" t="s">
        <v>743</v>
      </c>
      <c r="E135" t="s">
        <v>254</v>
      </c>
      <c r="F135" s="82">
        <v>45916</v>
      </c>
    </row>
    <row r="136" spans="1:6" x14ac:dyDescent="0.3">
      <c r="A136">
        <v>70630099</v>
      </c>
      <c r="B136" t="s">
        <v>516</v>
      </c>
      <c r="C136">
        <v>23</v>
      </c>
      <c r="D136" t="s">
        <v>743</v>
      </c>
      <c r="E136" t="s">
        <v>254</v>
      </c>
      <c r="F136" s="82">
        <v>45870</v>
      </c>
    </row>
    <row r="137" spans="1:6" x14ac:dyDescent="0.3">
      <c r="A137">
        <v>76873150</v>
      </c>
      <c r="B137" t="s">
        <v>518</v>
      </c>
      <c r="C137">
        <v>25</v>
      </c>
      <c r="D137" t="s">
        <v>743</v>
      </c>
      <c r="E137" t="s">
        <v>254</v>
      </c>
      <c r="F137" s="82">
        <v>45870</v>
      </c>
    </row>
    <row r="138" spans="1:6" x14ac:dyDescent="0.3">
      <c r="A138">
        <v>48521621</v>
      </c>
      <c r="B138" t="s">
        <v>520</v>
      </c>
      <c r="C138">
        <v>23</v>
      </c>
      <c r="D138" t="s">
        <v>743</v>
      </c>
      <c r="E138" t="s">
        <v>254</v>
      </c>
      <c r="F138" s="82">
        <v>44594</v>
      </c>
    </row>
    <row r="139" spans="1:6" x14ac:dyDescent="0.3">
      <c r="A139">
        <v>77479506</v>
      </c>
      <c r="B139" t="s">
        <v>522</v>
      </c>
      <c r="C139">
        <v>22</v>
      </c>
      <c r="D139" t="s">
        <v>743</v>
      </c>
      <c r="E139" t="s">
        <v>254</v>
      </c>
      <c r="F139" s="82">
        <v>45093</v>
      </c>
    </row>
    <row r="140" spans="1:6" x14ac:dyDescent="0.3">
      <c r="A140">
        <v>75757320</v>
      </c>
      <c r="B140" t="s">
        <v>524</v>
      </c>
      <c r="C140">
        <v>40</v>
      </c>
      <c r="D140" t="s">
        <v>743</v>
      </c>
      <c r="E140" t="s">
        <v>254</v>
      </c>
      <c r="F140" s="82">
        <v>45520</v>
      </c>
    </row>
    <row r="141" spans="1:6" x14ac:dyDescent="0.3">
      <c r="A141">
        <v>72865267</v>
      </c>
      <c r="B141" t="s">
        <v>526</v>
      </c>
      <c r="C141">
        <v>21</v>
      </c>
      <c r="D141" t="s">
        <v>743</v>
      </c>
      <c r="E141" t="s">
        <v>254</v>
      </c>
      <c r="F141" s="82">
        <v>45931</v>
      </c>
    </row>
    <row r="142" spans="1:6" x14ac:dyDescent="0.3">
      <c r="A142">
        <v>44401063</v>
      </c>
      <c r="B142" t="s">
        <v>528</v>
      </c>
      <c r="C142">
        <v>26</v>
      </c>
      <c r="D142" t="s">
        <v>743</v>
      </c>
      <c r="E142" t="s">
        <v>254</v>
      </c>
      <c r="F142" s="82">
        <v>45980</v>
      </c>
    </row>
    <row r="143" spans="1:6" x14ac:dyDescent="0.3">
      <c r="A143">
        <v>76017033</v>
      </c>
      <c r="B143" t="s">
        <v>530</v>
      </c>
      <c r="C143">
        <v>44</v>
      </c>
      <c r="D143" t="s">
        <v>743</v>
      </c>
      <c r="E143" t="s">
        <v>254</v>
      </c>
      <c r="F143" s="82">
        <v>45952</v>
      </c>
    </row>
    <row r="144" spans="1:6" x14ac:dyDescent="0.3">
      <c r="A144">
        <v>70859428</v>
      </c>
      <c r="B144" t="s">
        <v>532</v>
      </c>
      <c r="C144">
        <v>20</v>
      </c>
      <c r="D144" t="s">
        <v>743</v>
      </c>
      <c r="E144" t="s">
        <v>254</v>
      </c>
      <c r="F144" s="82">
        <v>45740</v>
      </c>
    </row>
    <row r="145" spans="1:6" x14ac:dyDescent="0.3">
      <c r="A145">
        <v>41297245</v>
      </c>
      <c r="B145" t="s">
        <v>534</v>
      </c>
      <c r="C145">
        <v>23</v>
      </c>
      <c r="D145" t="s">
        <v>743</v>
      </c>
      <c r="E145" t="s">
        <v>254</v>
      </c>
      <c r="F145" s="82">
        <v>45689</v>
      </c>
    </row>
    <row r="146" spans="1:6" x14ac:dyDescent="0.3">
      <c r="A146">
        <v>74908678</v>
      </c>
      <c r="B146" t="s">
        <v>536</v>
      </c>
      <c r="C146">
        <v>30</v>
      </c>
      <c r="D146" t="s">
        <v>743</v>
      </c>
      <c r="E146" t="s">
        <v>254</v>
      </c>
      <c r="F146" s="82">
        <v>45658</v>
      </c>
    </row>
    <row r="147" spans="1:6" x14ac:dyDescent="0.3">
      <c r="A147">
        <v>75915989</v>
      </c>
      <c r="B147" t="s">
        <v>538</v>
      </c>
      <c r="C147">
        <v>18</v>
      </c>
      <c r="D147" t="s">
        <v>743</v>
      </c>
      <c r="E147" t="s">
        <v>254</v>
      </c>
      <c r="F147" s="82">
        <v>46013</v>
      </c>
    </row>
    <row r="148" spans="1:6" x14ac:dyDescent="0.3">
      <c r="A148">
        <v>42707425</v>
      </c>
      <c r="B148" t="s">
        <v>1229</v>
      </c>
      <c r="C148">
        <v>41</v>
      </c>
      <c r="D148" t="s">
        <v>743</v>
      </c>
      <c r="E148" t="s">
        <v>254</v>
      </c>
      <c r="F148" s="82">
        <v>44409</v>
      </c>
    </row>
    <row r="149" spans="1:6" x14ac:dyDescent="0.3">
      <c r="A149">
        <v>77136083</v>
      </c>
      <c r="B149" t="s">
        <v>542</v>
      </c>
      <c r="C149">
        <v>20</v>
      </c>
      <c r="D149" t="s">
        <v>743</v>
      </c>
      <c r="E149" t="s">
        <v>254</v>
      </c>
      <c r="F149" s="82">
        <v>45931</v>
      </c>
    </row>
    <row r="150" spans="1:6" x14ac:dyDescent="0.3">
      <c r="A150">
        <v>76279110</v>
      </c>
      <c r="B150" t="s">
        <v>544</v>
      </c>
      <c r="C150">
        <v>52</v>
      </c>
      <c r="D150" t="s">
        <v>743</v>
      </c>
      <c r="E150" t="s">
        <v>254</v>
      </c>
      <c r="F150" s="82">
        <v>45931</v>
      </c>
    </row>
    <row r="151" spans="1:6" x14ac:dyDescent="0.3">
      <c r="A151">
        <v>75932984</v>
      </c>
      <c r="B151" t="s">
        <v>546</v>
      </c>
      <c r="C151">
        <v>30</v>
      </c>
      <c r="D151" t="s">
        <v>743</v>
      </c>
      <c r="E151" t="s">
        <v>254</v>
      </c>
      <c r="F151" s="82">
        <v>45854</v>
      </c>
    </row>
    <row r="152" spans="1:6" x14ac:dyDescent="0.3">
      <c r="A152">
        <v>71449148</v>
      </c>
      <c r="B152" t="s">
        <v>548</v>
      </c>
      <c r="C152">
        <v>34</v>
      </c>
      <c r="D152" t="s">
        <v>743</v>
      </c>
      <c r="E152" t="s">
        <v>254</v>
      </c>
      <c r="F152" s="82">
        <v>45809</v>
      </c>
    </row>
    <row r="153" spans="1:6" x14ac:dyDescent="0.3">
      <c r="A153">
        <v>10601585</v>
      </c>
      <c r="B153" t="s">
        <v>550</v>
      </c>
      <c r="C153">
        <v>20</v>
      </c>
      <c r="D153" t="s">
        <v>743</v>
      </c>
      <c r="E153" t="s">
        <v>254</v>
      </c>
      <c r="F153" s="82">
        <v>43115</v>
      </c>
    </row>
    <row r="154" spans="1:6" x14ac:dyDescent="0.3">
      <c r="A154">
        <v>73965500</v>
      </c>
      <c r="B154" t="s">
        <v>552</v>
      </c>
      <c r="C154">
        <v>36</v>
      </c>
      <c r="D154" t="s">
        <v>743</v>
      </c>
      <c r="E154" t="s">
        <v>254</v>
      </c>
      <c r="F154" s="82">
        <v>46011</v>
      </c>
    </row>
    <row r="155" spans="1:6" x14ac:dyDescent="0.3">
      <c r="A155">
        <v>45118290</v>
      </c>
      <c r="B155" t="s">
        <v>554</v>
      </c>
      <c r="C155">
        <v>24</v>
      </c>
      <c r="D155" t="s">
        <v>743</v>
      </c>
      <c r="E155" t="s">
        <v>254</v>
      </c>
      <c r="F155" s="82">
        <v>45913</v>
      </c>
    </row>
    <row r="156" spans="1:6" x14ac:dyDescent="0.3">
      <c r="A156">
        <v>47244753</v>
      </c>
      <c r="B156" t="s">
        <v>556</v>
      </c>
      <c r="C156">
        <v>21</v>
      </c>
      <c r="D156" t="s">
        <v>743</v>
      </c>
      <c r="E156" t="s">
        <v>254</v>
      </c>
      <c r="F156" s="82">
        <v>43617</v>
      </c>
    </row>
    <row r="157" spans="1:6" x14ac:dyDescent="0.3">
      <c r="A157">
        <v>72389681</v>
      </c>
      <c r="B157" t="s">
        <v>558</v>
      </c>
      <c r="C157">
        <v>28</v>
      </c>
      <c r="D157" t="s">
        <v>743</v>
      </c>
      <c r="E157" t="s">
        <v>254</v>
      </c>
      <c r="F157" s="82">
        <v>45689</v>
      </c>
    </row>
    <row r="158" spans="1:6" x14ac:dyDescent="0.3">
      <c r="A158">
        <v>47070032</v>
      </c>
      <c r="B158" t="s">
        <v>560</v>
      </c>
      <c r="C158">
        <v>30</v>
      </c>
      <c r="D158" t="s">
        <v>743</v>
      </c>
      <c r="E158" t="s">
        <v>254</v>
      </c>
      <c r="F158" s="82">
        <v>43709</v>
      </c>
    </row>
    <row r="159" spans="1:6" x14ac:dyDescent="0.3">
      <c r="A159">
        <v>74489643</v>
      </c>
      <c r="B159" t="s">
        <v>562</v>
      </c>
      <c r="C159">
        <v>42</v>
      </c>
      <c r="D159" t="s">
        <v>743</v>
      </c>
      <c r="E159" t="s">
        <v>254</v>
      </c>
      <c r="F159" s="82">
        <v>44663</v>
      </c>
    </row>
    <row r="160" spans="1:6" x14ac:dyDescent="0.3">
      <c r="A160">
        <v>76793203</v>
      </c>
      <c r="B160" t="s">
        <v>564</v>
      </c>
      <c r="C160">
        <v>22</v>
      </c>
      <c r="D160" t="s">
        <v>743</v>
      </c>
      <c r="E160" t="s">
        <v>254</v>
      </c>
      <c r="F160" s="82">
        <v>45985</v>
      </c>
    </row>
    <row r="161" spans="1:6" x14ac:dyDescent="0.3">
      <c r="A161">
        <v>70078998</v>
      </c>
      <c r="B161" t="s">
        <v>566</v>
      </c>
      <c r="C161">
        <v>39</v>
      </c>
      <c r="D161" t="s">
        <v>743</v>
      </c>
      <c r="E161" t="s">
        <v>254</v>
      </c>
      <c r="F161" s="82">
        <v>45874</v>
      </c>
    </row>
    <row r="162" spans="1:6" x14ac:dyDescent="0.3">
      <c r="A162">
        <v>77145557</v>
      </c>
      <c r="B162" t="s">
        <v>568</v>
      </c>
      <c r="C162">
        <v>28</v>
      </c>
      <c r="D162" t="s">
        <v>743</v>
      </c>
      <c r="E162" t="s">
        <v>254</v>
      </c>
      <c r="F162" s="82">
        <v>44774</v>
      </c>
    </row>
    <row r="163" spans="1:6" x14ac:dyDescent="0.3">
      <c r="A163">
        <v>42200293</v>
      </c>
      <c r="B163" t="s">
        <v>570</v>
      </c>
      <c r="C163">
        <v>18</v>
      </c>
      <c r="D163" t="s">
        <v>743</v>
      </c>
      <c r="E163" t="s">
        <v>254</v>
      </c>
      <c r="F163" s="82">
        <v>44482</v>
      </c>
    </row>
    <row r="164" spans="1:6" x14ac:dyDescent="0.3">
      <c r="A164">
        <v>75425081</v>
      </c>
      <c r="B164" t="s">
        <v>572</v>
      </c>
      <c r="C164">
        <v>41</v>
      </c>
      <c r="D164" t="s">
        <v>743</v>
      </c>
      <c r="E164" t="s">
        <v>254</v>
      </c>
      <c r="F164" s="82">
        <v>45047</v>
      </c>
    </row>
    <row r="165" spans="1:6" x14ac:dyDescent="0.3">
      <c r="A165">
        <v>44194609</v>
      </c>
      <c r="B165" t="s">
        <v>574</v>
      </c>
      <c r="C165">
        <v>26</v>
      </c>
      <c r="D165" t="s">
        <v>743</v>
      </c>
      <c r="E165" t="s">
        <v>254</v>
      </c>
      <c r="F165" s="82">
        <v>43877</v>
      </c>
    </row>
    <row r="166" spans="1:6" x14ac:dyDescent="0.3">
      <c r="A166">
        <v>77096775</v>
      </c>
      <c r="B166" t="s">
        <v>576</v>
      </c>
      <c r="C166">
        <v>44</v>
      </c>
      <c r="D166" t="s">
        <v>743</v>
      </c>
      <c r="E166" t="s">
        <v>254</v>
      </c>
      <c r="F166" s="82">
        <v>45215</v>
      </c>
    </row>
    <row r="167" spans="1:6" x14ac:dyDescent="0.3">
      <c r="A167">
        <v>61861541</v>
      </c>
      <c r="B167" t="s">
        <v>578</v>
      </c>
      <c r="C167">
        <v>32</v>
      </c>
      <c r="D167" t="s">
        <v>743</v>
      </c>
      <c r="E167" t="s">
        <v>254</v>
      </c>
      <c r="F167" s="82">
        <v>45927</v>
      </c>
    </row>
    <row r="168" spans="1:6" x14ac:dyDescent="0.3">
      <c r="A168">
        <v>70644644</v>
      </c>
      <c r="B168" t="s">
        <v>580</v>
      </c>
      <c r="C168">
        <v>34</v>
      </c>
      <c r="D168" t="s">
        <v>743</v>
      </c>
      <c r="E168" t="s">
        <v>254</v>
      </c>
      <c r="F168" s="82">
        <v>45836</v>
      </c>
    </row>
    <row r="169" spans="1:6" x14ac:dyDescent="0.3">
      <c r="A169">
        <v>42749803</v>
      </c>
      <c r="B169" t="s">
        <v>582</v>
      </c>
      <c r="C169">
        <v>23</v>
      </c>
      <c r="D169" t="s">
        <v>743</v>
      </c>
      <c r="E169" t="s">
        <v>254</v>
      </c>
      <c r="F169" s="82">
        <v>45901</v>
      </c>
    </row>
    <row r="170" spans="1:6" x14ac:dyDescent="0.3">
      <c r="A170">
        <v>75976613</v>
      </c>
      <c r="B170" t="s">
        <v>584</v>
      </c>
      <c r="C170">
        <v>23</v>
      </c>
      <c r="D170" t="s">
        <v>743</v>
      </c>
      <c r="E170" t="s">
        <v>254</v>
      </c>
      <c r="F170" s="82">
        <v>45926</v>
      </c>
    </row>
    <row r="171" spans="1:6" x14ac:dyDescent="0.3">
      <c r="A171">
        <v>40881459</v>
      </c>
      <c r="B171" t="s">
        <v>586</v>
      </c>
      <c r="C171">
        <v>50</v>
      </c>
      <c r="D171" t="s">
        <v>743</v>
      </c>
      <c r="E171" t="s">
        <v>254</v>
      </c>
      <c r="F171" s="82">
        <v>43709</v>
      </c>
    </row>
    <row r="172" spans="1:6" x14ac:dyDescent="0.3">
      <c r="A172">
        <v>70993072</v>
      </c>
      <c r="B172" t="s">
        <v>588</v>
      </c>
      <c r="C172">
        <v>24</v>
      </c>
      <c r="D172" t="s">
        <v>762</v>
      </c>
      <c r="E172" t="s">
        <v>254</v>
      </c>
      <c r="F172" s="82">
        <v>43282</v>
      </c>
    </row>
    <row r="173" spans="1:6" x14ac:dyDescent="0.3">
      <c r="A173">
        <v>47725002</v>
      </c>
      <c r="B173" t="s">
        <v>590</v>
      </c>
      <c r="C173">
        <v>27</v>
      </c>
      <c r="D173" t="s">
        <v>743</v>
      </c>
      <c r="E173" t="s">
        <v>254</v>
      </c>
      <c r="F173" s="82">
        <v>43862</v>
      </c>
    </row>
    <row r="174" spans="1:6" x14ac:dyDescent="0.3">
      <c r="A174">
        <v>74676754</v>
      </c>
      <c r="B174" t="s">
        <v>592</v>
      </c>
      <c r="C174">
        <v>31</v>
      </c>
      <c r="D174" t="s">
        <v>743</v>
      </c>
      <c r="E174" t="s">
        <v>254</v>
      </c>
      <c r="F174" s="82">
        <v>45727</v>
      </c>
    </row>
    <row r="175" spans="1:6" x14ac:dyDescent="0.3">
      <c r="A175">
        <v>75169048</v>
      </c>
      <c r="B175" t="s">
        <v>594</v>
      </c>
      <c r="C175">
        <v>43</v>
      </c>
      <c r="D175" t="s">
        <v>743</v>
      </c>
      <c r="E175" t="s">
        <v>254</v>
      </c>
      <c r="F175" s="82">
        <v>45689</v>
      </c>
    </row>
    <row r="176" spans="1:6" x14ac:dyDescent="0.3">
      <c r="A176">
        <v>10133702</v>
      </c>
      <c r="B176" t="s">
        <v>596</v>
      </c>
      <c r="C176">
        <v>28</v>
      </c>
      <c r="D176" t="s">
        <v>743</v>
      </c>
      <c r="E176" t="s">
        <v>254</v>
      </c>
      <c r="F176" s="82">
        <v>45413</v>
      </c>
    </row>
    <row r="177" spans="1:6" x14ac:dyDescent="0.3">
      <c r="A177">
        <v>42986457</v>
      </c>
      <c r="B177" t="s">
        <v>598</v>
      </c>
      <c r="C177">
        <v>20</v>
      </c>
      <c r="D177" t="s">
        <v>743</v>
      </c>
      <c r="E177" t="s">
        <v>254</v>
      </c>
      <c r="F177" s="82">
        <v>44652</v>
      </c>
    </row>
    <row r="178" spans="1:6" x14ac:dyDescent="0.3">
      <c r="A178">
        <v>75425053</v>
      </c>
      <c r="B178" t="s">
        <v>600</v>
      </c>
      <c r="C178">
        <v>21</v>
      </c>
      <c r="D178" t="s">
        <v>743</v>
      </c>
      <c r="E178" t="s">
        <v>254</v>
      </c>
      <c r="F178" s="82">
        <v>45967</v>
      </c>
    </row>
    <row r="179" spans="1:6" x14ac:dyDescent="0.3">
      <c r="A179">
        <v>76800275</v>
      </c>
      <c r="B179" t="s">
        <v>602</v>
      </c>
      <c r="C179">
        <v>48</v>
      </c>
      <c r="D179" t="s">
        <v>743</v>
      </c>
      <c r="E179" t="s">
        <v>254</v>
      </c>
      <c r="F179" s="82">
        <v>45983</v>
      </c>
    </row>
    <row r="180" spans="1:6" x14ac:dyDescent="0.3">
      <c r="A180">
        <v>48487609</v>
      </c>
      <c r="B180" t="s">
        <v>604</v>
      </c>
      <c r="C180">
        <v>25</v>
      </c>
      <c r="D180" t="s">
        <v>743</v>
      </c>
      <c r="E180" t="s">
        <v>254</v>
      </c>
      <c r="F180" s="82">
        <v>45323</v>
      </c>
    </row>
    <row r="181" spans="1:6" x14ac:dyDescent="0.3">
      <c r="A181">
        <v>41517602</v>
      </c>
      <c r="B181" t="s">
        <v>606</v>
      </c>
      <c r="C181">
        <v>24</v>
      </c>
      <c r="D181" t="s">
        <v>762</v>
      </c>
      <c r="E181" t="s">
        <v>254</v>
      </c>
      <c r="F181" s="82">
        <v>45261</v>
      </c>
    </row>
    <row r="182" spans="1:6" x14ac:dyDescent="0.3">
      <c r="A182">
        <v>72595554</v>
      </c>
      <c r="B182" t="s">
        <v>608</v>
      </c>
      <c r="C182">
        <v>57</v>
      </c>
      <c r="D182" t="s">
        <v>743</v>
      </c>
      <c r="E182" t="s">
        <v>254</v>
      </c>
      <c r="F182" s="82">
        <v>45689</v>
      </c>
    </row>
    <row r="183" spans="1:6" x14ac:dyDescent="0.3">
      <c r="A183">
        <v>73575358</v>
      </c>
      <c r="B183" t="s">
        <v>610</v>
      </c>
      <c r="C183">
        <v>29</v>
      </c>
      <c r="D183" t="s">
        <v>743</v>
      </c>
      <c r="E183" t="s">
        <v>254</v>
      </c>
      <c r="F183" s="82">
        <v>45689</v>
      </c>
    </row>
    <row r="184" spans="1:6" x14ac:dyDescent="0.3">
      <c r="A184">
        <v>10665806</v>
      </c>
      <c r="B184" t="s">
        <v>612</v>
      </c>
      <c r="C184">
        <v>23</v>
      </c>
      <c r="D184" t="s">
        <v>743</v>
      </c>
      <c r="E184" t="s">
        <v>254</v>
      </c>
      <c r="F184" s="82">
        <v>44440</v>
      </c>
    </row>
    <row r="185" spans="1:6" x14ac:dyDescent="0.3">
      <c r="A185">
        <v>72519127</v>
      </c>
      <c r="B185" t="s">
        <v>614</v>
      </c>
      <c r="C185">
        <v>24</v>
      </c>
      <c r="D185" t="s">
        <v>743</v>
      </c>
      <c r="E185" t="s">
        <v>254</v>
      </c>
      <c r="F185" s="82">
        <v>45890</v>
      </c>
    </row>
    <row r="186" spans="1:6" x14ac:dyDescent="0.3">
      <c r="A186">
        <v>9509688</v>
      </c>
      <c r="B186" t="s">
        <v>616</v>
      </c>
      <c r="C186">
        <v>21</v>
      </c>
      <c r="D186" t="s">
        <v>743</v>
      </c>
      <c r="E186" t="s">
        <v>254</v>
      </c>
      <c r="F186" s="82">
        <v>40848</v>
      </c>
    </row>
    <row r="187" spans="1:6" x14ac:dyDescent="0.3">
      <c r="A187">
        <v>72954168</v>
      </c>
      <c r="B187" t="s">
        <v>618</v>
      </c>
      <c r="C187">
        <v>21</v>
      </c>
      <c r="D187" t="s">
        <v>743</v>
      </c>
      <c r="E187" t="s">
        <v>254</v>
      </c>
      <c r="F187" s="82">
        <v>45367</v>
      </c>
    </row>
    <row r="188" spans="1:6" x14ac:dyDescent="0.3">
      <c r="A188">
        <v>76439514</v>
      </c>
      <c r="B188" t="s">
        <v>620</v>
      </c>
      <c r="C188">
        <v>33</v>
      </c>
      <c r="D188" t="s">
        <v>743</v>
      </c>
      <c r="E188" t="s">
        <v>254</v>
      </c>
      <c r="F188" s="82">
        <v>46029</v>
      </c>
    </row>
    <row r="189" spans="1:6" x14ac:dyDescent="0.3">
      <c r="A189">
        <v>75267531</v>
      </c>
      <c r="B189" t="s">
        <v>622</v>
      </c>
      <c r="C189">
        <v>23</v>
      </c>
      <c r="D189" t="s">
        <v>743</v>
      </c>
      <c r="E189" t="s">
        <v>254</v>
      </c>
      <c r="F189" s="82">
        <v>45717</v>
      </c>
    </row>
    <row r="190" spans="1:6" x14ac:dyDescent="0.3">
      <c r="A190">
        <v>72511841</v>
      </c>
      <c r="B190" t="s">
        <v>624</v>
      </c>
      <c r="C190">
        <v>53</v>
      </c>
      <c r="D190" t="s">
        <v>743</v>
      </c>
      <c r="E190" t="s">
        <v>254</v>
      </c>
      <c r="F190" s="82">
        <v>45704</v>
      </c>
    </row>
    <row r="191" spans="1:6" x14ac:dyDescent="0.3">
      <c r="A191">
        <v>47899685</v>
      </c>
      <c r="B191" t="s">
        <v>626</v>
      </c>
      <c r="C191">
        <v>39</v>
      </c>
      <c r="D191" t="s">
        <v>762</v>
      </c>
      <c r="E191" t="s">
        <v>254</v>
      </c>
      <c r="F191" s="82">
        <v>43009</v>
      </c>
    </row>
    <row r="192" spans="1:6" x14ac:dyDescent="0.3">
      <c r="A192">
        <v>75308649</v>
      </c>
      <c r="B192" t="s">
        <v>628</v>
      </c>
      <c r="C192">
        <v>31</v>
      </c>
      <c r="D192" t="s">
        <v>743</v>
      </c>
      <c r="E192" t="s">
        <v>254</v>
      </c>
      <c r="F192" s="82">
        <v>45489</v>
      </c>
    </row>
    <row r="193" spans="1:6" x14ac:dyDescent="0.3">
      <c r="A193">
        <v>9840430</v>
      </c>
      <c r="B193" t="s">
        <v>630</v>
      </c>
      <c r="C193">
        <v>33</v>
      </c>
      <c r="D193" t="s">
        <v>743</v>
      </c>
      <c r="E193" t="s">
        <v>254</v>
      </c>
      <c r="F193" s="82">
        <v>44488</v>
      </c>
    </row>
    <row r="194" spans="1:6" x14ac:dyDescent="0.3">
      <c r="A194">
        <v>80217003</v>
      </c>
      <c r="B194" t="s">
        <v>632</v>
      </c>
      <c r="C194">
        <v>31</v>
      </c>
      <c r="D194" t="s">
        <v>743</v>
      </c>
      <c r="E194" t="s">
        <v>254</v>
      </c>
      <c r="F194" s="82">
        <v>45798</v>
      </c>
    </row>
    <row r="195" spans="1:6" x14ac:dyDescent="0.3">
      <c r="A195">
        <v>75605507</v>
      </c>
      <c r="B195" t="s">
        <v>634</v>
      </c>
      <c r="C195">
        <v>38</v>
      </c>
      <c r="D195" t="s">
        <v>743</v>
      </c>
      <c r="E195" t="s">
        <v>254</v>
      </c>
      <c r="F195" s="82">
        <v>45894</v>
      </c>
    </row>
    <row r="196" spans="1:6" x14ac:dyDescent="0.3">
      <c r="A196">
        <v>45427959</v>
      </c>
      <c r="B196" t="s">
        <v>636</v>
      </c>
      <c r="C196">
        <v>27</v>
      </c>
      <c r="D196" t="s">
        <v>743</v>
      </c>
      <c r="E196" t="s">
        <v>254</v>
      </c>
      <c r="F196" s="82">
        <v>42948</v>
      </c>
    </row>
    <row r="197" spans="1:6" x14ac:dyDescent="0.3">
      <c r="A197">
        <v>70182275</v>
      </c>
      <c r="B197" t="s">
        <v>638</v>
      </c>
      <c r="C197">
        <v>22</v>
      </c>
      <c r="D197" t="s">
        <v>743</v>
      </c>
      <c r="E197" t="s">
        <v>254</v>
      </c>
      <c r="F197" s="82">
        <v>45762</v>
      </c>
    </row>
    <row r="198" spans="1:6" x14ac:dyDescent="0.3">
      <c r="A198">
        <v>70182276</v>
      </c>
      <c r="B198" t="s">
        <v>640</v>
      </c>
      <c r="C198">
        <v>31</v>
      </c>
      <c r="D198" t="s">
        <v>743</v>
      </c>
      <c r="E198" t="s">
        <v>254</v>
      </c>
      <c r="F198" s="82">
        <v>42840</v>
      </c>
    </row>
    <row r="199" spans="1:6" x14ac:dyDescent="0.3">
      <c r="A199">
        <v>48547706</v>
      </c>
      <c r="B199" t="s">
        <v>642</v>
      </c>
      <c r="C199">
        <v>40</v>
      </c>
      <c r="D199" t="s">
        <v>743</v>
      </c>
      <c r="E199" t="s">
        <v>254</v>
      </c>
      <c r="F199" s="82">
        <v>45673</v>
      </c>
    </row>
    <row r="200" spans="1:6" x14ac:dyDescent="0.3">
      <c r="A200">
        <v>44955192</v>
      </c>
      <c r="B200" t="s">
        <v>644</v>
      </c>
      <c r="C200">
        <v>22</v>
      </c>
      <c r="D200" t="s">
        <v>743</v>
      </c>
      <c r="E200" t="s">
        <v>254</v>
      </c>
      <c r="F200" s="82">
        <v>44835</v>
      </c>
    </row>
    <row r="201" spans="1:6" x14ac:dyDescent="0.3">
      <c r="A201">
        <v>73184782</v>
      </c>
      <c r="B201" t="s">
        <v>646</v>
      </c>
      <c r="C201">
        <v>21</v>
      </c>
      <c r="D201" t="s">
        <v>743</v>
      </c>
      <c r="E201" t="s">
        <v>254</v>
      </c>
      <c r="F201" s="82">
        <v>45926</v>
      </c>
    </row>
    <row r="202" spans="1:6" x14ac:dyDescent="0.3">
      <c r="A202">
        <v>75882635</v>
      </c>
      <c r="B202" t="s">
        <v>648</v>
      </c>
      <c r="C202">
        <v>26</v>
      </c>
      <c r="D202" t="s">
        <v>743</v>
      </c>
      <c r="E202" t="s">
        <v>254</v>
      </c>
      <c r="F202" s="82">
        <v>45520</v>
      </c>
    </row>
    <row r="203" spans="1:6" x14ac:dyDescent="0.3">
      <c r="A203">
        <v>45418401</v>
      </c>
      <c r="B203" t="s">
        <v>650</v>
      </c>
      <c r="C203">
        <v>31</v>
      </c>
      <c r="D203" t="s">
        <v>743</v>
      </c>
      <c r="E203" t="s">
        <v>254</v>
      </c>
      <c r="F203" s="82">
        <v>45733</v>
      </c>
    </row>
    <row r="204" spans="1:6" x14ac:dyDescent="0.3">
      <c r="A204">
        <v>76395756</v>
      </c>
      <c r="B204" t="s">
        <v>652</v>
      </c>
      <c r="C204">
        <v>25</v>
      </c>
      <c r="D204" t="s">
        <v>762</v>
      </c>
      <c r="E204" t="s">
        <v>254</v>
      </c>
      <c r="F204" s="82">
        <v>46007</v>
      </c>
    </row>
    <row r="205" spans="1:6" x14ac:dyDescent="0.3">
      <c r="A205">
        <v>60598914</v>
      </c>
      <c r="B205" t="s">
        <v>654</v>
      </c>
      <c r="C205">
        <v>47</v>
      </c>
      <c r="D205" t="s">
        <v>743</v>
      </c>
      <c r="E205" t="s">
        <v>254</v>
      </c>
      <c r="F205" s="82">
        <v>45520</v>
      </c>
    </row>
    <row r="206" spans="1:6" x14ac:dyDescent="0.3">
      <c r="A206">
        <v>79380918</v>
      </c>
      <c r="B206" t="s">
        <v>656</v>
      </c>
      <c r="C206">
        <v>23</v>
      </c>
      <c r="D206" t="s">
        <v>743</v>
      </c>
      <c r="E206" t="s">
        <v>254</v>
      </c>
      <c r="F206" s="82">
        <v>45246</v>
      </c>
    </row>
    <row r="207" spans="1:6" x14ac:dyDescent="0.3">
      <c r="A207">
        <v>43507406</v>
      </c>
      <c r="B207" t="s">
        <v>658</v>
      </c>
      <c r="C207">
        <v>26</v>
      </c>
      <c r="D207" t="s">
        <v>743</v>
      </c>
      <c r="E207" t="s">
        <v>254</v>
      </c>
      <c r="F207" s="82">
        <v>45943</v>
      </c>
    </row>
    <row r="208" spans="1:6" x14ac:dyDescent="0.3">
      <c r="A208">
        <v>73039064</v>
      </c>
      <c r="B208" t="s">
        <v>660</v>
      </c>
      <c r="C208">
        <v>18</v>
      </c>
      <c r="D208" t="s">
        <v>743</v>
      </c>
      <c r="E208" t="s">
        <v>254</v>
      </c>
      <c r="F208" s="82">
        <v>45946</v>
      </c>
    </row>
    <row r="209" spans="1:6" x14ac:dyDescent="0.3">
      <c r="A209">
        <v>42513224</v>
      </c>
      <c r="B209" t="s">
        <v>662</v>
      </c>
      <c r="C209">
        <v>64</v>
      </c>
      <c r="D209" t="s">
        <v>743</v>
      </c>
      <c r="E209" t="s">
        <v>254</v>
      </c>
      <c r="F209" s="82">
        <v>44835</v>
      </c>
    </row>
    <row r="210" spans="1:6" x14ac:dyDescent="0.3">
      <c r="A210">
        <v>75836637</v>
      </c>
      <c r="B210" t="s">
        <v>664</v>
      </c>
      <c r="C210">
        <v>40</v>
      </c>
      <c r="D210" t="s">
        <v>743</v>
      </c>
      <c r="E210" t="s">
        <v>254</v>
      </c>
      <c r="F210" s="82">
        <v>45863</v>
      </c>
    </row>
    <row r="211" spans="1:6" x14ac:dyDescent="0.3">
      <c r="A211">
        <v>76515867</v>
      </c>
      <c r="B211" t="s">
        <v>666</v>
      </c>
      <c r="C211">
        <v>31</v>
      </c>
      <c r="D211" t="s">
        <v>743</v>
      </c>
      <c r="E211" t="s">
        <v>254</v>
      </c>
      <c r="F211" s="82">
        <v>45756</v>
      </c>
    </row>
    <row r="212" spans="1:6" x14ac:dyDescent="0.3">
      <c r="A212">
        <v>74880993</v>
      </c>
      <c r="B212" t="s">
        <v>668</v>
      </c>
      <c r="C212">
        <v>22</v>
      </c>
      <c r="D212" t="s">
        <v>743</v>
      </c>
      <c r="E212" t="s">
        <v>254</v>
      </c>
      <c r="F212" s="82">
        <v>45913</v>
      </c>
    </row>
    <row r="213" spans="1:6" x14ac:dyDescent="0.3">
      <c r="A213">
        <v>76431404</v>
      </c>
      <c r="B213" t="s">
        <v>670</v>
      </c>
      <c r="C213">
        <v>34</v>
      </c>
      <c r="D213" t="s">
        <v>743</v>
      </c>
      <c r="E213" t="s">
        <v>254</v>
      </c>
      <c r="F213" s="82">
        <v>46029</v>
      </c>
    </row>
    <row r="214" spans="1:6" x14ac:dyDescent="0.3">
      <c r="A214">
        <v>48690582</v>
      </c>
      <c r="B214" t="s">
        <v>672</v>
      </c>
      <c r="C214">
        <v>21</v>
      </c>
      <c r="D214" t="s">
        <v>743</v>
      </c>
      <c r="E214" t="s">
        <v>254</v>
      </c>
      <c r="F214" s="82">
        <v>42552</v>
      </c>
    </row>
    <row r="215" spans="1:6" x14ac:dyDescent="0.3">
      <c r="A215">
        <v>73263002</v>
      </c>
      <c r="B215" t="s">
        <v>674</v>
      </c>
      <c r="C215">
        <v>25</v>
      </c>
      <c r="D215" t="s">
        <v>743</v>
      </c>
      <c r="E215" t="s">
        <v>254</v>
      </c>
      <c r="F215" s="82">
        <v>45170</v>
      </c>
    </row>
    <row r="216" spans="1:6" x14ac:dyDescent="0.3">
      <c r="A216">
        <v>40006255</v>
      </c>
      <c r="B216" t="s">
        <v>676</v>
      </c>
      <c r="C216">
        <v>30</v>
      </c>
      <c r="D216" t="s">
        <v>743</v>
      </c>
      <c r="E216" t="s">
        <v>254</v>
      </c>
      <c r="F216" s="82">
        <v>44386</v>
      </c>
    </row>
    <row r="217" spans="1:6" x14ac:dyDescent="0.3">
      <c r="A217">
        <v>73133789</v>
      </c>
      <c r="B217" t="s">
        <v>678</v>
      </c>
      <c r="C217">
        <v>22</v>
      </c>
      <c r="D217" t="s">
        <v>743</v>
      </c>
      <c r="E217" t="s">
        <v>254</v>
      </c>
      <c r="F217" s="82">
        <v>45859</v>
      </c>
    </row>
    <row r="218" spans="1:6" x14ac:dyDescent="0.3">
      <c r="A218">
        <v>77094042</v>
      </c>
      <c r="B218" t="s">
        <v>680</v>
      </c>
      <c r="C218">
        <v>20</v>
      </c>
      <c r="D218" t="s">
        <v>743</v>
      </c>
      <c r="E218" t="s">
        <v>254</v>
      </c>
      <c r="F218" s="82">
        <v>44332</v>
      </c>
    </row>
    <row r="219" spans="1:6" x14ac:dyDescent="0.3">
      <c r="A219">
        <v>74498382</v>
      </c>
      <c r="B219" t="s">
        <v>682</v>
      </c>
      <c r="C219">
        <v>33</v>
      </c>
      <c r="D219" t="s">
        <v>743</v>
      </c>
      <c r="E219" t="s">
        <v>254</v>
      </c>
      <c r="F219" s="82">
        <v>46015</v>
      </c>
    </row>
    <row r="220" spans="1:6" x14ac:dyDescent="0.3">
      <c r="A220">
        <v>8177110</v>
      </c>
      <c r="B220" t="s">
        <v>684</v>
      </c>
      <c r="C220">
        <v>29</v>
      </c>
      <c r="D220" t="s">
        <v>743</v>
      </c>
      <c r="E220" t="s">
        <v>254</v>
      </c>
      <c r="F220" s="82">
        <v>40179</v>
      </c>
    </row>
    <row r="221" spans="1:6" x14ac:dyDescent="0.3">
      <c r="A221">
        <v>43399160</v>
      </c>
      <c r="B221" t="s">
        <v>686</v>
      </c>
      <c r="C221">
        <v>28</v>
      </c>
      <c r="D221" t="s">
        <v>743</v>
      </c>
      <c r="E221" t="s">
        <v>254</v>
      </c>
      <c r="F221" s="82">
        <v>43846</v>
      </c>
    </row>
    <row r="222" spans="1:6" x14ac:dyDescent="0.3">
      <c r="A222">
        <v>48569209</v>
      </c>
      <c r="B222" t="s">
        <v>688</v>
      </c>
      <c r="C222">
        <v>44</v>
      </c>
      <c r="D222" t="s">
        <v>743</v>
      </c>
      <c r="E222" t="s">
        <v>254</v>
      </c>
      <c r="F222" s="82">
        <v>44440</v>
      </c>
    </row>
    <row r="223" spans="1:6" x14ac:dyDescent="0.3">
      <c r="A223">
        <v>75995803</v>
      </c>
      <c r="B223" t="s">
        <v>690</v>
      </c>
      <c r="C223">
        <v>25</v>
      </c>
      <c r="D223" t="s">
        <v>743</v>
      </c>
      <c r="E223" t="s">
        <v>254</v>
      </c>
      <c r="F223" s="82">
        <v>45908</v>
      </c>
    </row>
    <row r="224" spans="1:6" x14ac:dyDescent="0.3">
      <c r="A224">
        <v>70747203</v>
      </c>
      <c r="B224" t="s">
        <v>692</v>
      </c>
      <c r="C224">
        <v>40</v>
      </c>
      <c r="D224" t="s">
        <v>743</v>
      </c>
      <c r="E224" t="s">
        <v>254</v>
      </c>
      <c r="F224" s="82">
        <v>45673</v>
      </c>
    </row>
    <row r="225" spans="1:6" x14ac:dyDescent="0.3">
      <c r="A225">
        <v>73732532</v>
      </c>
      <c r="B225" t="s">
        <v>694</v>
      </c>
      <c r="C225">
        <v>30</v>
      </c>
      <c r="D225" t="s">
        <v>743</v>
      </c>
      <c r="E225" t="s">
        <v>254</v>
      </c>
      <c r="F225" s="82">
        <v>45919</v>
      </c>
    </row>
    <row r="226" spans="1:6" x14ac:dyDescent="0.3">
      <c r="A226">
        <v>78054865</v>
      </c>
      <c r="B226" t="s">
        <v>696</v>
      </c>
      <c r="C226">
        <v>38</v>
      </c>
      <c r="D226" t="s">
        <v>743</v>
      </c>
      <c r="E226" t="s">
        <v>254</v>
      </c>
      <c r="F226" s="82">
        <v>45338</v>
      </c>
    </row>
    <row r="227" spans="1:6" x14ac:dyDescent="0.3">
      <c r="A227">
        <v>76200604</v>
      </c>
      <c r="B227" t="s">
        <v>698</v>
      </c>
      <c r="C227">
        <v>45</v>
      </c>
      <c r="D227" t="s">
        <v>743</v>
      </c>
      <c r="E227" t="s">
        <v>254</v>
      </c>
      <c r="F227" s="82">
        <v>46005</v>
      </c>
    </row>
    <row r="228" spans="1:6" x14ac:dyDescent="0.3">
      <c r="A228">
        <v>72256021</v>
      </c>
      <c r="B228" t="s">
        <v>700</v>
      </c>
      <c r="C228">
        <v>25</v>
      </c>
      <c r="D228" t="s">
        <v>743</v>
      </c>
      <c r="E228" t="s">
        <v>254</v>
      </c>
      <c r="F228" s="82">
        <v>45916</v>
      </c>
    </row>
    <row r="229" spans="1:6" x14ac:dyDescent="0.3">
      <c r="A229">
        <v>70090432</v>
      </c>
      <c r="B229" t="s">
        <v>702</v>
      </c>
      <c r="C229">
        <v>35</v>
      </c>
      <c r="D229" t="s">
        <v>743</v>
      </c>
      <c r="E229" t="s">
        <v>254</v>
      </c>
      <c r="F229" s="82">
        <v>45444</v>
      </c>
    </row>
    <row r="230" spans="1:6" x14ac:dyDescent="0.3">
      <c r="A230">
        <v>73370418</v>
      </c>
      <c r="B230" t="s">
        <v>704</v>
      </c>
      <c r="C230">
        <v>21</v>
      </c>
      <c r="D230" t="s">
        <v>743</v>
      </c>
      <c r="E230" t="s">
        <v>254</v>
      </c>
      <c r="F230" s="82">
        <v>45093</v>
      </c>
    </row>
    <row r="231" spans="1:6" x14ac:dyDescent="0.3">
      <c r="A231">
        <v>74368157</v>
      </c>
      <c r="B231" t="s">
        <v>706</v>
      </c>
      <c r="C231">
        <v>24</v>
      </c>
      <c r="D231" t="s">
        <v>743</v>
      </c>
      <c r="E231" t="s">
        <v>254</v>
      </c>
      <c r="F231" s="82">
        <v>44384</v>
      </c>
    </row>
    <row r="232" spans="1:6" x14ac:dyDescent="0.3">
      <c r="A232">
        <v>41951844</v>
      </c>
      <c r="B232" t="s">
        <v>708</v>
      </c>
      <c r="C232">
        <v>22</v>
      </c>
      <c r="D232" t="s">
        <v>743</v>
      </c>
      <c r="E232" t="s">
        <v>254</v>
      </c>
      <c r="F232" s="82">
        <v>44317</v>
      </c>
    </row>
    <row r="233" spans="1:6" x14ac:dyDescent="0.3">
      <c r="A233">
        <v>72929553</v>
      </c>
      <c r="B233" t="s">
        <v>710</v>
      </c>
      <c r="C233">
        <v>28</v>
      </c>
      <c r="D233" t="s">
        <v>743</v>
      </c>
      <c r="E233" t="s">
        <v>254</v>
      </c>
      <c r="F233" s="82">
        <v>45689</v>
      </c>
    </row>
    <row r="234" spans="1:6" x14ac:dyDescent="0.3">
      <c r="A234">
        <v>60689240</v>
      </c>
      <c r="B234" t="s">
        <v>712</v>
      </c>
      <c r="C234">
        <v>19</v>
      </c>
      <c r="D234" t="s">
        <v>743</v>
      </c>
      <c r="E234" t="s">
        <v>254</v>
      </c>
      <c r="F234" s="82">
        <v>45894</v>
      </c>
    </row>
    <row r="235" spans="1:6" x14ac:dyDescent="0.3">
      <c r="A235">
        <v>43080891</v>
      </c>
      <c r="B235" t="s">
        <v>714</v>
      </c>
      <c r="C235">
        <v>26</v>
      </c>
      <c r="D235" t="s">
        <v>743</v>
      </c>
      <c r="E235" t="s">
        <v>254</v>
      </c>
      <c r="F235" s="82">
        <v>44942</v>
      </c>
    </row>
    <row r="236" spans="1:6" x14ac:dyDescent="0.3">
      <c r="A236">
        <v>73232083</v>
      </c>
      <c r="B236" t="s">
        <v>716</v>
      </c>
      <c r="C236">
        <v>53</v>
      </c>
      <c r="D236" t="s">
        <v>743</v>
      </c>
      <c r="E236" t="s">
        <v>254</v>
      </c>
      <c r="F236" s="82">
        <v>44256</v>
      </c>
    </row>
    <row r="237" spans="1:6" x14ac:dyDescent="0.3">
      <c r="A237">
        <v>44459799</v>
      </c>
      <c r="B237" t="s">
        <v>718</v>
      </c>
      <c r="C237">
        <v>21</v>
      </c>
      <c r="D237" t="s">
        <v>743</v>
      </c>
      <c r="E237" t="s">
        <v>254</v>
      </c>
      <c r="F237" s="82">
        <v>44386</v>
      </c>
    </row>
    <row r="238" spans="1:6" x14ac:dyDescent="0.3">
      <c r="A238">
        <v>40844864</v>
      </c>
      <c r="B238" t="s">
        <v>720</v>
      </c>
      <c r="C238">
        <v>20</v>
      </c>
      <c r="D238" t="s">
        <v>762</v>
      </c>
      <c r="E238" t="s">
        <v>254</v>
      </c>
      <c r="F238" s="82">
        <v>42401</v>
      </c>
    </row>
    <row r="239" spans="1:6" x14ac:dyDescent="0.3">
      <c r="A239">
        <v>72800407</v>
      </c>
      <c r="B239" t="s">
        <v>722</v>
      </c>
      <c r="C239">
        <v>30</v>
      </c>
      <c r="D239" t="s">
        <v>743</v>
      </c>
      <c r="E239" t="s">
        <v>254</v>
      </c>
      <c r="F239" s="82">
        <v>45978</v>
      </c>
    </row>
    <row r="240" spans="1:6" x14ac:dyDescent="0.3">
      <c r="A240">
        <v>72953180</v>
      </c>
      <c r="B240" t="s">
        <v>724</v>
      </c>
      <c r="C240">
        <v>45</v>
      </c>
      <c r="D240" t="s">
        <v>743</v>
      </c>
      <c r="E240" t="s">
        <v>254</v>
      </c>
      <c r="F240" s="82">
        <v>45850</v>
      </c>
    </row>
    <row r="241" spans="1:6" x14ac:dyDescent="0.3">
      <c r="A241">
        <v>46487469</v>
      </c>
      <c r="B241" t="s">
        <v>726</v>
      </c>
      <c r="C241">
        <v>24</v>
      </c>
      <c r="D241" t="s">
        <v>743</v>
      </c>
      <c r="E241" t="s">
        <v>254</v>
      </c>
      <c r="F241" s="82">
        <v>45352</v>
      </c>
    </row>
    <row r="242" spans="1:6" x14ac:dyDescent="0.3">
      <c r="A242">
        <v>72934576</v>
      </c>
      <c r="B242" t="s">
        <v>728</v>
      </c>
      <c r="C242">
        <v>23</v>
      </c>
      <c r="D242" t="s">
        <v>743</v>
      </c>
      <c r="E242" t="s">
        <v>254</v>
      </c>
      <c r="F242" s="82">
        <v>45658</v>
      </c>
    </row>
    <row r="243" spans="1:6" x14ac:dyDescent="0.3">
      <c r="A243">
        <v>73774386</v>
      </c>
      <c r="B243" t="s">
        <v>730</v>
      </c>
      <c r="C243">
        <v>21</v>
      </c>
      <c r="D243" t="s">
        <v>743</v>
      </c>
      <c r="E243" t="s">
        <v>254</v>
      </c>
      <c r="F243" s="82">
        <v>45428</v>
      </c>
    </row>
    <row r="244" spans="1:6" x14ac:dyDescent="0.3">
      <c r="A244">
        <v>46256864</v>
      </c>
      <c r="B244" t="s">
        <v>732</v>
      </c>
      <c r="C244">
        <v>59</v>
      </c>
      <c r="D244" t="s">
        <v>743</v>
      </c>
      <c r="E244" t="s">
        <v>254</v>
      </c>
      <c r="F244" s="82">
        <v>45931</v>
      </c>
    </row>
    <row r="245" spans="1:6" x14ac:dyDescent="0.3">
      <c r="A245">
        <v>74359870</v>
      </c>
      <c r="B245" t="s">
        <v>734</v>
      </c>
      <c r="C245">
        <v>38</v>
      </c>
      <c r="D245" t="s">
        <v>743</v>
      </c>
      <c r="E245" t="s">
        <v>254</v>
      </c>
      <c r="F245" s="82">
        <v>45818</v>
      </c>
    </row>
    <row r="246" spans="1:6" x14ac:dyDescent="0.3">
      <c r="A246">
        <v>60861524</v>
      </c>
      <c r="B246" t="s">
        <v>736</v>
      </c>
      <c r="C246">
        <v>23</v>
      </c>
      <c r="D246" t="s">
        <v>743</v>
      </c>
      <c r="E246" t="s">
        <v>254</v>
      </c>
      <c r="F246" s="82">
        <v>45459</v>
      </c>
    </row>
    <row r="247" spans="1:6" x14ac:dyDescent="0.3">
      <c r="A247">
        <v>60598898</v>
      </c>
      <c r="B247" t="s">
        <v>738</v>
      </c>
      <c r="C247">
        <v>33</v>
      </c>
      <c r="D247" t="s">
        <v>743</v>
      </c>
      <c r="E247" t="s">
        <v>254</v>
      </c>
      <c r="F247" s="82">
        <v>45826</v>
      </c>
    </row>
    <row r="248" spans="1:6" x14ac:dyDescent="0.3">
      <c r="A248">
        <v>48244836</v>
      </c>
      <c r="B248" t="s">
        <v>740</v>
      </c>
      <c r="C248">
        <v>32</v>
      </c>
      <c r="D248" t="s">
        <v>743</v>
      </c>
      <c r="E248" t="s">
        <v>254</v>
      </c>
      <c r="F248" s="82">
        <v>45931</v>
      </c>
    </row>
    <row r="249" spans="1:6" x14ac:dyDescent="0.3">
      <c r="A249">
        <v>47616528</v>
      </c>
      <c r="B249" t="s">
        <v>742</v>
      </c>
      <c r="C249">
        <v>33</v>
      </c>
      <c r="D249" t="s">
        <v>743</v>
      </c>
      <c r="E249" t="s">
        <v>254</v>
      </c>
      <c r="F249" s="82">
        <v>45783</v>
      </c>
    </row>
    <row r="250" spans="1:6" x14ac:dyDescent="0.3">
      <c r="A250">
        <v>42443628</v>
      </c>
      <c r="B250" t="s">
        <v>818</v>
      </c>
      <c r="C250">
        <v>41</v>
      </c>
      <c r="D250" t="s">
        <v>743</v>
      </c>
      <c r="E250" t="s">
        <v>253</v>
      </c>
      <c r="F250" s="82">
        <v>45931</v>
      </c>
    </row>
    <row r="251" spans="1:6" x14ac:dyDescent="0.3">
      <c r="A251">
        <v>75005471</v>
      </c>
      <c r="B251" t="s">
        <v>819</v>
      </c>
      <c r="C251">
        <v>19</v>
      </c>
      <c r="D251" t="s">
        <v>762</v>
      </c>
      <c r="E251" t="s">
        <v>253</v>
      </c>
      <c r="F251" s="82">
        <v>46058</v>
      </c>
    </row>
    <row r="252" spans="1:6" x14ac:dyDescent="0.3">
      <c r="A252">
        <v>46885196</v>
      </c>
      <c r="B252" t="s">
        <v>820</v>
      </c>
      <c r="C252">
        <v>34</v>
      </c>
      <c r="D252" t="s">
        <v>743</v>
      </c>
      <c r="E252" t="s">
        <v>253</v>
      </c>
      <c r="F252" s="82">
        <v>43983</v>
      </c>
    </row>
    <row r="253" spans="1:6" x14ac:dyDescent="0.3">
      <c r="A253">
        <v>41199499</v>
      </c>
      <c r="B253" t="s">
        <v>821</v>
      </c>
      <c r="C253">
        <v>44</v>
      </c>
      <c r="D253" t="s">
        <v>762</v>
      </c>
      <c r="E253" t="s">
        <v>253</v>
      </c>
      <c r="F253" s="82">
        <v>44013</v>
      </c>
    </row>
    <row r="254" spans="1:6" x14ac:dyDescent="0.3">
      <c r="A254">
        <v>47807482</v>
      </c>
      <c r="B254" t="s">
        <v>822</v>
      </c>
      <c r="C254">
        <v>33</v>
      </c>
      <c r="D254" t="s">
        <v>762</v>
      </c>
      <c r="E254" t="s">
        <v>253</v>
      </c>
      <c r="F254" s="82">
        <v>45323</v>
      </c>
    </row>
    <row r="255" spans="1:6" x14ac:dyDescent="0.3">
      <c r="A255">
        <v>44480318</v>
      </c>
      <c r="B255" t="s">
        <v>823</v>
      </c>
      <c r="C255">
        <v>38</v>
      </c>
      <c r="D255" t="s">
        <v>743</v>
      </c>
      <c r="E255" t="s">
        <v>253</v>
      </c>
      <c r="F255" s="82">
        <v>43891</v>
      </c>
    </row>
    <row r="256" spans="1:6" x14ac:dyDescent="0.3">
      <c r="A256">
        <v>41543661</v>
      </c>
      <c r="B256" t="s">
        <v>824</v>
      </c>
      <c r="C256">
        <v>44</v>
      </c>
      <c r="D256" t="s">
        <v>762</v>
      </c>
      <c r="E256" t="s">
        <v>253</v>
      </c>
      <c r="F256" s="82">
        <v>44013</v>
      </c>
    </row>
    <row r="257" spans="1:6" x14ac:dyDescent="0.3">
      <c r="A257">
        <v>75432931</v>
      </c>
      <c r="B257" t="s">
        <v>825</v>
      </c>
      <c r="C257">
        <v>28</v>
      </c>
      <c r="D257" t="s">
        <v>743</v>
      </c>
      <c r="E257" t="s">
        <v>253</v>
      </c>
      <c r="F257" s="82">
        <v>45822</v>
      </c>
    </row>
    <row r="258" spans="1:6" x14ac:dyDescent="0.3">
      <c r="A258">
        <v>71835006</v>
      </c>
      <c r="B258" t="s">
        <v>826</v>
      </c>
      <c r="C258">
        <v>28</v>
      </c>
      <c r="D258" t="s">
        <v>743</v>
      </c>
      <c r="E258" t="s">
        <v>253</v>
      </c>
      <c r="F258" s="82">
        <v>46054</v>
      </c>
    </row>
    <row r="259" spans="1:6" x14ac:dyDescent="0.3">
      <c r="A259">
        <v>76635136</v>
      </c>
      <c r="B259" t="s">
        <v>827</v>
      </c>
      <c r="C259">
        <v>21</v>
      </c>
      <c r="D259" t="s">
        <v>762</v>
      </c>
      <c r="E259" t="s">
        <v>253</v>
      </c>
      <c r="F259" s="82">
        <v>46037</v>
      </c>
    </row>
    <row r="260" spans="1:6" x14ac:dyDescent="0.3">
      <c r="A260">
        <v>47655505</v>
      </c>
      <c r="B260" t="s">
        <v>828</v>
      </c>
      <c r="C260">
        <v>33</v>
      </c>
      <c r="D260" t="s">
        <v>743</v>
      </c>
      <c r="E260" t="s">
        <v>253</v>
      </c>
      <c r="F260" s="82">
        <v>45931</v>
      </c>
    </row>
    <row r="261" spans="1:6" x14ac:dyDescent="0.3">
      <c r="A261">
        <v>10230447</v>
      </c>
      <c r="B261" t="s">
        <v>829</v>
      </c>
      <c r="C261">
        <v>51</v>
      </c>
      <c r="D261" t="s">
        <v>743</v>
      </c>
      <c r="E261" t="s">
        <v>253</v>
      </c>
      <c r="F261" s="82">
        <v>45825</v>
      </c>
    </row>
    <row r="262" spans="1:6" x14ac:dyDescent="0.3">
      <c r="A262">
        <v>77364000</v>
      </c>
      <c r="B262" t="s">
        <v>830</v>
      </c>
      <c r="C262">
        <v>24</v>
      </c>
      <c r="D262" t="s">
        <v>762</v>
      </c>
      <c r="E262" t="s">
        <v>253</v>
      </c>
      <c r="F262" s="82">
        <v>45870</v>
      </c>
    </row>
    <row r="263" spans="1:6" x14ac:dyDescent="0.3">
      <c r="A263">
        <v>22290603</v>
      </c>
      <c r="B263" t="s">
        <v>831</v>
      </c>
      <c r="C263">
        <v>54</v>
      </c>
      <c r="D263" t="s">
        <v>743</v>
      </c>
      <c r="E263" t="s">
        <v>253</v>
      </c>
      <c r="F263" s="82">
        <v>44044</v>
      </c>
    </row>
    <row r="264" spans="1:6" x14ac:dyDescent="0.3">
      <c r="A264">
        <v>60861270</v>
      </c>
      <c r="B264" t="s">
        <v>832</v>
      </c>
      <c r="C264">
        <v>19</v>
      </c>
      <c r="D264" t="s">
        <v>762</v>
      </c>
      <c r="E264" t="s">
        <v>253</v>
      </c>
      <c r="F264" s="82">
        <v>46054</v>
      </c>
    </row>
    <row r="265" spans="1:6" x14ac:dyDescent="0.3">
      <c r="A265">
        <v>40557948</v>
      </c>
      <c r="B265" t="s">
        <v>833</v>
      </c>
      <c r="C265">
        <v>45</v>
      </c>
      <c r="D265" t="s">
        <v>762</v>
      </c>
      <c r="E265" t="s">
        <v>253</v>
      </c>
      <c r="F265" s="82">
        <v>45922</v>
      </c>
    </row>
    <row r="266" spans="1:6" x14ac:dyDescent="0.3">
      <c r="A266">
        <v>72799532</v>
      </c>
      <c r="B266" t="s">
        <v>834</v>
      </c>
      <c r="C266">
        <v>24</v>
      </c>
      <c r="D266" t="s">
        <v>762</v>
      </c>
      <c r="E266" t="s">
        <v>253</v>
      </c>
      <c r="F266" s="82">
        <v>44911</v>
      </c>
    </row>
    <row r="267" spans="1:6" x14ac:dyDescent="0.3">
      <c r="A267">
        <v>76179294</v>
      </c>
      <c r="B267" t="s">
        <v>835</v>
      </c>
      <c r="C267">
        <v>29</v>
      </c>
      <c r="D267" t="s">
        <v>762</v>
      </c>
      <c r="E267" t="s">
        <v>253</v>
      </c>
      <c r="F267" s="82">
        <v>45154</v>
      </c>
    </row>
    <row r="268" spans="1:6" x14ac:dyDescent="0.3">
      <c r="A268">
        <v>7446365</v>
      </c>
      <c r="B268" t="s">
        <v>836</v>
      </c>
      <c r="C268">
        <v>59</v>
      </c>
      <c r="D268" t="s">
        <v>743</v>
      </c>
      <c r="E268" t="s">
        <v>253</v>
      </c>
      <c r="F268" s="82">
        <v>45874</v>
      </c>
    </row>
    <row r="269" spans="1:6" x14ac:dyDescent="0.3">
      <c r="A269">
        <v>47252942</v>
      </c>
      <c r="B269" t="s">
        <v>837</v>
      </c>
      <c r="C269">
        <v>35</v>
      </c>
      <c r="D269" t="s">
        <v>743</v>
      </c>
      <c r="E269" t="s">
        <v>253</v>
      </c>
      <c r="F269" s="82">
        <v>45545</v>
      </c>
    </row>
    <row r="270" spans="1:6" x14ac:dyDescent="0.3">
      <c r="A270">
        <v>72196907</v>
      </c>
      <c r="B270" t="s">
        <v>838</v>
      </c>
      <c r="C270">
        <v>24</v>
      </c>
      <c r="D270" t="s">
        <v>743</v>
      </c>
      <c r="E270" t="s">
        <v>253</v>
      </c>
      <c r="F270" s="82">
        <v>45385</v>
      </c>
    </row>
    <row r="271" spans="1:6" x14ac:dyDescent="0.3">
      <c r="A271">
        <v>46658605</v>
      </c>
      <c r="B271" t="s">
        <v>839</v>
      </c>
      <c r="C271">
        <v>35</v>
      </c>
      <c r="D271" t="s">
        <v>743</v>
      </c>
      <c r="E271" t="s">
        <v>253</v>
      </c>
      <c r="F271" s="82">
        <v>45182</v>
      </c>
    </row>
    <row r="272" spans="1:6" x14ac:dyDescent="0.3">
      <c r="A272">
        <v>48053736</v>
      </c>
      <c r="B272" t="s">
        <v>840</v>
      </c>
      <c r="C272">
        <v>32</v>
      </c>
      <c r="D272" t="s">
        <v>743</v>
      </c>
      <c r="E272" t="s">
        <v>253</v>
      </c>
      <c r="F272" s="82">
        <v>46054</v>
      </c>
    </row>
    <row r="273" spans="1:6" x14ac:dyDescent="0.3">
      <c r="A273">
        <v>72958987</v>
      </c>
      <c r="B273" t="s">
        <v>841</v>
      </c>
      <c r="C273">
        <v>26</v>
      </c>
      <c r="D273" t="s">
        <v>743</v>
      </c>
      <c r="E273" t="s">
        <v>253</v>
      </c>
      <c r="F273" s="82">
        <v>45323</v>
      </c>
    </row>
    <row r="274" spans="1:6" x14ac:dyDescent="0.3">
      <c r="A274">
        <v>75485883</v>
      </c>
      <c r="B274" t="s">
        <v>842</v>
      </c>
      <c r="C274">
        <v>25</v>
      </c>
      <c r="D274" t="s">
        <v>762</v>
      </c>
      <c r="E274" t="s">
        <v>253</v>
      </c>
      <c r="F274" s="82">
        <v>46062</v>
      </c>
    </row>
    <row r="275" spans="1:6" x14ac:dyDescent="0.3">
      <c r="A275">
        <v>44858853</v>
      </c>
      <c r="B275" t="s">
        <v>843</v>
      </c>
      <c r="C275">
        <v>38</v>
      </c>
      <c r="D275" t="s">
        <v>743</v>
      </c>
      <c r="E275" t="s">
        <v>253</v>
      </c>
      <c r="F275" s="82">
        <v>45261</v>
      </c>
    </row>
    <row r="276" spans="1:6" x14ac:dyDescent="0.3">
      <c r="A276">
        <v>46230193</v>
      </c>
      <c r="B276" t="s">
        <v>844</v>
      </c>
      <c r="C276">
        <v>36</v>
      </c>
      <c r="D276" t="s">
        <v>743</v>
      </c>
      <c r="E276" t="s">
        <v>253</v>
      </c>
      <c r="F276" s="82">
        <v>45839</v>
      </c>
    </row>
    <row r="277" spans="1:6" x14ac:dyDescent="0.3">
      <c r="A277">
        <v>77538261</v>
      </c>
      <c r="B277" t="s">
        <v>845</v>
      </c>
      <c r="C277">
        <v>27</v>
      </c>
      <c r="D277" t="s">
        <v>743</v>
      </c>
      <c r="E277" t="s">
        <v>253</v>
      </c>
      <c r="F277" s="82">
        <v>44652</v>
      </c>
    </row>
    <row r="278" spans="1:6" x14ac:dyDescent="0.3">
      <c r="A278">
        <v>46070873</v>
      </c>
      <c r="B278" t="s">
        <v>846</v>
      </c>
      <c r="C278">
        <v>36</v>
      </c>
      <c r="D278" t="s">
        <v>743</v>
      </c>
      <c r="E278" t="s">
        <v>253</v>
      </c>
      <c r="F278" s="82">
        <v>45156</v>
      </c>
    </row>
    <row r="279" spans="1:6" x14ac:dyDescent="0.3">
      <c r="A279">
        <v>76678783</v>
      </c>
      <c r="B279" t="s">
        <v>847</v>
      </c>
      <c r="C279">
        <v>27</v>
      </c>
      <c r="D279" t="s">
        <v>762</v>
      </c>
      <c r="E279" t="s">
        <v>253</v>
      </c>
      <c r="F279" s="82">
        <v>45017</v>
      </c>
    </row>
    <row r="280" spans="1:6" x14ac:dyDescent="0.3">
      <c r="A280">
        <v>48500183</v>
      </c>
      <c r="B280" t="s">
        <v>848</v>
      </c>
      <c r="C280">
        <v>32</v>
      </c>
      <c r="D280" t="s">
        <v>743</v>
      </c>
      <c r="E280" t="s">
        <v>253</v>
      </c>
      <c r="F280" s="82">
        <v>45139</v>
      </c>
    </row>
    <row r="281" spans="1:6" x14ac:dyDescent="0.3">
      <c r="A281">
        <v>48273249</v>
      </c>
      <c r="B281" t="s">
        <v>849</v>
      </c>
      <c r="C281">
        <v>32</v>
      </c>
      <c r="D281" t="s">
        <v>762</v>
      </c>
      <c r="E281" t="s">
        <v>253</v>
      </c>
      <c r="F281" s="82">
        <v>45743</v>
      </c>
    </row>
    <row r="282" spans="1:6" x14ac:dyDescent="0.3">
      <c r="A282">
        <v>20891889</v>
      </c>
      <c r="B282" t="s">
        <v>850</v>
      </c>
      <c r="C282">
        <v>57</v>
      </c>
      <c r="D282" t="s">
        <v>762</v>
      </c>
      <c r="E282" t="s">
        <v>253</v>
      </c>
      <c r="F282" s="82">
        <v>43983</v>
      </c>
    </row>
    <row r="283" spans="1:6" x14ac:dyDescent="0.3">
      <c r="A283">
        <v>70092144</v>
      </c>
      <c r="B283" t="s">
        <v>851</v>
      </c>
      <c r="C283">
        <v>30</v>
      </c>
      <c r="D283" t="s">
        <v>762</v>
      </c>
      <c r="E283" t="s">
        <v>253</v>
      </c>
      <c r="F283" s="82">
        <v>45200</v>
      </c>
    </row>
    <row r="284" spans="1:6" x14ac:dyDescent="0.3">
      <c r="A284">
        <v>45129865</v>
      </c>
      <c r="B284" t="s">
        <v>852</v>
      </c>
      <c r="C284">
        <v>37</v>
      </c>
      <c r="D284" t="s">
        <v>743</v>
      </c>
      <c r="E284" t="s">
        <v>253</v>
      </c>
      <c r="F284" s="82">
        <v>45526</v>
      </c>
    </row>
    <row r="285" spans="1:6" x14ac:dyDescent="0.3">
      <c r="A285">
        <v>10620483</v>
      </c>
      <c r="B285" t="s">
        <v>853</v>
      </c>
      <c r="C285">
        <v>48</v>
      </c>
      <c r="D285" t="s">
        <v>743</v>
      </c>
      <c r="E285" t="s">
        <v>253</v>
      </c>
      <c r="F285" s="82">
        <v>44866</v>
      </c>
    </row>
    <row r="286" spans="1:6" x14ac:dyDescent="0.3">
      <c r="A286">
        <v>76372190</v>
      </c>
      <c r="B286" t="s">
        <v>854</v>
      </c>
      <c r="C286">
        <v>30</v>
      </c>
      <c r="D286" t="s">
        <v>743</v>
      </c>
      <c r="E286" t="s">
        <v>253</v>
      </c>
      <c r="F286" s="82">
        <v>45734</v>
      </c>
    </row>
    <row r="287" spans="1:6" x14ac:dyDescent="0.3">
      <c r="A287">
        <v>42058618</v>
      </c>
      <c r="B287" t="s">
        <v>855</v>
      </c>
      <c r="C287">
        <v>43</v>
      </c>
      <c r="D287" t="s">
        <v>743</v>
      </c>
      <c r="E287" t="s">
        <v>253</v>
      </c>
      <c r="F287" s="82">
        <v>46014</v>
      </c>
    </row>
    <row r="288" spans="1:6" x14ac:dyDescent="0.3">
      <c r="A288">
        <v>47112805</v>
      </c>
      <c r="B288" t="s">
        <v>856</v>
      </c>
      <c r="C288">
        <v>34</v>
      </c>
      <c r="D288" t="s">
        <v>743</v>
      </c>
      <c r="E288" t="s">
        <v>253</v>
      </c>
      <c r="F288" s="82">
        <v>45756</v>
      </c>
    </row>
    <row r="289" spans="1:6" x14ac:dyDescent="0.3">
      <c r="A289">
        <v>75999235</v>
      </c>
      <c r="B289" t="s">
        <v>857</v>
      </c>
      <c r="C289">
        <v>28</v>
      </c>
      <c r="D289" t="s">
        <v>743</v>
      </c>
      <c r="E289" t="s">
        <v>253</v>
      </c>
      <c r="F289" s="82">
        <v>45661</v>
      </c>
    </row>
    <row r="290" spans="1:6" x14ac:dyDescent="0.3">
      <c r="A290">
        <v>77389663</v>
      </c>
      <c r="B290" t="s">
        <v>858</v>
      </c>
      <c r="C290">
        <v>30</v>
      </c>
      <c r="D290" t="s">
        <v>743</v>
      </c>
      <c r="E290" t="s">
        <v>253</v>
      </c>
      <c r="F290" s="82">
        <v>44621</v>
      </c>
    </row>
    <row r="291" spans="1:6" x14ac:dyDescent="0.3">
      <c r="A291">
        <v>74595908</v>
      </c>
      <c r="B291" t="s">
        <v>859</v>
      </c>
      <c r="C291">
        <v>26</v>
      </c>
      <c r="D291" t="s">
        <v>762</v>
      </c>
      <c r="E291" t="s">
        <v>253</v>
      </c>
      <c r="F291" s="82">
        <v>46059</v>
      </c>
    </row>
    <row r="292" spans="1:6" x14ac:dyDescent="0.3">
      <c r="A292">
        <v>43924530</v>
      </c>
      <c r="B292" t="s">
        <v>860</v>
      </c>
      <c r="C292">
        <v>39</v>
      </c>
      <c r="D292" t="s">
        <v>743</v>
      </c>
      <c r="E292" t="s">
        <v>253</v>
      </c>
      <c r="F292" s="82">
        <v>46048</v>
      </c>
    </row>
    <row r="293" spans="1:6" x14ac:dyDescent="0.3">
      <c r="A293">
        <v>47542003</v>
      </c>
      <c r="B293" t="s">
        <v>861</v>
      </c>
      <c r="C293">
        <v>34</v>
      </c>
      <c r="D293" t="s">
        <v>743</v>
      </c>
      <c r="E293" t="s">
        <v>253</v>
      </c>
      <c r="F293" s="82">
        <v>45812</v>
      </c>
    </row>
    <row r="294" spans="1:6" x14ac:dyDescent="0.3">
      <c r="A294">
        <v>75925221</v>
      </c>
      <c r="B294" t="s">
        <v>862</v>
      </c>
      <c r="C294">
        <v>28</v>
      </c>
      <c r="D294" t="s">
        <v>743</v>
      </c>
      <c r="E294" t="s">
        <v>253</v>
      </c>
      <c r="F294" s="82">
        <v>45891</v>
      </c>
    </row>
    <row r="295" spans="1:6" x14ac:dyDescent="0.3">
      <c r="A295">
        <v>70669280</v>
      </c>
      <c r="B295" t="s">
        <v>863</v>
      </c>
      <c r="C295">
        <v>28</v>
      </c>
      <c r="D295" t="s">
        <v>743</v>
      </c>
      <c r="E295" t="s">
        <v>253</v>
      </c>
      <c r="F295" s="82">
        <v>45794</v>
      </c>
    </row>
    <row r="296" spans="1:6" x14ac:dyDescent="0.3">
      <c r="A296">
        <v>75585359</v>
      </c>
      <c r="B296" t="s">
        <v>864</v>
      </c>
      <c r="C296">
        <v>28</v>
      </c>
      <c r="D296" t="s">
        <v>762</v>
      </c>
      <c r="E296" t="s">
        <v>253</v>
      </c>
      <c r="F296" s="82">
        <v>46054</v>
      </c>
    </row>
    <row r="297" spans="1:6" x14ac:dyDescent="0.3">
      <c r="A297">
        <v>47711649</v>
      </c>
      <c r="B297" t="s">
        <v>865</v>
      </c>
      <c r="C297">
        <v>33</v>
      </c>
      <c r="D297" t="s">
        <v>743</v>
      </c>
      <c r="E297" t="s">
        <v>253</v>
      </c>
      <c r="F297" s="82">
        <v>45001</v>
      </c>
    </row>
    <row r="298" spans="1:6" x14ac:dyDescent="0.3">
      <c r="A298">
        <v>43100477</v>
      </c>
      <c r="B298" t="s">
        <v>866</v>
      </c>
      <c r="C298">
        <v>40</v>
      </c>
      <c r="D298" t="s">
        <v>743</v>
      </c>
      <c r="E298" t="s">
        <v>253</v>
      </c>
      <c r="F298" s="82">
        <v>45306</v>
      </c>
    </row>
    <row r="299" spans="1:6" x14ac:dyDescent="0.3">
      <c r="A299">
        <v>10194994</v>
      </c>
      <c r="B299" t="s">
        <v>867</v>
      </c>
      <c r="C299">
        <v>51</v>
      </c>
      <c r="D299" t="s">
        <v>743</v>
      </c>
      <c r="E299" t="s">
        <v>253</v>
      </c>
      <c r="F299" s="82">
        <v>45627</v>
      </c>
    </row>
    <row r="300" spans="1:6" x14ac:dyDescent="0.3">
      <c r="A300">
        <v>74985949</v>
      </c>
      <c r="B300" t="s">
        <v>868</v>
      </c>
      <c r="C300">
        <v>28</v>
      </c>
      <c r="D300" t="s">
        <v>762</v>
      </c>
      <c r="E300" t="s">
        <v>253</v>
      </c>
      <c r="F300" s="82">
        <v>44652</v>
      </c>
    </row>
    <row r="301" spans="1:6" x14ac:dyDescent="0.3">
      <c r="A301">
        <v>41283128</v>
      </c>
      <c r="B301" t="s">
        <v>869</v>
      </c>
      <c r="C301">
        <v>44</v>
      </c>
      <c r="D301" t="s">
        <v>762</v>
      </c>
      <c r="E301" t="s">
        <v>253</v>
      </c>
      <c r="F301" s="82">
        <v>45597</v>
      </c>
    </row>
    <row r="302" spans="1:6" x14ac:dyDescent="0.3">
      <c r="A302">
        <v>46997054</v>
      </c>
      <c r="B302" t="s">
        <v>870</v>
      </c>
      <c r="C302">
        <v>34</v>
      </c>
      <c r="D302" t="s">
        <v>743</v>
      </c>
      <c r="E302" t="s">
        <v>253</v>
      </c>
      <c r="F302" s="82">
        <v>45398</v>
      </c>
    </row>
    <row r="303" spans="1:6" x14ac:dyDescent="0.3">
      <c r="A303">
        <v>46386979</v>
      </c>
      <c r="B303" t="s">
        <v>871</v>
      </c>
      <c r="C303">
        <v>35</v>
      </c>
      <c r="D303" t="s">
        <v>743</v>
      </c>
      <c r="E303" t="s">
        <v>253</v>
      </c>
      <c r="F303" s="82">
        <v>45847</v>
      </c>
    </row>
    <row r="304" spans="1:6" x14ac:dyDescent="0.3">
      <c r="A304">
        <v>42955926</v>
      </c>
      <c r="B304" t="s">
        <v>872</v>
      </c>
      <c r="C304">
        <v>41</v>
      </c>
      <c r="D304" t="s">
        <v>762</v>
      </c>
      <c r="E304" t="s">
        <v>253</v>
      </c>
      <c r="F304" s="82">
        <v>45627</v>
      </c>
    </row>
    <row r="305" spans="1:6" x14ac:dyDescent="0.3">
      <c r="A305">
        <v>74564966</v>
      </c>
      <c r="B305" t="s">
        <v>873</v>
      </c>
      <c r="C305">
        <v>22</v>
      </c>
      <c r="D305" t="s">
        <v>743</v>
      </c>
      <c r="E305" t="s">
        <v>253</v>
      </c>
      <c r="F305" s="82">
        <v>45323</v>
      </c>
    </row>
    <row r="306" spans="1:6" x14ac:dyDescent="0.3">
      <c r="A306">
        <v>47485649</v>
      </c>
      <c r="B306" t="s">
        <v>874</v>
      </c>
      <c r="C306">
        <v>33</v>
      </c>
      <c r="D306" t="s">
        <v>743</v>
      </c>
      <c r="E306" t="s">
        <v>253</v>
      </c>
      <c r="F306" s="82">
        <v>45741</v>
      </c>
    </row>
    <row r="307" spans="1:6" x14ac:dyDescent="0.3">
      <c r="A307">
        <v>76357386</v>
      </c>
      <c r="B307" t="s">
        <v>875</v>
      </c>
      <c r="C307">
        <v>26</v>
      </c>
      <c r="D307" t="s">
        <v>743</v>
      </c>
      <c r="E307" t="s">
        <v>253</v>
      </c>
      <c r="F307" s="82">
        <v>46054</v>
      </c>
    </row>
    <row r="308" spans="1:6" x14ac:dyDescent="0.3">
      <c r="A308">
        <v>44066831</v>
      </c>
      <c r="B308" t="s">
        <v>876</v>
      </c>
      <c r="C308">
        <v>39</v>
      </c>
      <c r="D308" t="s">
        <v>762</v>
      </c>
      <c r="E308" t="s">
        <v>253</v>
      </c>
      <c r="F308" s="82">
        <v>44013</v>
      </c>
    </row>
    <row r="309" spans="1:6" x14ac:dyDescent="0.3">
      <c r="A309">
        <v>71171578</v>
      </c>
      <c r="B309" t="s">
        <v>877</v>
      </c>
      <c r="C309">
        <v>33</v>
      </c>
      <c r="D309" t="s">
        <v>743</v>
      </c>
      <c r="E309" t="s">
        <v>253</v>
      </c>
      <c r="F309" s="82">
        <v>46043</v>
      </c>
    </row>
    <row r="310" spans="1:6" x14ac:dyDescent="0.3">
      <c r="A310">
        <v>46280945</v>
      </c>
      <c r="B310" t="s">
        <v>878</v>
      </c>
      <c r="C310">
        <v>36</v>
      </c>
      <c r="D310" t="s">
        <v>743</v>
      </c>
      <c r="E310" t="s">
        <v>253</v>
      </c>
      <c r="F310" s="82">
        <v>45395</v>
      </c>
    </row>
    <row r="311" spans="1:6" x14ac:dyDescent="0.3">
      <c r="A311">
        <v>71962121</v>
      </c>
      <c r="B311" t="s">
        <v>879</v>
      </c>
      <c r="C311">
        <v>27</v>
      </c>
      <c r="D311" t="s">
        <v>743</v>
      </c>
      <c r="E311" t="s">
        <v>253</v>
      </c>
      <c r="F311" s="82">
        <v>46030</v>
      </c>
    </row>
    <row r="312" spans="1:6" x14ac:dyDescent="0.3">
      <c r="A312">
        <v>43665981</v>
      </c>
      <c r="B312" t="s">
        <v>880</v>
      </c>
      <c r="C312">
        <v>39</v>
      </c>
      <c r="D312" t="s">
        <v>762</v>
      </c>
      <c r="E312" t="s">
        <v>253</v>
      </c>
      <c r="F312" s="82">
        <v>45536</v>
      </c>
    </row>
    <row r="313" spans="1:6" x14ac:dyDescent="0.3">
      <c r="A313">
        <v>48205519</v>
      </c>
      <c r="B313" t="s">
        <v>881</v>
      </c>
      <c r="C313">
        <v>33</v>
      </c>
      <c r="D313" t="s">
        <v>743</v>
      </c>
      <c r="E313" t="s">
        <v>253</v>
      </c>
      <c r="F313" s="82">
        <v>46054</v>
      </c>
    </row>
    <row r="314" spans="1:6" x14ac:dyDescent="0.3">
      <c r="A314">
        <v>73340123</v>
      </c>
      <c r="B314" t="s">
        <v>882</v>
      </c>
      <c r="C314">
        <v>28</v>
      </c>
      <c r="D314" t="s">
        <v>743</v>
      </c>
      <c r="E314" t="s">
        <v>253</v>
      </c>
      <c r="F314" s="82">
        <v>45778</v>
      </c>
    </row>
    <row r="315" spans="1:6" x14ac:dyDescent="0.3">
      <c r="A315">
        <v>74440831</v>
      </c>
      <c r="B315" t="s">
        <v>883</v>
      </c>
      <c r="C315">
        <v>32</v>
      </c>
      <c r="D315" t="s">
        <v>762</v>
      </c>
      <c r="E315" t="s">
        <v>253</v>
      </c>
      <c r="F315" s="82">
        <v>45885</v>
      </c>
    </row>
    <row r="316" spans="1:6" x14ac:dyDescent="0.3">
      <c r="A316">
        <v>47700561</v>
      </c>
      <c r="B316" t="s">
        <v>884</v>
      </c>
      <c r="C316">
        <v>35</v>
      </c>
      <c r="D316" t="s">
        <v>762</v>
      </c>
      <c r="E316" t="s">
        <v>253</v>
      </c>
      <c r="F316" s="82">
        <v>45323</v>
      </c>
    </row>
    <row r="317" spans="1:6" x14ac:dyDescent="0.3">
      <c r="A317">
        <v>73012321</v>
      </c>
      <c r="B317" t="s">
        <v>885</v>
      </c>
      <c r="C317">
        <v>30</v>
      </c>
      <c r="D317" t="s">
        <v>762</v>
      </c>
      <c r="E317" t="s">
        <v>253</v>
      </c>
      <c r="F317" s="82">
        <v>46037</v>
      </c>
    </row>
    <row r="318" spans="1:6" x14ac:dyDescent="0.3">
      <c r="A318">
        <v>48249216</v>
      </c>
      <c r="B318" t="s">
        <v>886</v>
      </c>
      <c r="C318">
        <v>32</v>
      </c>
      <c r="D318" t="s">
        <v>743</v>
      </c>
      <c r="E318" t="s">
        <v>253</v>
      </c>
      <c r="F318" s="82">
        <v>45839</v>
      </c>
    </row>
    <row r="319" spans="1:6" x14ac:dyDescent="0.3">
      <c r="A319">
        <v>75171733</v>
      </c>
      <c r="B319" t="s">
        <v>887</v>
      </c>
      <c r="C319">
        <v>27</v>
      </c>
      <c r="D319" t="s">
        <v>743</v>
      </c>
      <c r="E319" t="s">
        <v>253</v>
      </c>
      <c r="F319" s="82">
        <v>46023</v>
      </c>
    </row>
    <row r="320" spans="1:6" x14ac:dyDescent="0.3">
      <c r="A320">
        <v>48114913</v>
      </c>
      <c r="B320" t="s">
        <v>888</v>
      </c>
      <c r="C320">
        <v>32</v>
      </c>
      <c r="D320" t="s">
        <v>743</v>
      </c>
      <c r="E320" t="s">
        <v>253</v>
      </c>
      <c r="F320" s="82">
        <v>45835</v>
      </c>
    </row>
    <row r="321" spans="1:6" x14ac:dyDescent="0.3">
      <c r="A321">
        <v>73035126</v>
      </c>
      <c r="B321" t="s">
        <v>889</v>
      </c>
      <c r="C321">
        <v>31</v>
      </c>
      <c r="D321" t="s">
        <v>743</v>
      </c>
      <c r="E321" t="s">
        <v>253</v>
      </c>
      <c r="F321" s="82">
        <v>45778</v>
      </c>
    </row>
    <row r="322" spans="1:6" x14ac:dyDescent="0.3">
      <c r="A322">
        <v>70141341</v>
      </c>
      <c r="B322" t="s">
        <v>890</v>
      </c>
      <c r="C322">
        <v>28</v>
      </c>
      <c r="D322" t="s">
        <v>762</v>
      </c>
      <c r="E322" t="s">
        <v>253</v>
      </c>
      <c r="F322" s="82">
        <v>44013</v>
      </c>
    </row>
    <row r="323" spans="1:6" x14ac:dyDescent="0.3">
      <c r="A323">
        <v>48459900</v>
      </c>
      <c r="B323" t="s">
        <v>891</v>
      </c>
      <c r="C323">
        <v>32</v>
      </c>
      <c r="D323" t="s">
        <v>743</v>
      </c>
      <c r="E323" t="s">
        <v>253</v>
      </c>
      <c r="F323" s="82">
        <v>45820</v>
      </c>
    </row>
    <row r="324" spans="1:6" x14ac:dyDescent="0.3">
      <c r="A324">
        <v>42913143</v>
      </c>
      <c r="B324" t="s">
        <v>892</v>
      </c>
      <c r="C324">
        <v>40</v>
      </c>
      <c r="D324" t="s">
        <v>762</v>
      </c>
      <c r="E324" t="s">
        <v>253</v>
      </c>
      <c r="F324" s="82">
        <v>46054</v>
      </c>
    </row>
    <row r="325" spans="1:6" x14ac:dyDescent="0.3">
      <c r="A325">
        <v>72885423</v>
      </c>
      <c r="B325" t="s">
        <v>893</v>
      </c>
      <c r="C325">
        <v>24</v>
      </c>
      <c r="D325" t="s">
        <v>743</v>
      </c>
      <c r="E325" t="s">
        <v>253</v>
      </c>
      <c r="F325" s="82">
        <v>45434</v>
      </c>
    </row>
    <row r="326" spans="1:6" x14ac:dyDescent="0.3">
      <c r="A326">
        <v>43135546</v>
      </c>
      <c r="B326" t="s">
        <v>894</v>
      </c>
      <c r="C326">
        <v>40</v>
      </c>
      <c r="D326" t="s">
        <v>743</v>
      </c>
      <c r="E326" t="s">
        <v>253</v>
      </c>
      <c r="F326" s="82">
        <v>45692</v>
      </c>
    </row>
    <row r="327" spans="1:6" x14ac:dyDescent="0.3">
      <c r="A327">
        <v>76407966</v>
      </c>
      <c r="B327" t="s">
        <v>895</v>
      </c>
      <c r="C327">
        <v>22</v>
      </c>
      <c r="D327" t="s">
        <v>743</v>
      </c>
      <c r="E327" t="s">
        <v>253</v>
      </c>
      <c r="F327" s="82">
        <v>45474</v>
      </c>
    </row>
    <row r="328" spans="1:6" x14ac:dyDescent="0.3">
      <c r="A328">
        <v>44594552</v>
      </c>
      <c r="B328" t="s">
        <v>896</v>
      </c>
      <c r="C328">
        <v>41</v>
      </c>
      <c r="D328" t="s">
        <v>743</v>
      </c>
      <c r="E328" t="s">
        <v>253</v>
      </c>
      <c r="F328" s="82">
        <v>45352</v>
      </c>
    </row>
    <row r="329" spans="1:6" x14ac:dyDescent="0.3">
      <c r="A329">
        <v>74733656</v>
      </c>
      <c r="B329" t="s">
        <v>897</v>
      </c>
      <c r="C329">
        <v>23</v>
      </c>
      <c r="D329" t="s">
        <v>743</v>
      </c>
      <c r="E329" t="s">
        <v>253</v>
      </c>
      <c r="F329" s="82">
        <v>45804</v>
      </c>
    </row>
    <row r="330" spans="1:6" x14ac:dyDescent="0.3">
      <c r="A330">
        <v>70897760</v>
      </c>
      <c r="B330" t="s">
        <v>898</v>
      </c>
      <c r="C330">
        <v>26</v>
      </c>
      <c r="D330" t="s">
        <v>743</v>
      </c>
      <c r="E330" t="s">
        <v>253</v>
      </c>
      <c r="F330" s="82">
        <v>46027</v>
      </c>
    </row>
    <row r="331" spans="1:6" x14ac:dyDescent="0.3">
      <c r="A331">
        <v>47059163</v>
      </c>
      <c r="B331" t="s">
        <v>899</v>
      </c>
      <c r="C331">
        <v>34</v>
      </c>
      <c r="D331" t="s">
        <v>743</v>
      </c>
      <c r="E331" t="s">
        <v>253</v>
      </c>
      <c r="F331" s="82">
        <v>45992</v>
      </c>
    </row>
    <row r="332" spans="1:6" x14ac:dyDescent="0.3">
      <c r="A332">
        <v>43692640</v>
      </c>
      <c r="B332" t="s">
        <v>900</v>
      </c>
      <c r="C332">
        <v>40</v>
      </c>
      <c r="D332" t="s">
        <v>762</v>
      </c>
      <c r="E332" t="s">
        <v>253</v>
      </c>
      <c r="F332" s="82">
        <v>44287</v>
      </c>
    </row>
    <row r="333" spans="1:6" x14ac:dyDescent="0.3">
      <c r="A333">
        <v>44263866</v>
      </c>
      <c r="B333" t="s">
        <v>901</v>
      </c>
      <c r="C333">
        <v>38</v>
      </c>
      <c r="D333" t="s">
        <v>743</v>
      </c>
      <c r="E333" t="s">
        <v>253</v>
      </c>
      <c r="F333" s="82">
        <v>43983</v>
      </c>
    </row>
    <row r="334" spans="1:6" x14ac:dyDescent="0.3">
      <c r="A334">
        <v>42963572</v>
      </c>
      <c r="B334" t="s">
        <v>902</v>
      </c>
      <c r="C334">
        <v>40</v>
      </c>
      <c r="D334" t="s">
        <v>762</v>
      </c>
      <c r="E334" t="s">
        <v>253</v>
      </c>
      <c r="F334" s="82">
        <v>44652</v>
      </c>
    </row>
    <row r="335" spans="1:6" x14ac:dyDescent="0.3">
      <c r="A335">
        <v>71397385</v>
      </c>
      <c r="B335" t="s">
        <v>903</v>
      </c>
      <c r="C335">
        <v>30</v>
      </c>
      <c r="D335" t="s">
        <v>762</v>
      </c>
      <c r="E335" t="s">
        <v>253</v>
      </c>
      <c r="F335" s="82">
        <v>46054</v>
      </c>
    </row>
    <row r="336" spans="1:6" x14ac:dyDescent="0.3">
      <c r="A336">
        <v>75239036</v>
      </c>
      <c r="B336" t="s">
        <v>904</v>
      </c>
      <c r="C336">
        <v>29</v>
      </c>
      <c r="D336" t="s">
        <v>762</v>
      </c>
      <c r="E336" t="s">
        <v>253</v>
      </c>
      <c r="F336" s="82">
        <v>45505</v>
      </c>
    </row>
    <row r="337" spans="1:6" x14ac:dyDescent="0.3">
      <c r="A337">
        <v>9940945</v>
      </c>
      <c r="B337" t="s">
        <v>905</v>
      </c>
      <c r="C337">
        <v>51</v>
      </c>
      <c r="D337" t="s">
        <v>743</v>
      </c>
      <c r="E337" t="s">
        <v>253</v>
      </c>
      <c r="F337" s="82">
        <v>44044</v>
      </c>
    </row>
    <row r="338" spans="1:6" x14ac:dyDescent="0.3">
      <c r="A338">
        <v>76234835</v>
      </c>
      <c r="B338" t="s">
        <v>906</v>
      </c>
      <c r="C338">
        <v>27</v>
      </c>
      <c r="D338" t="s">
        <v>762</v>
      </c>
      <c r="E338" t="s">
        <v>253</v>
      </c>
      <c r="F338" s="82">
        <v>45236</v>
      </c>
    </row>
    <row r="339" spans="1:6" x14ac:dyDescent="0.3">
      <c r="A339">
        <v>44457193</v>
      </c>
      <c r="B339" t="s">
        <v>907</v>
      </c>
      <c r="C339">
        <v>38</v>
      </c>
      <c r="D339" t="s">
        <v>743</v>
      </c>
      <c r="E339" t="s">
        <v>253</v>
      </c>
      <c r="F339" s="82">
        <v>44235</v>
      </c>
    </row>
    <row r="340" spans="1:6" x14ac:dyDescent="0.3">
      <c r="A340">
        <v>72197583</v>
      </c>
      <c r="B340" t="s">
        <v>908</v>
      </c>
      <c r="C340">
        <v>30</v>
      </c>
      <c r="D340" t="s">
        <v>762</v>
      </c>
      <c r="E340" t="s">
        <v>253</v>
      </c>
      <c r="F340" s="82">
        <v>45874</v>
      </c>
    </row>
    <row r="341" spans="1:6" x14ac:dyDescent="0.3">
      <c r="A341">
        <v>72629263</v>
      </c>
      <c r="B341" t="s">
        <v>909</v>
      </c>
      <c r="C341">
        <v>32</v>
      </c>
      <c r="D341" t="s">
        <v>743</v>
      </c>
      <c r="E341" t="s">
        <v>253</v>
      </c>
      <c r="F341" s="82">
        <v>45967</v>
      </c>
    </row>
    <row r="342" spans="1:6" x14ac:dyDescent="0.3">
      <c r="A342">
        <v>70066031</v>
      </c>
      <c r="B342" t="s">
        <v>910</v>
      </c>
      <c r="C342">
        <v>34</v>
      </c>
      <c r="D342" t="s">
        <v>762</v>
      </c>
      <c r="E342" t="s">
        <v>253</v>
      </c>
      <c r="F342" s="82">
        <v>45444</v>
      </c>
    </row>
    <row r="343" spans="1:6" x14ac:dyDescent="0.3">
      <c r="A343">
        <v>43279613</v>
      </c>
      <c r="B343" t="s">
        <v>911</v>
      </c>
      <c r="C343">
        <v>42</v>
      </c>
      <c r="D343" t="s">
        <v>762</v>
      </c>
      <c r="E343" t="s">
        <v>253</v>
      </c>
      <c r="F343" s="82">
        <v>43983</v>
      </c>
    </row>
    <row r="344" spans="1:6" x14ac:dyDescent="0.3">
      <c r="A344">
        <v>73791391</v>
      </c>
      <c r="B344" t="s">
        <v>912</v>
      </c>
      <c r="C344">
        <v>27</v>
      </c>
      <c r="D344" t="s">
        <v>743</v>
      </c>
      <c r="E344" t="s">
        <v>253</v>
      </c>
      <c r="F344" s="82">
        <v>45267</v>
      </c>
    </row>
    <row r="345" spans="1:6" x14ac:dyDescent="0.3">
      <c r="A345">
        <v>75326347</v>
      </c>
      <c r="B345" t="s">
        <v>913</v>
      </c>
      <c r="C345">
        <v>27</v>
      </c>
      <c r="D345" t="s">
        <v>743</v>
      </c>
      <c r="E345" t="s">
        <v>253</v>
      </c>
      <c r="F345" s="82">
        <v>46035</v>
      </c>
    </row>
    <row r="346" spans="1:6" x14ac:dyDescent="0.3">
      <c r="A346">
        <v>70562571</v>
      </c>
      <c r="B346" t="s">
        <v>914</v>
      </c>
      <c r="C346">
        <v>27</v>
      </c>
      <c r="D346" t="s">
        <v>743</v>
      </c>
      <c r="E346" t="s">
        <v>253</v>
      </c>
      <c r="F346" s="82">
        <v>45759</v>
      </c>
    </row>
    <row r="347" spans="1:6" x14ac:dyDescent="0.3">
      <c r="A347">
        <v>71258738</v>
      </c>
      <c r="B347" t="s">
        <v>915</v>
      </c>
      <c r="C347">
        <v>30</v>
      </c>
      <c r="D347" t="s">
        <v>762</v>
      </c>
      <c r="E347" t="s">
        <v>253</v>
      </c>
      <c r="F347" s="82">
        <v>46002</v>
      </c>
    </row>
    <row r="348" spans="1:6" x14ac:dyDescent="0.3">
      <c r="A348">
        <v>10599615</v>
      </c>
      <c r="B348" t="s">
        <v>916</v>
      </c>
      <c r="C348">
        <v>48</v>
      </c>
      <c r="D348" t="s">
        <v>743</v>
      </c>
      <c r="E348" t="s">
        <v>253</v>
      </c>
      <c r="F348" s="82">
        <v>45931</v>
      </c>
    </row>
    <row r="349" spans="1:6" x14ac:dyDescent="0.3">
      <c r="A349">
        <v>23933929</v>
      </c>
      <c r="B349" t="s">
        <v>917</v>
      </c>
      <c r="C349">
        <v>54</v>
      </c>
      <c r="D349" t="s">
        <v>743</v>
      </c>
      <c r="E349" t="s">
        <v>253</v>
      </c>
      <c r="F349" s="82">
        <v>45425</v>
      </c>
    </row>
    <row r="350" spans="1:6" x14ac:dyDescent="0.3">
      <c r="A350">
        <v>20899674</v>
      </c>
      <c r="B350" t="s">
        <v>918</v>
      </c>
      <c r="C350">
        <v>57</v>
      </c>
      <c r="D350" t="s">
        <v>762</v>
      </c>
      <c r="E350" t="s">
        <v>253</v>
      </c>
      <c r="F350" s="82">
        <v>37895</v>
      </c>
    </row>
    <row r="351" spans="1:6" x14ac:dyDescent="0.3">
      <c r="A351">
        <v>10247492</v>
      </c>
      <c r="B351" t="s">
        <v>919</v>
      </c>
      <c r="C351">
        <v>50</v>
      </c>
      <c r="D351" t="s">
        <v>743</v>
      </c>
      <c r="E351" t="s">
        <v>253</v>
      </c>
      <c r="F351" s="82">
        <v>38808</v>
      </c>
    </row>
    <row r="352" spans="1:6" x14ac:dyDescent="0.3">
      <c r="A352">
        <v>41199706</v>
      </c>
      <c r="B352" t="s">
        <v>920</v>
      </c>
      <c r="C352">
        <v>44</v>
      </c>
      <c r="D352" t="s">
        <v>743</v>
      </c>
      <c r="E352" t="s">
        <v>253</v>
      </c>
      <c r="F352" s="82">
        <v>44302</v>
      </c>
    </row>
    <row r="353" spans="1:6" x14ac:dyDescent="0.3">
      <c r="A353">
        <v>76582129</v>
      </c>
      <c r="B353" t="s">
        <v>921</v>
      </c>
      <c r="C353">
        <v>30</v>
      </c>
      <c r="D353" t="s">
        <v>743</v>
      </c>
      <c r="E353" t="s">
        <v>253</v>
      </c>
      <c r="F353" s="82">
        <v>44593</v>
      </c>
    </row>
    <row r="354" spans="1:6" x14ac:dyDescent="0.3">
      <c r="A354">
        <v>41869782</v>
      </c>
      <c r="B354" t="s">
        <v>922</v>
      </c>
      <c r="C354">
        <v>43</v>
      </c>
      <c r="D354" t="s">
        <v>762</v>
      </c>
      <c r="E354" t="s">
        <v>253</v>
      </c>
      <c r="F354" s="82">
        <v>45001</v>
      </c>
    </row>
    <row r="355" spans="1:6" x14ac:dyDescent="0.3">
      <c r="A355">
        <v>70528915</v>
      </c>
      <c r="B355" t="s">
        <v>923</v>
      </c>
      <c r="C355">
        <v>21</v>
      </c>
      <c r="D355" t="s">
        <v>743</v>
      </c>
      <c r="E355" t="s">
        <v>253</v>
      </c>
      <c r="F355" s="82">
        <v>45826</v>
      </c>
    </row>
    <row r="356" spans="1:6" x14ac:dyDescent="0.3">
      <c r="A356">
        <v>70546290</v>
      </c>
      <c r="B356" t="s">
        <v>924</v>
      </c>
      <c r="C356">
        <v>34</v>
      </c>
      <c r="D356" t="s">
        <v>743</v>
      </c>
      <c r="E356" t="s">
        <v>253</v>
      </c>
      <c r="F356" s="82">
        <v>44958</v>
      </c>
    </row>
    <row r="357" spans="1:6" x14ac:dyDescent="0.3">
      <c r="A357">
        <v>43231099</v>
      </c>
      <c r="B357" t="s">
        <v>925</v>
      </c>
      <c r="C357">
        <v>40</v>
      </c>
      <c r="D357" t="s">
        <v>743</v>
      </c>
      <c r="E357" t="s">
        <v>253</v>
      </c>
      <c r="F357" s="82">
        <v>43983</v>
      </c>
    </row>
    <row r="358" spans="1:6" x14ac:dyDescent="0.3">
      <c r="A358">
        <v>9456747</v>
      </c>
      <c r="B358" t="s">
        <v>926</v>
      </c>
      <c r="C358">
        <v>60</v>
      </c>
      <c r="D358" t="s">
        <v>743</v>
      </c>
      <c r="E358" t="s">
        <v>253</v>
      </c>
      <c r="F358" s="82">
        <v>45444</v>
      </c>
    </row>
    <row r="359" spans="1:6" x14ac:dyDescent="0.3">
      <c r="A359">
        <v>72898197</v>
      </c>
      <c r="B359" t="s">
        <v>927</v>
      </c>
      <c r="C359">
        <v>31</v>
      </c>
      <c r="D359" t="s">
        <v>743</v>
      </c>
      <c r="E359" t="s">
        <v>253</v>
      </c>
      <c r="F359" s="82">
        <v>45108</v>
      </c>
    </row>
    <row r="360" spans="1:6" x14ac:dyDescent="0.3">
      <c r="A360">
        <v>72380572</v>
      </c>
      <c r="B360" t="s">
        <v>928</v>
      </c>
      <c r="C360">
        <v>27</v>
      </c>
      <c r="D360" t="s">
        <v>762</v>
      </c>
      <c r="E360" t="s">
        <v>253</v>
      </c>
      <c r="F360" s="82">
        <v>45962</v>
      </c>
    </row>
    <row r="361" spans="1:6" x14ac:dyDescent="0.3">
      <c r="A361">
        <v>47769134</v>
      </c>
      <c r="B361" t="s">
        <v>929</v>
      </c>
      <c r="C361">
        <v>33</v>
      </c>
      <c r="D361" t="s">
        <v>743</v>
      </c>
      <c r="E361" t="s">
        <v>253</v>
      </c>
      <c r="F361" s="82">
        <v>45369</v>
      </c>
    </row>
    <row r="362" spans="1:6" x14ac:dyDescent="0.3">
      <c r="A362">
        <v>48168428</v>
      </c>
      <c r="B362" t="s">
        <v>930</v>
      </c>
      <c r="C362">
        <v>32</v>
      </c>
      <c r="D362" t="s">
        <v>743</v>
      </c>
      <c r="E362" t="s">
        <v>253</v>
      </c>
      <c r="F362" s="82">
        <v>45871</v>
      </c>
    </row>
    <row r="363" spans="1:6" x14ac:dyDescent="0.3">
      <c r="A363">
        <v>75483070</v>
      </c>
      <c r="B363" t="s">
        <v>931</v>
      </c>
      <c r="C363">
        <v>25</v>
      </c>
      <c r="D363" t="s">
        <v>743</v>
      </c>
      <c r="E363" t="s">
        <v>253</v>
      </c>
      <c r="F363" s="82">
        <v>45388</v>
      </c>
    </row>
    <row r="364" spans="1:6" x14ac:dyDescent="0.3">
      <c r="A364">
        <v>74464906</v>
      </c>
      <c r="B364" t="s">
        <v>932</v>
      </c>
      <c r="C364">
        <v>24</v>
      </c>
      <c r="D364" t="s">
        <v>762</v>
      </c>
      <c r="E364" t="s">
        <v>253</v>
      </c>
      <c r="F364" s="82">
        <v>45709</v>
      </c>
    </row>
    <row r="365" spans="1:6" x14ac:dyDescent="0.3">
      <c r="A365">
        <v>45152881</v>
      </c>
      <c r="B365" t="s">
        <v>933</v>
      </c>
      <c r="C365">
        <v>37</v>
      </c>
      <c r="D365" t="s">
        <v>762</v>
      </c>
      <c r="E365" t="s">
        <v>253</v>
      </c>
      <c r="F365" s="82">
        <v>44758</v>
      </c>
    </row>
    <row r="366" spans="1:6" x14ac:dyDescent="0.3">
      <c r="A366">
        <v>46237796</v>
      </c>
      <c r="B366" t="s">
        <v>934</v>
      </c>
      <c r="C366">
        <v>36</v>
      </c>
      <c r="D366" t="s">
        <v>743</v>
      </c>
      <c r="E366" t="s">
        <v>253</v>
      </c>
      <c r="F366" s="82">
        <v>45778</v>
      </c>
    </row>
    <row r="367" spans="1:6" x14ac:dyDescent="0.3">
      <c r="A367">
        <v>40477533</v>
      </c>
      <c r="B367" t="s">
        <v>935</v>
      </c>
      <c r="C367">
        <v>46</v>
      </c>
      <c r="D367" t="s">
        <v>743</v>
      </c>
      <c r="E367" t="s">
        <v>253</v>
      </c>
      <c r="F367" s="82">
        <v>45742</v>
      </c>
    </row>
    <row r="368" spans="1:6" x14ac:dyDescent="0.3">
      <c r="A368">
        <v>76958693</v>
      </c>
      <c r="B368" t="s">
        <v>936</v>
      </c>
      <c r="C368">
        <v>22</v>
      </c>
      <c r="D368" t="s">
        <v>743</v>
      </c>
      <c r="E368" t="s">
        <v>253</v>
      </c>
      <c r="F368" s="82">
        <v>45855</v>
      </c>
    </row>
    <row r="369" spans="1:6" x14ac:dyDescent="0.3">
      <c r="A369">
        <v>73942926</v>
      </c>
      <c r="B369" t="s">
        <v>937</v>
      </c>
      <c r="C369">
        <v>22</v>
      </c>
      <c r="D369" t="s">
        <v>743</v>
      </c>
      <c r="E369" t="s">
        <v>253</v>
      </c>
      <c r="F369" s="82">
        <v>45885</v>
      </c>
    </row>
    <row r="370" spans="1:6" x14ac:dyDescent="0.3">
      <c r="A370">
        <v>75803434</v>
      </c>
      <c r="B370" t="s">
        <v>938</v>
      </c>
      <c r="C370">
        <v>28</v>
      </c>
      <c r="D370" t="s">
        <v>762</v>
      </c>
      <c r="E370" t="s">
        <v>253</v>
      </c>
      <c r="F370" s="82">
        <v>44013</v>
      </c>
    </row>
    <row r="371" spans="1:6" x14ac:dyDescent="0.3">
      <c r="A371">
        <v>43621376</v>
      </c>
      <c r="B371" t="s">
        <v>939</v>
      </c>
      <c r="C371">
        <v>41</v>
      </c>
      <c r="D371" t="s">
        <v>743</v>
      </c>
      <c r="E371" t="s">
        <v>253</v>
      </c>
      <c r="F371" s="82">
        <v>46048</v>
      </c>
    </row>
    <row r="372" spans="1:6" x14ac:dyDescent="0.3">
      <c r="A372">
        <v>46086076</v>
      </c>
      <c r="B372" t="s">
        <v>940</v>
      </c>
      <c r="C372">
        <v>36</v>
      </c>
      <c r="D372" t="s">
        <v>743</v>
      </c>
      <c r="E372" t="s">
        <v>253</v>
      </c>
      <c r="F372" s="82">
        <v>45366</v>
      </c>
    </row>
    <row r="373" spans="1:6" x14ac:dyDescent="0.3">
      <c r="A373">
        <v>44615021</v>
      </c>
      <c r="B373" t="s">
        <v>941</v>
      </c>
      <c r="C373">
        <v>38</v>
      </c>
      <c r="D373" t="s">
        <v>743</v>
      </c>
      <c r="E373" t="s">
        <v>253</v>
      </c>
      <c r="F373" s="82">
        <v>45909</v>
      </c>
    </row>
    <row r="374" spans="1:6" x14ac:dyDescent="0.3">
      <c r="A374">
        <v>44182819</v>
      </c>
      <c r="B374" t="s">
        <v>942</v>
      </c>
      <c r="C374">
        <v>38</v>
      </c>
      <c r="D374" t="s">
        <v>762</v>
      </c>
      <c r="E374" t="s">
        <v>253</v>
      </c>
      <c r="F374" s="82">
        <v>45730</v>
      </c>
    </row>
    <row r="375" spans="1:6" x14ac:dyDescent="0.3">
      <c r="A375">
        <v>70997012</v>
      </c>
      <c r="B375" t="s">
        <v>943</v>
      </c>
      <c r="C375">
        <v>32</v>
      </c>
      <c r="D375" t="s">
        <v>762</v>
      </c>
      <c r="E375" t="s">
        <v>253</v>
      </c>
      <c r="F375" s="82">
        <v>45717</v>
      </c>
    </row>
    <row r="376" spans="1:6" x14ac:dyDescent="0.3">
      <c r="A376">
        <v>71289766</v>
      </c>
      <c r="B376" t="s">
        <v>944</v>
      </c>
      <c r="C376">
        <v>31</v>
      </c>
      <c r="D376" t="s">
        <v>762</v>
      </c>
      <c r="E376" t="s">
        <v>253</v>
      </c>
      <c r="F376" s="82">
        <v>45308</v>
      </c>
    </row>
    <row r="377" spans="1:6" x14ac:dyDescent="0.3">
      <c r="A377">
        <v>42656366</v>
      </c>
      <c r="B377" t="s">
        <v>945</v>
      </c>
      <c r="C377">
        <v>41</v>
      </c>
      <c r="D377" t="s">
        <v>762</v>
      </c>
      <c r="E377" t="s">
        <v>253</v>
      </c>
      <c r="F377" s="82">
        <v>45505</v>
      </c>
    </row>
    <row r="378" spans="1:6" x14ac:dyDescent="0.3">
      <c r="A378">
        <v>70987497</v>
      </c>
      <c r="B378" t="s">
        <v>946</v>
      </c>
      <c r="C378">
        <v>25</v>
      </c>
      <c r="D378" t="s">
        <v>743</v>
      </c>
      <c r="E378" t="s">
        <v>253</v>
      </c>
      <c r="F378" s="82">
        <v>46042</v>
      </c>
    </row>
    <row r="379" spans="1:6" x14ac:dyDescent="0.3">
      <c r="A379">
        <v>77774723</v>
      </c>
      <c r="B379" t="s">
        <v>947</v>
      </c>
      <c r="C379">
        <v>25</v>
      </c>
      <c r="D379" t="s">
        <v>743</v>
      </c>
      <c r="E379" t="s">
        <v>253</v>
      </c>
      <c r="F379" s="82">
        <v>46023</v>
      </c>
    </row>
    <row r="380" spans="1:6" x14ac:dyDescent="0.3">
      <c r="A380">
        <v>45649112</v>
      </c>
      <c r="B380" t="s">
        <v>948</v>
      </c>
      <c r="C380">
        <v>37</v>
      </c>
      <c r="D380" t="s">
        <v>762</v>
      </c>
      <c r="E380" t="s">
        <v>253</v>
      </c>
      <c r="F380" s="82">
        <v>45505</v>
      </c>
    </row>
    <row r="381" spans="1:6" x14ac:dyDescent="0.3">
      <c r="A381">
        <v>75966109</v>
      </c>
      <c r="B381" t="s">
        <v>949</v>
      </c>
      <c r="C381">
        <v>27</v>
      </c>
      <c r="D381" t="s">
        <v>762</v>
      </c>
      <c r="E381" t="s">
        <v>253</v>
      </c>
      <c r="F381" s="82">
        <v>45413</v>
      </c>
    </row>
    <row r="382" spans="1:6" x14ac:dyDescent="0.3">
      <c r="A382">
        <v>70584027</v>
      </c>
      <c r="B382" t="s">
        <v>950</v>
      </c>
      <c r="C382">
        <v>31</v>
      </c>
      <c r="D382" t="s">
        <v>743</v>
      </c>
      <c r="E382" t="s">
        <v>253</v>
      </c>
      <c r="F382" s="82">
        <v>45597</v>
      </c>
    </row>
    <row r="383" spans="1:6" x14ac:dyDescent="0.3">
      <c r="A383">
        <v>75653817</v>
      </c>
      <c r="B383" t="s">
        <v>951</v>
      </c>
      <c r="C383">
        <v>27</v>
      </c>
      <c r="D383" t="s">
        <v>743</v>
      </c>
      <c r="E383" t="s">
        <v>253</v>
      </c>
      <c r="F383" s="82">
        <v>45264</v>
      </c>
    </row>
    <row r="384" spans="1:6" x14ac:dyDescent="0.3">
      <c r="A384">
        <v>47158290</v>
      </c>
      <c r="B384" t="s">
        <v>952</v>
      </c>
      <c r="C384">
        <v>34</v>
      </c>
      <c r="D384" t="s">
        <v>762</v>
      </c>
      <c r="E384" t="s">
        <v>253</v>
      </c>
      <c r="F384" s="82">
        <v>44958</v>
      </c>
    </row>
    <row r="385" spans="1:6" x14ac:dyDescent="0.3">
      <c r="A385">
        <v>10763041</v>
      </c>
      <c r="B385" t="s">
        <v>953</v>
      </c>
      <c r="C385">
        <v>48</v>
      </c>
      <c r="D385" t="s">
        <v>743</v>
      </c>
      <c r="E385" t="s">
        <v>253</v>
      </c>
      <c r="F385" s="82">
        <v>44774</v>
      </c>
    </row>
    <row r="386" spans="1:6" x14ac:dyDescent="0.3">
      <c r="A386">
        <v>44872400</v>
      </c>
      <c r="B386" t="s">
        <v>954</v>
      </c>
      <c r="C386">
        <v>38</v>
      </c>
      <c r="D386" t="s">
        <v>743</v>
      </c>
      <c r="E386" t="s">
        <v>253</v>
      </c>
      <c r="F386" s="82">
        <v>45809</v>
      </c>
    </row>
    <row r="387" spans="1:6" x14ac:dyDescent="0.3">
      <c r="A387">
        <v>47545851</v>
      </c>
      <c r="B387" t="s">
        <v>955</v>
      </c>
      <c r="C387">
        <v>33</v>
      </c>
      <c r="D387" t="s">
        <v>743</v>
      </c>
      <c r="E387" t="s">
        <v>253</v>
      </c>
      <c r="F387" s="82">
        <v>45901</v>
      </c>
    </row>
    <row r="388" spans="1:6" x14ac:dyDescent="0.3">
      <c r="A388">
        <v>47844883</v>
      </c>
      <c r="B388" t="s">
        <v>956</v>
      </c>
      <c r="C388">
        <v>32</v>
      </c>
      <c r="D388" t="s">
        <v>762</v>
      </c>
      <c r="E388" t="s">
        <v>253</v>
      </c>
      <c r="F388" s="82">
        <v>46028</v>
      </c>
    </row>
    <row r="389" spans="1:6" x14ac:dyDescent="0.3">
      <c r="A389">
        <v>76096996</v>
      </c>
      <c r="B389" t="s">
        <v>957</v>
      </c>
      <c r="C389">
        <v>30</v>
      </c>
      <c r="D389" t="s">
        <v>762</v>
      </c>
      <c r="E389" t="s">
        <v>253</v>
      </c>
      <c r="F389" s="82">
        <v>44137</v>
      </c>
    </row>
    <row r="390" spans="1:6" x14ac:dyDescent="0.3">
      <c r="A390">
        <v>76577728</v>
      </c>
      <c r="B390" t="s">
        <v>958</v>
      </c>
      <c r="C390">
        <v>30</v>
      </c>
      <c r="D390" t="s">
        <v>762</v>
      </c>
      <c r="E390" t="s">
        <v>253</v>
      </c>
      <c r="F390" s="82">
        <v>45139</v>
      </c>
    </row>
    <row r="391" spans="1:6" x14ac:dyDescent="0.3">
      <c r="A391">
        <v>73799406</v>
      </c>
      <c r="B391" t="s">
        <v>959</v>
      </c>
      <c r="C391">
        <v>30</v>
      </c>
      <c r="D391" t="s">
        <v>743</v>
      </c>
      <c r="E391" t="s">
        <v>253</v>
      </c>
      <c r="F391" s="82">
        <v>45139</v>
      </c>
    </row>
    <row r="392" spans="1:6" x14ac:dyDescent="0.3">
      <c r="A392">
        <v>47989004</v>
      </c>
      <c r="B392" t="s">
        <v>960</v>
      </c>
      <c r="C392">
        <v>32</v>
      </c>
      <c r="D392" t="s">
        <v>743</v>
      </c>
      <c r="E392" t="s">
        <v>253</v>
      </c>
      <c r="F392" s="82">
        <v>44455</v>
      </c>
    </row>
    <row r="393" spans="1:6" x14ac:dyDescent="0.3">
      <c r="A393">
        <v>46236109</v>
      </c>
      <c r="B393" t="s">
        <v>961</v>
      </c>
      <c r="C393">
        <v>36</v>
      </c>
      <c r="D393" t="s">
        <v>743</v>
      </c>
      <c r="E393" t="s">
        <v>253</v>
      </c>
      <c r="F393" s="82">
        <v>45142</v>
      </c>
    </row>
    <row r="394" spans="1:6" x14ac:dyDescent="0.3">
      <c r="A394">
        <v>45909900</v>
      </c>
      <c r="B394" t="s">
        <v>962</v>
      </c>
      <c r="C394">
        <v>36</v>
      </c>
      <c r="D394" t="s">
        <v>743</v>
      </c>
      <c r="E394" t="s">
        <v>253</v>
      </c>
      <c r="F394" s="82">
        <v>46043</v>
      </c>
    </row>
    <row r="395" spans="1:6" x14ac:dyDescent="0.3">
      <c r="A395">
        <v>73456462</v>
      </c>
      <c r="B395" t="s">
        <v>963</v>
      </c>
      <c r="C395">
        <v>24</v>
      </c>
      <c r="D395" t="s">
        <v>762</v>
      </c>
      <c r="E395" t="s">
        <v>253</v>
      </c>
      <c r="F395" s="82">
        <v>46023</v>
      </c>
    </row>
    <row r="396" spans="1:6" x14ac:dyDescent="0.3">
      <c r="A396">
        <v>47177998</v>
      </c>
      <c r="B396" t="s">
        <v>964</v>
      </c>
      <c r="C396">
        <v>35</v>
      </c>
      <c r="D396" t="s">
        <v>762</v>
      </c>
      <c r="E396" t="s">
        <v>253</v>
      </c>
      <c r="F396" s="82">
        <v>45474</v>
      </c>
    </row>
    <row r="397" spans="1:6" x14ac:dyDescent="0.3">
      <c r="A397">
        <v>42686365</v>
      </c>
      <c r="B397" t="s">
        <v>965</v>
      </c>
      <c r="C397">
        <v>41</v>
      </c>
      <c r="D397" t="s">
        <v>743</v>
      </c>
      <c r="E397" t="s">
        <v>253</v>
      </c>
      <c r="F397" s="82">
        <v>45150</v>
      </c>
    </row>
    <row r="398" spans="1:6" x14ac:dyDescent="0.3">
      <c r="A398">
        <v>76137546</v>
      </c>
      <c r="B398" t="s">
        <v>966</v>
      </c>
      <c r="C398">
        <v>25</v>
      </c>
      <c r="D398" t="s">
        <v>743</v>
      </c>
      <c r="E398" t="s">
        <v>253</v>
      </c>
      <c r="F398" s="82">
        <v>45164</v>
      </c>
    </row>
    <row r="399" spans="1:6" x14ac:dyDescent="0.3">
      <c r="A399">
        <v>70088417</v>
      </c>
      <c r="B399" t="s">
        <v>967</v>
      </c>
      <c r="C399">
        <v>36</v>
      </c>
      <c r="D399" t="s">
        <v>743</v>
      </c>
      <c r="E399" t="s">
        <v>253</v>
      </c>
      <c r="F399" s="82">
        <v>45608</v>
      </c>
    </row>
    <row r="400" spans="1:6" x14ac:dyDescent="0.3">
      <c r="A400">
        <v>48329216</v>
      </c>
      <c r="B400" t="s">
        <v>968</v>
      </c>
      <c r="C400">
        <v>32</v>
      </c>
      <c r="D400" t="s">
        <v>743</v>
      </c>
      <c r="E400" t="s">
        <v>253</v>
      </c>
      <c r="F400" s="82">
        <v>46031</v>
      </c>
    </row>
    <row r="401" spans="1:6" x14ac:dyDescent="0.3">
      <c r="A401">
        <v>62063074</v>
      </c>
      <c r="B401" t="s">
        <v>969</v>
      </c>
      <c r="C401">
        <v>25</v>
      </c>
      <c r="D401" t="s">
        <v>762</v>
      </c>
      <c r="E401" t="s">
        <v>253</v>
      </c>
      <c r="F401" s="82">
        <v>45813</v>
      </c>
    </row>
    <row r="402" spans="1:6" x14ac:dyDescent="0.3">
      <c r="A402">
        <v>45060016</v>
      </c>
      <c r="B402" t="s">
        <v>970</v>
      </c>
      <c r="C402">
        <v>37</v>
      </c>
      <c r="D402" t="s">
        <v>743</v>
      </c>
      <c r="E402" t="s">
        <v>253</v>
      </c>
      <c r="F402" s="82">
        <v>45729</v>
      </c>
    </row>
    <row r="403" spans="1:6" x14ac:dyDescent="0.3">
      <c r="A403">
        <v>10684227</v>
      </c>
      <c r="B403" t="s">
        <v>971</v>
      </c>
      <c r="C403">
        <v>48</v>
      </c>
      <c r="D403" t="s">
        <v>762</v>
      </c>
      <c r="E403" t="s">
        <v>253</v>
      </c>
      <c r="F403" s="82">
        <v>44516</v>
      </c>
    </row>
    <row r="404" spans="1:6" x14ac:dyDescent="0.3">
      <c r="A404">
        <v>60275326</v>
      </c>
      <c r="B404" t="s">
        <v>972</v>
      </c>
      <c r="C404">
        <v>28</v>
      </c>
      <c r="D404" t="s">
        <v>743</v>
      </c>
      <c r="E404" t="s">
        <v>253</v>
      </c>
      <c r="F404" s="82">
        <v>45444</v>
      </c>
    </row>
    <row r="405" spans="1:6" x14ac:dyDescent="0.3">
      <c r="A405">
        <v>45264946</v>
      </c>
      <c r="B405" t="s">
        <v>973</v>
      </c>
      <c r="C405">
        <v>37</v>
      </c>
      <c r="D405" t="s">
        <v>762</v>
      </c>
      <c r="E405" t="s">
        <v>253</v>
      </c>
      <c r="F405" s="82">
        <v>45627</v>
      </c>
    </row>
    <row r="406" spans="1:6" x14ac:dyDescent="0.3">
      <c r="A406">
        <v>71311848</v>
      </c>
      <c r="B406" t="s">
        <v>974</v>
      </c>
      <c r="C406">
        <v>34</v>
      </c>
      <c r="D406" t="s">
        <v>743</v>
      </c>
      <c r="E406" t="s">
        <v>253</v>
      </c>
      <c r="F406" s="82">
        <v>46023</v>
      </c>
    </row>
    <row r="407" spans="1:6" x14ac:dyDescent="0.3">
      <c r="A407">
        <v>70468176</v>
      </c>
      <c r="B407" t="s">
        <v>975</v>
      </c>
      <c r="C407">
        <v>30</v>
      </c>
      <c r="D407" t="s">
        <v>743</v>
      </c>
      <c r="E407" t="s">
        <v>253</v>
      </c>
      <c r="F407" s="82">
        <v>45934</v>
      </c>
    </row>
    <row r="408" spans="1:6" x14ac:dyDescent="0.3">
      <c r="A408">
        <v>76961699</v>
      </c>
      <c r="B408" t="s">
        <v>976</v>
      </c>
      <c r="C408">
        <v>30</v>
      </c>
      <c r="D408" t="s">
        <v>743</v>
      </c>
      <c r="E408" t="s">
        <v>253</v>
      </c>
      <c r="F408" s="82">
        <v>45454</v>
      </c>
    </row>
    <row r="409" spans="1:6" x14ac:dyDescent="0.3">
      <c r="A409">
        <v>77382167</v>
      </c>
      <c r="B409" t="s">
        <v>977</v>
      </c>
      <c r="C409">
        <v>25</v>
      </c>
      <c r="D409" t="s">
        <v>762</v>
      </c>
      <c r="E409" t="s">
        <v>253</v>
      </c>
      <c r="F409" s="82">
        <v>45633</v>
      </c>
    </row>
    <row r="410" spans="1:6" x14ac:dyDescent="0.3">
      <c r="A410">
        <v>74051214</v>
      </c>
      <c r="B410" t="s">
        <v>978</v>
      </c>
      <c r="C410">
        <v>27</v>
      </c>
      <c r="D410" t="s">
        <v>743</v>
      </c>
      <c r="E410" t="s">
        <v>253</v>
      </c>
      <c r="F410" s="82">
        <v>45912</v>
      </c>
    </row>
    <row r="411" spans="1:6" x14ac:dyDescent="0.3">
      <c r="A411">
        <v>41500229</v>
      </c>
      <c r="B411" t="s">
        <v>979</v>
      </c>
      <c r="C411">
        <v>43</v>
      </c>
      <c r="D411" t="s">
        <v>743</v>
      </c>
      <c r="E411" t="s">
        <v>253</v>
      </c>
      <c r="F411" s="82">
        <v>45536</v>
      </c>
    </row>
    <row r="412" spans="1:6" x14ac:dyDescent="0.3">
      <c r="A412">
        <v>71429091</v>
      </c>
      <c r="B412" t="s">
        <v>980</v>
      </c>
      <c r="C412">
        <v>25</v>
      </c>
      <c r="D412" t="s">
        <v>743</v>
      </c>
      <c r="E412" t="s">
        <v>253</v>
      </c>
      <c r="F412" s="82">
        <v>45693</v>
      </c>
    </row>
    <row r="413" spans="1:6" x14ac:dyDescent="0.3">
      <c r="A413">
        <v>47140139</v>
      </c>
      <c r="B413" t="s">
        <v>981</v>
      </c>
      <c r="C413">
        <v>34</v>
      </c>
      <c r="D413" t="s">
        <v>762</v>
      </c>
      <c r="E413" t="s">
        <v>253</v>
      </c>
      <c r="F413" s="82">
        <v>45870</v>
      </c>
    </row>
    <row r="414" spans="1:6" x14ac:dyDescent="0.3">
      <c r="A414">
        <v>44947597</v>
      </c>
      <c r="B414" t="s">
        <v>982</v>
      </c>
      <c r="C414">
        <v>38</v>
      </c>
      <c r="D414" t="s">
        <v>743</v>
      </c>
      <c r="E414" t="s">
        <v>253</v>
      </c>
      <c r="F414" s="82">
        <v>45505</v>
      </c>
    </row>
    <row r="415" spans="1:6" x14ac:dyDescent="0.3">
      <c r="A415">
        <v>77069067</v>
      </c>
      <c r="B415" t="s">
        <v>983</v>
      </c>
      <c r="C415">
        <v>28</v>
      </c>
      <c r="D415" t="s">
        <v>762</v>
      </c>
      <c r="E415" t="s">
        <v>253</v>
      </c>
      <c r="F415" s="82">
        <v>44958</v>
      </c>
    </row>
    <row r="416" spans="1:6" x14ac:dyDescent="0.3">
      <c r="A416">
        <v>71467566</v>
      </c>
      <c r="B416" t="s">
        <v>984</v>
      </c>
      <c r="C416">
        <v>30</v>
      </c>
      <c r="D416" t="s">
        <v>743</v>
      </c>
      <c r="E416" t="s">
        <v>253</v>
      </c>
      <c r="F416" s="82">
        <v>46054</v>
      </c>
    </row>
    <row r="417" spans="1:6" x14ac:dyDescent="0.3">
      <c r="A417">
        <v>78632606</v>
      </c>
      <c r="B417" t="s">
        <v>985</v>
      </c>
      <c r="C417">
        <v>28</v>
      </c>
      <c r="D417" t="s">
        <v>743</v>
      </c>
      <c r="E417" t="s">
        <v>253</v>
      </c>
      <c r="F417" s="82">
        <v>45392</v>
      </c>
    </row>
    <row r="418" spans="1:6" x14ac:dyDescent="0.3">
      <c r="A418">
        <v>42144109</v>
      </c>
      <c r="B418" t="s">
        <v>986</v>
      </c>
      <c r="C418">
        <v>42</v>
      </c>
      <c r="D418" t="s">
        <v>743</v>
      </c>
      <c r="E418" t="s">
        <v>253</v>
      </c>
      <c r="F418" s="82">
        <v>45689</v>
      </c>
    </row>
    <row r="419" spans="1:6" x14ac:dyDescent="0.3">
      <c r="A419">
        <v>47425728</v>
      </c>
      <c r="B419" t="s">
        <v>987</v>
      </c>
      <c r="C419">
        <v>33</v>
      </c>
      <c r="D419" t="s">
        <v>743</v>
      </c>
      <c r="E419" t="s">
        <v>253</v>
      </c>
      <c r="F419" s="82">
        <v>40909</v>
      </c>
    </row>
    <row r="420" spans="1:6" x14ac:dyDescent="0.3">
      <c r="A420">
        <v>41003980</v>
      </c>
      <c r="B420" t="s">
        <v>988</v>
      </c>
      <c r="C420">
        <v>44</v>
      </c>
      <c r="D420" t="s">
        <v>762</v>
      </c>
      <c r="E420" t="s">
        <v>253</v>
      </c>
      <c r="F420" s="82">
        <v>45505</v>
      </c>
    </row>
    <row r="421" spans="1:6" x14ac:dyDescent="0.3">
      <c r="A421">
        <v>71594915</v>
      </c>
      <c r="B421" t="s">
        <v>989</v>
      </c>
      <c r="C421">
        <v>28</v>
      </c>
      <c r="D421" t="s">
        <v>743</v>
      </c>
      <c r="E421" t="s">
        <v>253</v>
      </c>
      <c r="F421" s="82">
        <v>45986</v>
      </c>
    </row>
    <row r="422" spans="1:6" x14ac:dyDescent="0.3">
      <c r="A422">
        <v>46934889</v>
      </c>
      <c r="B422" t="s">
        <v>990</v>
      </c>
      <c r="C422">
        <v>34</v>
      </c>
      <c r="D422" t="s">
        <v>743</v>
      </c>
      <c r="E422" t="s">
        <v>253</v>
      </c>
      <c r="F422" s="82">
        <v>43525</v>
      </c>
    </row>
    <row r="423" spans="1:6" x14ac:dyDescent="0.3">
      <c r="A423">
        <v>44033703</v>
      </c>
      <c r="B423" t="s">
        <v>991</v>
      </c>
      <c r="C423">
        <v>39</v>
      </c>
      <c r="D423" t="s">
        <v>762</v>
      </c>
      <c r="E423" t="s">
        <v>253</v>
      </c>
      <c r="F423" s="82">
        <v>46054</v>
      </c>
    </row>
    <row r="424" spans="1:6" x14ac:dyDescent="0.3">
      <c r="A424">
        <v>79054187</v>
      </c>
      <c r="B424" t="s">
        <v>992</v>
      </c>
      <c r="C424">
        <v>21</v>
      </c>
      <c r="D424" t="s">
        <v>743</v>
      </c>
      <c r="E424" t="s">
        <v>253</v>
      </c>
      <c r="F424" s="82">
        <v>46044</v>
      </c>
    </row>
    <row r="425" spans="1:6" x14ac:dyDescent="0.3">
      <c r="A425">
        <v>10706448</v>
      </c>
      <c r="B425" t="s">
        <v>993</v>
      </c>
      <c r="C425">
        <v>48</v>
      </c>
      <c r="D425" t="s">
        <v>762</v>
      </c>
      <c r="E425" t="s">
        <v>253</v>
      </c>
      <c r="F425" s="82">
        <v>44564</v>
      </c>
    </row>
    <row r="426" spans="1:6" x14ac:dyDescent="0.3">
      <c r="A426">
        <v>47075626</v>
      </c>
      <c r="B426" t="s">
        <v>994</v>
      </c>
      <c r="C426">
        <v>33</v>
      </c>
      <c r="D426" t="s">
        <v>762</v>
      </c>
      <c r="E426" t="s">
        <v>253</v>
      </c>
      <c r="F426" s="82">
        <v>44013</v>
      </c>
    </row>
    <row r="427" spans="1:6" x14ac:dyDescent="0.3">
      <c r="A427">
        <v>20902314</v>
      </c>
      <c r="B427" t="s">
        <v>995</v>
      </c>
      <c r="C427">
        <v>52</v>
      </c>
      <c r="D427" t="s">
        <v>743</v>
      </c>
      <c r="E427" t="s">
        <v>253</v>
      </c>
      <c r="F427" s="82">
        <v>44228</v>
      </c>
    </row>
    <row r="428" spans="1:6" x14ac:dyDescent="0.3">
      <c r="A428">
        <v>73062304</v>
      </c>
      <c r="B428" t="s">
        <v>996</v>
      </c>
      <c r="C428">
        <v>20</v>
      </c>
      <c r="D428" t="s">
        <v>743</v>
      </c>
      <c r="E428" t="s">
        <v>253</v>
      </c>
      <c r="F428" s="82">
        <v>46023</v>
      </c>
    </row>
    <row r="429" spans="1:6" x14ac:dyDescent="0.3">
      <c r="A429">
        <v>44996271</v>
      </c>
      <c r="B429" t="s">
        <v>997</v>
      </c>
      <c r="C429">
        <v>39</v>
      </c>
      <c r="D429" t="s">
        <v>762</v>
      </c>
      <c r="E429" t="s">
        <v>253</v>
      </c>
      <c r="F429" s="82">
        <v>45877</v>
      </c>
    </row>
    <row r="430" spans="1:6" x14ac:dyDescent="0.3">
      <c r="A430">
        <v>70755748</v>
      </c>
      <c r="B430" t="s">
        <v>998</v>
      </c>
      <c r="C430">
        <v>34</v>
      </c>
      <c r="D430" t="s">
        <v>743</v>
      </c>
      <c r="E430" t="s">
        <v>253</v>
      </c>
      <c r="F430" s="82">
        <v>45239</v>
      </c>
    </row>
    <row r="431" spans="1:6" x14ac:dyDescent="0.3">
      <c r="A431">
        <v>46252452</v>
      </c>
      <c r="B431" t="s">
        <v>999</v>
      </c>
      <c r="C431">
        <v>35</v>
      </c>
      <c r="D431" t="s">
        <v>743</v>
      </c>
      <c r="E431" t="s">
        <v>253</v>
      </c>
      <c r="F431" s="82">
        <v>45575</v>
      </c>
    </row>
    <row r="432" spans="1:6" x14ac:dyDescent="0.3">
      <c r="A432">
        <v>75187425</v>
      </c>
      <c r="B432" t="s">
        <v>1000</v>
      </c>
      <c r="C432">
        <v>21</v>
      </c>
      <c r="D432" t="s">
        <v>743</v>
      </c>
      <c r="E432" t="s">
        <v>253</v>
      </c>
      <c r="F432" s="82">
        <v>45850</v>
      </c>
    </row>
    <row r="433" spans="1:6" x14ac:dyDescent="0.3">
      <c r="A433">
        <v>47871483</v>
      </c>
      <c r="B433" t="s">
        <v>1001</v>
      </c>
      <c r="C433">
        <v>32</v>
      </c>
      <c r="D433" t="s">
        <v>762</v>
      </c>
      <c r="E433" t="s">
        <v>253</v>
      </c>
      <c r="F433" s="82">
        <v>43983</v>
      </c>
    </row>
    <row r="434" spans="1:6" x14ac:dyDescent="0.3">
      <c r="A434">
        <v>76808555</v>
      </c>
      <c r="B434" t="s">
        <v>1002</v>
      </c>
      <c r="C434">
        <v>30</v>
      </c>
      <c r="D434" t="s">
        <v>762</v>
      </c>
      <c r="E434" t="s">
        <v>253</v>
      </c>
      <c r="F434" s="82">
        <v>46058</v>
      </c>
    </row>
    <row r="435" spans="1:6" x14ac:dyDescent="0.3">
      <c r="A435">
        <v>3379230</v>
      </c>
      <c r="B435" t="s">
        <v>1003</v>
      </c>
      <c r="C435">
        <v>49</v>
      </c>
      <c r="D435" t="s">
        <v>762</v>
      </c>
      <c r="E435" t="s">
        <v>253</v>
      </c>
      <c r="F435" s="82">
        <v>44013</v>
      </c>
    </row>
    <row r="436" spans="1:6" x14ac:dyDescent="0.3">
      <c r="A436">
        <v>45181354</v>
      </c>
      <c r="B436" t="s">
        <v>1004</v>
      </c>
      <c r="C436">
        <v>37</v>
      </c>
      <c r="D436" t="s">
        <v>743</v>
      </c>
      <c r="E436" t="s">
        <v>253</v>
      </c>
      <c r="F436" s="82">
        <v>44013</v>
      </c>
    </row>
    <row r="437" spans="1:6" x14ac:dyDescent="0.3">
      <c r="A437">
        <v>44674204</v>
      </c>
      <c r="B437" t="s">
        <v>1005</v>
      </c>
      <c r="C437">
        <v>39</v>
      </c>
      <c r="D437" t="s">
        <v>743</v>
      </c>
      <c r="E437" t="s">
        <v>253</v>
      </c>
      <c r="F437" s="82">
        <v>46038</v>
      </c>
    </row>
    <row r="438" spans="1:6" x14ac:dyDescent="0.3">
      <c r="A438">
        <v>40981787</v>
      </c>
      <c r="B438" t="s">
        <v>1006</v>
      </c>
      <c r="C438">
        <v>44</v>
      </c>
      <c r="D438" t="s">
        <v>762</v>
      </c>
      <c r="E438" t="s">
        <v>253</v>
      </c>
      <c r="F438" s="82">
        <v>44942</v>
      </c>
    </row>
    <row r="439" spans="1:6" x14ac:dyDescent="0.3">
      <c r="A439">
        <v>72488698</v>
      </c>
      <c r="B439" t="s">
        <v>1007</v>
      </c>
      <c r="C439">
        <v>29</v>
      </c>
      <c r="D439" t="s">
        <v>762</v>
      </c>
      <c r="E439" t="s">
        <v>253</v>
      </c>
      <c r="F439" s="82">
        <v>46023</v>
      </c>
    </row>
    <row r="440" spans="1:6" x14ac:dyDescent="0.3">
      <c r="A440">
        <v>46520182</v>
      </c>
      <c r="B440" t="s">
        <v>1008</v>
      </c>
      <c r="C440">
        <v>35</v>
      </c>
      <c r="D440" t="s">
        <v>743</v>
      </c>
      <c r="E440" t="s">
        <v>253</v>
      </c>
      <c r="F440" s="82">
        <v>45901</v>
      </c>
    </row>
    <row r="441" spans="1:6" x14ac:dyDescent="0.3">
      <c r="A441">
        <v>46631370</v>
      </c>
      <c r="B441" t="s">
        <v>1009</v>
      </c>
      <c r="C441">
        <v>35</v>
      </c>
      <c r="D441" t="s">
        <v>743</v>
      </c>
      <c r="E441" t="s">
        <v>253</v>
      </c>
      <c r="F441" s="82">
        <v>45910</v>
      </c>
    </row>
    <row r="442" spans="1:6" x14ac:dyDescent="0.3">
      <c r="A442">
        <v>48476537</v>
      </c>
      <c r="B442" t="s">
        <v>1010</v>
      </c>
      <c r="C442">
        <v>32</v>
      </c>
      <c r="D442" t="s">
        <v>743</v>
      </c>
      <c r="E442" t="s">
        <v>253</v>
      </c>
      <c r="F442" s="82">
        <v>45352</v>
      </c>
    </row>
    <row r="443" spans="1:6" x14ac:dyDescent="0.3">
      <c r="A443">
        <v>78107236</v>
      </c>
      <c r="B443" t="s">
        <v>1011</v>
      </c>
      <c r="C443">
        <v>29</v>
      </c>
      <c r="D443" t="s">
        <v>762</v>
      </c>
      <c r="E443" t="s">
        <v>253</v>
      </c>
      <c r="F443" s="82">
        <v>45461</v>
      </c>
    </row>
    <row r="444" spans="1:6" x14ac:dyDescent="0.3">
      <c r="A444">
        <v>70093902</v>
      </c>
      <c r="B444" t="s">
        <v>1012</v>
      </c>
      <c r="C444">
        <v>33</v>
      </c>
      <c r="D444" t="s">
        <v>762</v>
      </c>
      <c r="E444" t="s">
        <v>253</v>
      </c>
      <c r="F444" s="82">
        <v>45918</v>
      </c>
    </row>
    <row r="445" spans="1:6" x14ac:dyDescent="0.3">
      <c r="A445">
        <v>40422176</v>
      </c>
      <c r="B445" t="s">
        <v>1013</v>
      </c>
      <c r="C445">
        <v>49</v>
      </c>
      <c r="D445" t="s">
        <v>743</v>
      </c>
      <c r="E445" t="s">
        <v>253</v>
      </c>
      <c r="F445" s="82">
        <v>44013</v>
      </c>
    </row>
    <row r="446" spans="1:6" x14ac:dyDescent="0.3">
      <c r="A446">
        <v>73780598</v>
      </c>
      <c r="B446" t="s">
        <v>1014</v>
      </c>
      <c r="C446">
        <v>20</v>
      </c>
      <c r="D446" t="s">
        <v>762</v>
      </c>
      <c r="E446" t="s">
        <v>253</v>
      </c>
      <c r="F446" s="82">
        <v>45300</v>
      </c>
    </row>
    <row r="447" spans="1:6" x14ac:dyDescent="0.3">
      <c r="A447">
        <v>90300483</v>
      </c>
      <c r="B447" t="s">
        <v>1015</v>
      </c>
      <c r="C447">
        <v>19</v>
      </c>
      <c r="D447" t="s">
        <v>743</v>
      </c>
      <c r="E447" t="s">
        <v>253</v>
      </c>
      <c r="F447" s="82">
        <v>46064</v>
      </c>
    </row>
    <row r="448" spans="1:6" x14ac:dyDescent="0.3">
      <c r="A448">
        <v>76176332</v>
      </c>
      <c r="B448" t="s">
        <v>1016</v>
      </c>
      <c r="C448">
        <v>28</v>
      </c>
      <c r="D448" t="s">
        <v>762</v>
      </c>
      <c r="E448" t="s">
        <v>253</v>
      </c>
      <c r="F448" s="82">
        <v>45062</v>
      </c>
    </row>
    <row r="449" spans="1:7" x14ac:dyDescent="0.3">
      <c r="A449">
        <v>61009599</v>
      </c>
      <c r="B449" t="s">
        <v>1228</v>
      </c>
      <c r="C449">
        <v>18</v>
      </c>
      <c r="D449" t="s">
        <v>743</v>
      </c>
      <c r="E449" t="s">
        <v>254</v>
      </c>
      <c r="F449" s="82">
        <v>46059</v>
      </c>
    </row>
    <row r="450" spans="1:7" x14ac:dyDescent="0.3">
      <c r="A450">
        <v>9946002</v>
      </c>
      <c r="B450" t="s">
        <v>441</v>
      </c>
      <c r="C450">
        <v>19</v>
      </c>
      <c r="D450" t="s">
        <v>743</v>
      </c>
      <c r="E450" t="s">
        <v>254</v>
      </c>
      <c r="F450" s="82">
        <v>45890</v>
      </c>
      <c r="G450"/>
    </row>
    <row r="451" spans="1:7" x14ac:dyDescent="0.3">
      <c r="A451">
        <v>75728869</v>
      </c>
      <c r="B451" t="s">
        <v>462</v>
      </c>
      <c r="C451">
        <v>21</v>
      </c>
      <c r="D451" t="s">
        <v>743</v>
      </c>
      <c r="E451" t="s">
        <v>254</v>
      </c>
      <c r="F451" s="82">
        <v>45916</v>
      </c>
      <c r="G451"/>
    </row>
    <row r="452" spans="1:7" x14ac:dyDescent="0.3">
      <c r="A452">
        <v>9509688</v>
      </c>
      <c r="B452" t="s">
        <v>616</v>
      </c>
      <c r="C452">
        <v>21</v>
      </c>
      <c r="D452" t="s">
        <v>743</v>
      </c>
      <c r="E452" t="s">
        <v>254</v>
      </c>
      <c r="F452" s="82">
        <v>40848</v>
      </c>
      <c r="G452"/>
    </row>
    <row r="453" spans="1:7" x14ac:dyDescent="0.3">
      <c r="A453">
        <v>9840430</v>
      </c>
      <c r="B453" t="s">
        <v>630</v>
      </c>
      <c r="C453">
        <v>33</v>
      </c>
      <c r="D453" t="s">
        <v>743</v>
      </c>
      <c r="E453" t="s">
        <v>254</v>
      </c>
      <c r="F453" s="82">
        <v>44488</v>
      </c>
      <c r="G453"/>
    </row>
    <row r="454" spans="1:7" x14ac:dyDescent="0.3">
      <c r="A454">
        <v>8177110</v>
      </c>
      <c r="B454" t="s">
        <v>684</v>
      </c>
      <c r="C454">
        <v>29</v>
      </c>
      <c r="D454" t="s">
        <v>743</v>
      </c>
      <c r="E454" t="s">
        <v>254</v>
      </c>
      <c r="F454" s="82">
        <v>40179</v>
      </c>
      <c r="G454"/>
    </row>
    <row r="455" spans="1:7" x14ac:dyDescent="0.3">
      <c r="A455">
        <v>7446365</v>
      </c>
      <c r="B455" t="s">
        <v>836</v>
      </c>
      <c r="C455">
        <v>59</v>
      </c>
      <c r="D455" t="s">
        <v>743</v>
      </c>
      <c r="E455" t="s">
        <v>253</v>
      </c>
      <c r="F455" s="82">
        <v>45874</v>
      </c>
      <c r="G455"/>
    </row>
    <row r="456" spans="1:7" x14ac:dyDescent="0.3">
      <c r="A456">
        <v>9940945</v>
      </c>
      <c r="B456" t="s">
        <v>905</v>
      </c>
      <c r="C456">
        <v>51</v>
      </c>
      <c r="D456" t="s">
        <v>743</v>
      </c>
      <c r="E456" t="s">
        <v>253</v>
      </c>
      <c r="F456" s="82">
        <v>44044</v>
      </c>
      <c r="G456"/>
    </row>
    <row r="457" spans="1:7" x14ac:dyDescent="0.3">
      <c r="A457">
        <v>9456747</v>
      </c>
      <c r="B457" t="s">
        <v>926</v>
      </c>
      <c r="C457">
        <v>60</v>
      </c>
      <c r="D457" t="s">
        <v>743</v>
      </c>
      <c r="E457" t="s">
        <v>253</v>
      </c>
      <c r="F457" s="82">
        <v>45444</v>
      </c>
      <c r="G457"/>
    </row>
    <row r="458" spans="1:7" x14ac:dyDescent="0.3">
      <c r="A458">
        <v>3379230</v>
      </c>
      <c r="B458" t="s">
        <v>1003</v>
      </c>
      <c r="C458">
        <v>49</v>
      </c>
      <c r="D458" t="s">
        <v>762</v>
      </c>
      <c r="E458" t="s">
        <v>253</v>
      </c>
      <c r="F458" s="82">
        <v>44013</v>
      </c>
      <c r="G458"/>
    </row>
    <row r="459" spans="1:7" x14ac:dyDescent="0.3">
      <c r="A459">
        <v>9946002</v>
      </c>
      <c r="B459" t="s">
        <v>441</v>
      </c>
      <c r="C459">
        <v>19</v>
      </c>
      <c r="D459" t="s">
        <v>743</v>
      </c>
      <c r="E459" t="s">
        <v>254</v>
      </c>
      <c r="F459" s="82">
        <v>45890</v>
      </c>
      <c r="G459"/>
    </row>
    <row r="460" spans="1:7" x14ac:dyDescent="0.3">
      <c r="A460">
        <v>9509688</v>
      </c>
      <c r="B460" t="s">
        <v>616</v>
      </c>
      <c r="C460">
        <v>21</v>
      </c>
      <c r="D460" t="s">
        <v>743</v>
      </c>
      <c r="E460" t="s">
        <v>254</v>
      </c>
      <c r="F460" s="82">
        <v>40848</v>
      </c>
      <c r="G460"/>
    </row>
    <row r="461" spans="1:7" x14ac:dyDescent="0.3">
      <c r="A461">
        <v>9840430</v>
      </c>
      <c r="B461" t="s">
        <v>630</v>
      </c>
      <c r="C461">
        <v>33</v>
      </c>
      <c r="D461" t="s">
        <v>743</v>
      </c>
      <c r="E461" t="s">
        <v>254</v>
      </c>
      <c r="F461" s="82">
        <v>44488</v>
      </c>
      <c r="G461"/>
    </row>
    <row r="462" spans="1:7" x14ac:dyDescent="0.3">
      <c r="A462">
        <v>8177110</v>
      </c>
      <c r="B462" t="s">
        <v>684</v>
      </c>
      <c r="C462">
        <v>29</v>
      </c>
      <c r="D462" t="s">
        <v>743</v>
      </c>
      <c r="E462" t="s">
        <v>254</v>
      </c>
      <c r="F462" s="82">
        <v>40179</v>
      </c>
      <c r="G462"/>
    </row>
    <row r="463" spans="1:7" x14ac:dyDescent="0.3">
      <c r="A463">
        <v>7446365</v>
      </c>
      <c r="B463" t="s">
        <v>836</v>
      </c>
      <c r="C463">
        <v>59</v>
      </c>
      <c r="D463" t="s">
        <v>743</v>
      </c>
      <c r="E463" t="s">
        <v>253</v>
      </c>
      <c r="F463" s="82">
        <v>45874</v>
      </c>
      <c r="G463"/>
    </row>
    <row r="464" spans="1:7" x14ac:dyDescent="0.3">
      <c r="A464">
        <v>9940945</v>
      </c>
      <c r="B464" t="s">
        <v>905</v>
      </c>
      <c r="C464">
        <v>51</v>
      </c>
      <c r="D464" t="s">
        <v>743</v>
      </c>
      <c r="E464" t="s">
        <v>253</v>
      </c>
      <c r="F464" s="82">
        <v>44044</v>
      </c>
      <c r="G464"/>
    </row>
    <row r="465" spans="1:7" x14ac:dyDescent="0.3">
      <c r="A465">
        <v>9456747</v>
      </c>
      <c r="B465" t="s">
        <v>926</v>
      </c>
      <c r="C465">
        <v>60</v>
      </c>
      <c r="D465" t="s">
        <v>743</v>
      </c>
      <c r="E465" t="s">
        <v>253</v>
      </c>
      <c r="F465" s="82">
        <v>45444</v>
      </c>
      <c r="G465"/>
    </row>
    <row r="466" spans="1:7" x14ac:dyDescent="0.3">
      <c r="A466">
        <v>3379230</v>
      </c>
      <c r="B466" t="s">
        <v>1003</v>
      </c>
      <c r="C466">
        <v>49</v>
      </c>
      <c r="D466" t="s">
        <v>762</v>
      </c>
      <c r="E466" t="s">
        <v>253</v>
      </c>
      <c r="F466" s="82">
        <v>44013</v>
      </c>
      <c r="G466"/>
    </row>
    <row r="467" spans="1:7" x14ac:dyDescent="0.3">
      <c r="A467">
        <v>9946002</v>
      </c>
      <c r="B467" t="s">
        <v>441</v>
      </c>
      <c r="C467">
        <v>19</v>
      </c>
      <c r="D467" t="s">
        <v>743</v>
      </c>
      <c r="E467" t="s">
        <v>254</v>
      </c>
      <c r="F467" s="82">
        <v>45890</v>
      </c>
      <c r="G467"/>
    </row>
    <row r="468" spans="1:7" x14ac:dyDescent="0.3">
      <c r="A468">
        <v>9509688</v>
      </c>
      <c r="B468" t="s">
        <v>616</v>
      </c>
      <c r="C468">
        <v>21</v>
      </c>
      <c r="D468" t="s">
        <v>743</v>
      </c>
      <c r="E468" t="s">
        <v>254</v>
      </c>
      <c r="F468" s="82">
        <v>40848</v>
      </c>
      <c r="G468"/>
    </row>
    <row r="469" spans="1:7" x14ac:dyDescent="0.3">
      <c r="A469">
        <v>9840430</v>
      </c>
      <c r="B469" t="s">
        <v>630</v>
      </c>
      <c r="C469">
        <v>33</v>
      </c>
      <c r="D469" t="s">
        <v>743</v>
      </c>
      <c r="E469" t="s">
        <v>254</v>
      </c>
      <c r="F469" s="82">
        <v>44488</v>
      </c>
      <c r="G469"/>
    </row>
    <row r="470" spans="1:7" x14ac:dyDescent="0.3">
      <c r="A470">
        <v>8177110</v>
      </c>
      <c r="B470" t="s">
        <v>684</v>
      </c>
      <c r="C470">
        <v>29</v>
      </c>
      <c r="D470" t="s">
        <v>743</v>
      </c>
      <c r="E470" t="s">
        <v>254</v>
      </c>
      <c r="F470" s="82">
        <v>40179</v>
      </c>
      <c r="G470"/>
    </row>
    <row r="471" spans="1:7" x14ac:dyDescent="0.3">
      <c r="A471">
        <v>7446365</v>
      </c>
      <c r="B471" t="s">
        <v>836</v>
      </c>
      <c r="C471">
        <v>59</v>
      </c>
      <c r="D471" t="s">
        <v>743</v>
      </c>
      <c r="E471" t="s">
        <v>253</v>
      </c>
      <c r="F471" s="82">
        <v>45874</v>
      </c>
      <c r="G471"/>
    </row>
    <row r="472" spans="1:7" x14ac:dyDescent="0.3">
      <c r="A472">
        <v>9940945</v>
      </c>
      <c r="B472" t="s">
        <v>905</v>
      </c>
      <c r="C472">
        <v>51</v>
      </c>
      <c r="D472" t="s">
        <v>743</v>
      </c>
      <c r="E472" t="s">
        <v>253</v>
      </c>
      <c r="F472" s="82">
        <v>44044</v>
      </c>
      <c r="G472"/>
    </row>
    <row r="473" spans="1:7" x14ac:dyDescent="0.3">
      <c r="A473">
        <v>9456747</v>
      </c>
      <c r="B473" t="s">
        <v>926</v>
      </c>
      <c r="C473">
        <v>60</v>
      </c>
      <c r="D473" t="s">
        <v>743</v>
      </c>
      <c r="E473" t="s">
        <v>253</v>
      </c>
      <c r="F473" s="82">
        <v>45444</v>
      </c>
      <c r="G473"/>
    </row>
    <row r="474" spans="1:7" x14ac:dyDescent="0.3">
      <c r="A474">
        <v>3379230</v>
      </c>
      <c r="B474" t="s">
        <v>1003</v>
      </c>
      <c r="C474">
        <v>49</v>
      </c>
      <c r="D474" t="s">
        <v>762</v>
      </c>
      <c r="E474" t="s">
        <v>253</v>
      </c>
      <c r="F474" s="82">
        <v>44013</v>
      </c>
      <c r="G474"/>
    </row>
    <row r="475" spans="1:7" x14ac:dyDescent="0.3">
      <c r="A475">
        <v>9946002</v>
      </c>
      <c r="B475" t="s">
        <v>441</v>
      </c>
      <c r="C475">
        <v>19</v>
      </c>
      <c r="D475" t="s">
        <v>743</v>
      </c>
      <c r="E475" t="s">
        <v>254</v>
      </c>
      <c r="F475" s="82">
        <v>45890</v>
      </c>
      <c r="G475"/>
    </row>
    <row r="476" spans="1:7" x14ac:dyDescent="0.3">
      <c r="A476">
        <v>9509688</v>
      </c>
      <c r="B476" t="s">
        <v>616</v>
      </c>
      <c r="C476">
        <v>21</v>
      </c>
      <c r="D476" t="s">
        <v>743</v>
      </c>
      <c r="E476" t="s">
        <v>254</v>
      </c>
      <c r="F476" s="82">
        <v>40848</v>
      </c>
      <c r="G476"/>
    </row>
    <row r="477" spans="1:7" x14ac:dyDescent="0.3">
      <c r="A477">
        <v>9840430</v>
      </c>
      <c r="B477" t="s">
        <v>630</v>
      </c>
      <c r="C477">
        <v>33</v>
      </c>
      <c r="D477" t="s">
        <v>743</v>
      </c>
      <c r="E477" t="s">
        <v>254</v>
      </c>
      <c r="F477" s="82">
        <v>44488</v>
      </c>
      <c r="G477"/>
    </row>
    <row r="478" spans="1:7" x14ac:dyDescent="0.3">
      <c r="A478">
        <v>8177110</v>
      </c>
      <c r="B478" t="s">
        <v>684</v>
      </c>
      <c r="C478">
        <v>29</v>
      </c>
      <c r="D478" t="s">
        <v>743</v>
      </c>
      <c r="E478" t="s">
        <v>254</v>
      </c>
      <c r="F478" s="82">
        <v>40179</v>
      </c>
      <c r="G478"/>
    </row>
    <row r="479" spans="1:7" x14ac:dyDescent="0.3">
      <c r="A479">
        <v>7446365</v>
      </c>
      <c r="B479" t="s">
        <v>836</v>
      </c>
      <c r="C479">
        <v>59</v>
      </c>
      <c r="D479" t="s">
        <v>743</v>
      </c>
      <c r="E479" t="s">
        <v>253</v>
      </c>
      <c r="F479" s="82">
        <v>45874</v>
      </c>
      <c r="G479"/>
    </row>
    <row r="480" spans="1:7" x14ac:dyDescent="0.3">
      <c r="A480">
        <v>9940945</v>
      </c>
      <c r="B480" t="s">
        <v>905</v>
      </c>
      <c r="C480">
        <v>51</v>
      </c>
      <c r="D480" t="s">
        <v>743</v>
      </c>
      <c r="E480" t="s">
        <v>253</v>
      </c>
      <c r="F480" s="82">
        <v>44044</v>
      </c>
      <c r="G480"/>
    </row>
    <row r="481" spans="1:7" x14ac:dyDescent="0.3">
      <c r="A481">
        <v>9456747</v>
      </c>
      <c r="B481" t="s">
        <v>926</v>
      </c>
      <c r="C481">
        <v>60</v>
      </c>
      <c r="D481" t="s">
        <v>743</v>
      </c>
      <c r="E481" t="s">
        <v>253</v>
      </c>
      <c r="F481" s="82">
        <v>45444</v>
      </c>
      <c r="G481"/>
    </row>
    <row r="482" spans="1:7" x14ac:dyDescent="0.3">
      <c r="A482">
        <v>3379230</v>
      </c>
      <c r="B482" t="s">
        <v>1003</v>
      </c>
      <c r="C482">
        <v>49</v>
      </c>
      <c r="D482" t="s">
        <v>762</v>
      </c>
      <c r="E482" t="s">
        <v>253</v>
      </c>
      <c r="F482" s="82">
        <v>44013</v>
      </c>
      <c r="G482"/>
    </row>
    <row r="483" spans="1:7" x14ac:dyDescent="0.3">
      <c r="A483">
        <v>9946002</v>
      </c>
      <c r="B483" t="s">
        <v>441</v>
      </c>
      <c r="C483">
        <v>19</v>
      </c>
      <c r="D483" t="s">
        <v>743</v>
      </c>
      <c r="E483" t="s">
        <v>254</v>
      </c>
      <c r="F483" s="82">
        <v>45890</v>
      </c>
      <c r="G483"/>
    </row>
    <row r="484" spans="1:7" x14ac:dyDescent="0.3">
      <c r="A484">
        <v>9509688</v>
      </c>
      <c r="B484" t="s">
        <v>616</v>
      </c>
      <c r="C484">
        <v>21</v>
      </c>
      <c r="D484" t="s">
        <v>743</v>
      </c>
      <c r="E484" t="s">
        <v>254</v>
      </c>
      <c r="F484" s="82">
        <v>40848</v>
      </c>
      <c r="G484"/>
    </row>
    <row r="485" spans="1:7" x14ac:dyDescent="0.3">
      <c r="A485">
        <v>9840430</v>
      </c>
      <c r="B485" t="s">
        <v>630</v>
      </c>
      <c r="C485">
        <v>33</v>
      </c>
      <c r="D485" t="s">
        <v>743</v>
      </c>
      <c r="E485" t="s">
        <v>254</v>
      </c>
      <c r="F485" s="82">
        <v>44488</v>
      </c>
      <c r="G485"/>
    </row>
    <row r="486" spans="1:7" x14ac:dyDescent="0.3">
      <c r="A486">
        <v>8177110</v>
      </c>
      <c r="B486" t="s">
        <v>684</v>
      </c>
      <c r="C486">
        <v>29</v>
      </c>
      <c r="D486" t="s">
        <v>743</v>
      </c>
      <c r="E486" t="s">
        <v>254</v>
      </c>
      <c r="F486" s="82">
        <v>40179</v>
      </c>
      <c r="G486"/>
    </row>
    <row r="487" spans="1:7" x14ac:dyDescent="0.3">
      <c r="A487">
        <v>7446365</v>
      </c>
      <c r="B487" t="s">
        <v>836</v>
      </c>
      <c r="C487">
        <v>59</v>
      </c>
      <c r="D487" t="s">
        <v>743</v>
      </c>
      <c r="E487" t="s">
        <v>253</v>
      </c>
      <c r="F487" s="82">
        <v>45874</v>
      </c>
      <c r="G487"/>
    </row>
    <row r="488" spans="1:7" x14ac:dyDescent="0.3">
      <c r="A488">
        <v>9940945</v>
      </c>
      <c r="B488" t="s">
        <v>905</v>
      </c>
      <c r="C488">
        <v>51</v>
      </c>
      <c r="D488" t="s">
        <v>743</v>
      </c>
      <c r="E488" t="s">
        <v>253</v>
      </c>
      <c r="F488" s="82">
        <v>44044</v>
      </c>
      <c r="G488"/>
    </row>
    <row r="489" spans="1:7" x14ac:dyDescent="0.3">
      <c r="A489">
        <v>9456747</v>
      </c>
      <c r="B489" t="s">
        <v>926</v>
      </c>
      <c r="C489">
        <v>60</v>
      </c>
      <c r="D489" t="s">
        <v>743</v>
      </c>
      <c r="E489" t="s">
        <v>253</v>
      </c>
      <c r="F489" s="82">
        <v>45444</v>
      </c>
      <c r="G489"/>
    </row>
    <row r="490" spans="1:7" x14ac:dyDescent="0.3">
      <c r="A490">
        <v>3379230</v>
      </c>
      <c r="B490" t="s">
        <v>1003</v>
      </c>
      <c r="C490">
        <v>49</v>
      </c>
      <c r="D490" t="s">
        <v>762</v>
      </c>
      <c r="E490" t="s">
        <v>253</v>
      </c>
      <c r="F490" s="82">
        <v>44013</v>
      </c>
      <c r="G490"/>
    </row>
    <row r="491" spans="1:7" x14ac:dyDescent="0.3">
      <c r="A491">
        <v>9946002</v>
      </c>
      <c r="B491" t="s">
        <v>441</v>
      </c>
      <c r="C491">
        <v>19</v>
      </c>
      <c r="D491" t="s">
        <v>743</v>
      </c>
      <c r="E491" t="s">
        <v>254</v>
      </c>
      <c r="F491" s="82">
        <v>45890</v>
      </c>
      <c r="G491"/>
    </row>
    <row r="492" spans="1:7" x14ac:dyDescent="0.3">
      <c r="A492">
        <v>9509688</v>
      </c>
      <c r="B492" t="s">
        <v>616</v>
      </c>
      <c r="C492">
        <v>21</v>
      </c>
      <c r="D492" t="s">
        <v>743</v>
      </c>
      <c r="E492" t="s">
        <v>254</v>
      </c>
      <c r="F492" s="82">
        <v>40848</v>
      </c>
      <c r="G492"/>
    </row>
    <row r="493" spans="1:7" x14ac:dyDescent="0.3">
      <c r="A493">
        <v>9840430</v>
      </c>
      <c r="B493" t="s">
        <v>630</v>
      </c>
      <c r="C493">
        <v>33</v>
      </c>
      <c r="D493" t="s">
        <v>743</v>
      </c>
      <c r="E493" t="s">
        <v>254</v>
      </c>
      <c r="F493" s="82">
        <v>44488</v>
      </c>
      <c r="G493"/>
    </row>
    <row r="494" spans="1:7" x14ac:dyDescent="0.3">
      <c r="A494">
        <v>8177110</v>
      </c>
      <c r="B494" t="s">
        <v>684</v>
      </c>
      <c r="C494">
        <v>29</v>
      </c>
      <c r="D494" t="s">
        <v>743</v>
      </c>
      <c r="E494" t="s">
        <v>254</v>
      </c>
      <c r="F494" s="82">
        <v>40179</v>
      </c>
      <c r="G494"/>
    </row>
    <row r="495" spans="1:7" x14ac:dyDescent="0.3">
      <c r="A495">
        <v>7446365</v>
      </c>
      <c r="B495" t="s">
        <v>836</v>
      </c>
      <c r="C495">
        <v>59</v>
      </c>
      <c r="D495" t="s">
        <v>743</v>
      </c>
      <c r="E495" t="s">
        <v>253</v>
      </c>
      <c r="F495" s="82">
        <v>45874</v>
      </c>
      <c r="G495"/>
    </row>
    <row r="496" spans="1:7" x14ac:dyDescent="0.3">
      <c r="A496">
        <v>9940945</v>
      </c>
      <c r="B496" t="s">
        <v>905</v>
      </c>
      <c r="C496">
        <v>51</v>
      </c>
      <c r="D496" t="s">
        <v>743</v>
      </c>
      <c r="E496" t="s">
        <v>253</v>
      </c>
      <c r="F496" s="82">
        <v>44044</v>
      </c>
      <c r="G496"/>
    </row>
    <row r="497" spans="1:7" x14ac:dyDescent="0.3">
      <c r="A497">
        <v>9456747</v>
      </c>
      <c r="B497" t="s">
        <v>926</v>
      </c>
      <c r="C497">
        <v>60</v>
      </c>
      <c r="D497" t="s">
        <v>743</v>
      </c>
      <c r="E497" t="s">
        <v>253</v>
      </c>
      <c r="F497" s="82">
        <v>45444</v>
      </c>
      <c r="G497"/>
    </row>
    <row r="498" spans="1:7" x14ac:dyDescent="0.3">
      <c r="A498">
        <v>3379230</v>
      </c>
      <c r="B498" t="s">
        <v>1003</v>
      </c>
      <c r="C498">
        <v>49</v>
      </c>
      <c r="D498" t="s">
        <v>762</v>
      </c>
      <c r="E498" t="s">
        <v>253</v>
      </c>
      <c r="F498" s="82">
        <v>44013</v>
      </c>
      <c r="G498"/>
    </row>
    <row r="499" spans="1:7" x14ac:dyDescent="0.3">
      <c r="A499">
        <v>9946002</v>
      </c>
      <c r="B499" t="s">
        <v>441</v>
      </c>
      <c r="C499">
        <v>19</v>
      </c>
      <c r="D499" t="s">
        <v>743</v>
      </c>
      <c r="E499" t="s">
        <v>254</v>
      </c>
      <c r="F499" s="82">
        <v>45890</v>
      </c>
      <c r="G499"/>
    </row>
    <row r="500" spans="1:7" x14ac:dyDescent="0.3">
      <c r="A500">
        <v>9509688</v>
      </c>
      <c r="B500" t="s">
        <v>616</v>
      </c>
      <c r="C500">
        <v>21</v>
      </c>
      <c r="D500" t="s">
        <v>743</v>
      </c>
      <c r="E500" t="s">
        <v>254</v>
      </c>
      <c r="F500" s="82">
        <v>40848</v>
      </c>
      <c r="G500"/>
    </row>
    <row r="501" spans="1:7" x14ac:dyDescent="0.3">
      <c r="A501">
        <v>9840430</v>
      </c>
      <c r="B501" t="s">
        <v>630</v>
      </c>
      <c r="C501">
        <v>33</v>
      </c>
      <c r="D501" t="s">
        <v>743</v>
      </c>
      <c r="E501" t="s">
        <v>254</v>
      </c>
      <c r="F501" s="82">
        <v>44488</v>
      </c>
      <c r="G501"/>
    </row>
    <row r="502" spans="1:7" x14ac:dyDescent="0.3">
      <c r="A502">
        <v>8177110</v>
      </c>
      <c r="B502" t="s">
        <v>684</v>
      </c>
      <c r="C502">
        <v>29</v>
      </c>
      <c r="D502" t="s">
        <v>743</v>
      </c>
      <c r="E502" t="s">
        <v>254</v>
      </c>
      <c r="F502" s="82">
        <v>40179</v>
      </c>
      <c r="G502"/>
    </row>
    <row r="503" spans="1:7" x14ac:dyDescent="0.3">
      <c r="A503">
        <v>7446365</v>
      </c>
      <c r="B503" t="s">
        <v>836</v>
      </c>
      <c r="C503">
        <v>59</v>
      </c>
      <c r="D503" t="s">
        <v>743</v>
      </c>
      <c r="E503" t="s">
        <v>253</v>
      </c>
      <c r="F503" s="82">
        <v>45874</v>
      </c>
    </row>
    <row r="504" spans="1:7" x14ac:dyDescent="0.3">
      <c r="A504">
        <v>9940945</v>
      </c>
      <c r="B504" t="s">
        <v>905</v>
      </c>
      <c r="C504">
        <v>51</v>
      </c>
      <c r="D504" t="s">
        <v>743</v>
      </c>
      <c r="E504" t="s">
        <v>253</v>
      </c>
      <c r="F504" s="82">
        <v>44044</v>
      </c>
    </row>
    <row r="505" spans="1:7" x14ac:dyDescent="0.3">
      <c r="A505">
        <v>9456747</v>
      </c>
      <c r="B505" t="s">
        <v>926</v>
      </c>
      <c r="C505">
        <v>60</v>
      </c>
      <c r="D505" t="s">
        <v>743</v>
      </c>
      <c r="E505" t="s">
        <v>253</v>
      </c>
      <c r="F505" s="82">
        <v>45444</v>
      </c>
    </row>
    <row r="506" spans="1:7" x14ac:dyDescent="0.3">
      <c r="A506">
        <v>3379230</v>
      </c>
      <c r="B506" t="s">
        <v>1003</v>
      </c>
      <c r="C506">
        <v>49</v>
      </c>
      <c r="D506" t="s">
        <v>762</v>
      </c>
      <c r="E506" t="s">
        <v>253</v>
      </c>
      <c r="F506" s="82">
        <v>44013</v>
      </c>
    </row>
    <row r="507" spans="1:7" x14ac:dyDescent="0.3">
      <c r="A507">
        <v>9946002</v>
      </c>
      <c r="B507" t="s">
        <v>441</v>
      </c>
      <c r="C507">
        <v>19</v>
      </c>
      <c r="D507" t="s">
        <v>743</v>
      </c>
      <c r="E507" t="s">
        <v>254</v>
      </c>
      <c r="F507" s="82">
        <v>45890</v>
      </c>
    </row>
    <row r="508" spans="1:7" x14ac:dyDescent="0.3">
      <c r="A508">
        <v>9509688</v>
      </c>
      <c r="B508" t="s">
        <v>616</v>
      </c>
      <c r="C508">
        <v>21</v>
      </c>
      <c r="D508" t="s">
        <v>743</v>
      </c>
      <c r="E508" t="s">
        <v>254</v>
      </c>
      <c r="F508" s="82">
        <v>40848</v>
      </c>
    </row>
    <row r="509" spans="1:7" x14ac:dyDescent="0.3">
      <c r="A509">
        <v>9840430</v>
      </c>
      <c r="B509" t="s">
        <v>630</v>
      </c>
      <c r="C509">
        <v>33</v>
      </c>
      <c r="D509" t="s">
        <v>743</v>
      </c>
      <c r="E509" t="s">
        <v>254</v>
      </c>
      <c r="F509" s="82">
        <v>44488</v>
      </c>
    </row>
    <row r="510" spans="1:7" x14ac:dyDescent="0.3">
      <c r="A510">
        <v>8177110</v>
      </c>
      <c r="B510" t="s">
        <v>684</v>
      </c>
      <c r="C510">
        <v>29</v>
      </c>
      <c r="D510" t="s">
        <v>743</v>
      </c>
      <c r="E510" t="s">
        <v>254</v>
      </c>
      <c r="F510" s="82">
        <v>40179</v>
      </c>
    </row>
    <row r="511" spans="1:7" x14ac:dyDescent="0.3">
      <c r="A511">
        <v>7446365</v>
      </c>
      <c r="B511" t="s">
        <v>836</v>
      </c>
      <c r="C511">
        <v>59</v>
      </c>
      <c r="D511" t="s">
        <v>743</v>
      </c>
      <c r="E511" t="s">
        <v>253</v>
      </c>
      <c r="F511" s="82">
        <v>45874</v>
      </c>
    </row>
    <row r="512" spans="1:7" x14ac:dyDescent="0.3">
      <c r="A512">
        <v>9940945</v>
      </c>
      <c r="B512" t="s">
        <v>905</v>
      </c>
      <c r="C512">
        <v>51</v>
      </c>
      <c r="D512" t="s">
        <v>743</v>
      </c>
      <c r="E512" t="s">
        <v>253</v>
      </c>
      <c r="F512" s="82">
        <v>44044</v>
      </c>
    </row>
    <row r="513" spans="1:6" x14ac:dyDescent="0.3">
      <c r="A513">
        <v>9456747</v>
      </c>
      <c r="B513" t="s">
        <v>926</v>
      </c>
      <c r="C513">
        <v>60</v>
      </c>
      <c r="D513" t="s">
        <v>743</v>
      </c>
      <c r="E513" t="s">
        <v>253</v>
      </c>
      <c r="F513" s="82">
        <v>45444</v>
      </c>
    </row>
    <row r="514" spans="1:6" x14ac:dyDescent="0.3">
      <c r="A514">
        <v>3379230</v>
      </c>
      <c r="B514" t="s">
        <v>1003</v>
      </c>
      <c r="C514">
        <v>49</v>
      </c>
      <c r="D514" t="s">
        <v>762</v>
      </c>
      <c r="E514" t="s">
        <v>253</v>
      </c>
      <c r="F514" s="82">
        <v>44013</v>
      </c>
    </row>
    <row r="515" spans="1:6" x14ac:dyDescent="0.3">
      <c r="A515">
        <v>9946002</v>
      </c>
      <c r="B515" t="s">
        <v>441</v>
      </c>
      <c r="C515">
        <v>19</v>
      </c>
      <c r="D515" t="s">
        <v>743</v>
      </c>
      <c r="E515" t="s">
        <v>254</v>
      </c>
      <c r="F515" s="82">
        <v>45890</v>
      </c>
    </row>
    <row r="516" spans="1:6" x14ac:dyDescent="0.3">
      <c r="A516">
        <v>9509688</v>
      </c>
      <c r="B516" t="s">
        <v>616</v>
      </c>
      <c r="C516">
        <v>21</v>
      </c>
      <c r="D516" t="s">
        <v>743</v>
      </c>
      <c r="E516" t="s">
        <v>254</v>
      </c>
      <c r="F516" s="82">
        <v>40848</v>
      </c>
    </row>
    <row r="517" spans="1:6" x14ac:dyDescent="0.3">
      <c r="A517">
        <v>9840430</v>
      </c>
      <c r="B517" t="s">
        <v>630</v>
      </c>
      <c r="C517">
        <v>33</v>
      </c>
      <c r="D517" t="s">
        <v>743</v>
      </c>
      <c r="E517" t="s">
        <v>254</v>
      </c>
      <c r="F517" s="82">
        <v>44488</v>
      </c>
    </row>
    <row r="518" spans="1:6" x14ac:dyDescent="0.3">
      <c r="A518">
        <v>8177110</v>
      </c>
      <c r="B518" t="s">
        <v>684</v>
      </c>
      <c r="C518">
        <v>29</v>
      </c>
      <c r="D518" t="s">
        <v>743</v>
      </c>
      <c r="E518" t="s">
        <v>254</v>
      </c>
      <c r="F518" s="82">
        <v>40179</v>
      </c>
    </row>
    <row r="519" spans="1:6" x14ac:dyDescent="0.3">
      <c r="A519">
        <v>7446365</v>
      </c>
      <c r="B519" t="s">
        <v>836</v>
      </c>
      <c r="C519">
        <v>59</v>
      </c>
      <c r="D519" t="s">
        <v>743</v>
      </c>
      <c r="E519" t="s">
        <v>253</v>
      </c>
      <c r="F519" s="82">
        <v>45874</v>
      </c>
    </row>
    <row r="520" spans="1:6" x14ac:dyDescent="0.3">
      <c r="A520">
        <v>9940945</v>
      </c>
      <c r="B520" t="s">
        <v>905</v>
      </c>
      <c r="C520">
        <v>51</v>
      </c>
      <c r="D520" t="s">
        <v>743</v>
      </c>
      <c r="E520" t="s">
        <v>253</v>
      </c>
      <c r="F520" s="82">
        <v>44044</v>
      </c>
    </row>
    <row r="521" spans="1:6" x14ac:dyDescent="0.3">
      <c r="A521">
        <v>9456747</v>
      </c>
      <c r="B521" t="s">
        <v>926</v>
      </c>
      <c r="C521">
        <v>60</v>
      </c>
      <c r="D521" t="s">
        <v>743</v>
      </c>
      <c r="E521" t="s">
        <v>253</v>
      </c>
      <c r="F521" s="82">
        <v>45444</v>
      </c>
    </row>
    <row r="522" spans="1:6" x14ac:dyDescent="0.3">
      <c r="A522">
        <v>3379230</v>
      </c>
      <c r="B522" t="s">
        <v>1003</v>
      </c>
      <c r="C522">
        <v>49</v>
      </c>
      <c r="D522" t="s">
        <v>762</v>
      </c>
      <c r="E522" t="s">
        <v>253</v>
      </c>
      <c r="F522" s="82">
        <v>44013</v>
      </c>
    </row>
    <row r="523" spans="1:6" x14ac:dyDescent="0.3">
      <c r="A523">
        <v>9946002</v>
      </c>
      <c r="B523" t="s">
        <v>441</v>
      </c>
      <c r="C523">
        <v>19</v>
      </c>
      <c r="D523" t="s">
        <v>743</v>
      </c>
      <c r="E523" t="s">
        <v>254</v>
      </c>
      <c r="F523" s="82">
        <v>45890</v>
      </c>
    </row>
    <row r="524" spans="1:6" x14ac:dyDescent="0.3">
      <c r="A524">
        <v>9509688</v>
      </c>
      <c r="B524" t="s">
        <v>616</v>
      </c>
      <c r="C524">
        <v>21</v>
      </c>
      <c r="D524" t="s">
        <v>743</v>
      </c>
      <c r="E524" t="s">
        <v>254</v>
      </c>
      <c r="F524" s="82">
        <v>40848</v>
      </c>
    </row>
    <row r="525" spans="1:6" x14ac:dyDescent="0.3">
      <c r="A525">
        <v>9840430</v>
      </c>
      <c r="B525" t="s">
        <v>630</v>
      </c>
      <c r="C525">
        <v>33</v>
      </c>
      <c r="D525" t="s">
        <v>743</v>
      </c>
      <c r="E525" t="s">
        <v>254</v>
      </c>
      <c r="F525" s="82">
        <v>44488</v>
      </c>
    </row>
    <row r="526" spans="1:6" x14ac:dyDescent="0.3">
      <c r="A526">
        <v>8177110</v>
      </c>
      <c r="B526" t="s">
        <v>684</v>
      </c>
      <c r="C526">
        <v>29</v>
      </c>
      <c r="D526" t="s">
        <v>743</v>
      </c>
      <c r="E526" t="s">
        <v>254</v>
      </c>
      <c r="F526" s="82">
        <v>40179</v>
      </c>
    </row>
    <row r="527" spans="1:6" x14ac:dyDescent="0.3">
      <c r="A527">
        <v>7446365</v>
      </c>
      <c r="B527" t="s">
        <v>836</v>
      </c>
      <c r="C527">
        <v>59</v>
      </c>
      <c r="D527" t="s">
        <v>743</v>
      </c>
      <c r="E527" t="s">
        <v>253</v>
      </c>
      <c r="F527" s="82">
        <v>45874</v>
      </c>
    </row>
    <row r="528" spans="1:6" x14ac:dyDescent="0.3">
      <c r="A528">
        <v>9940945</v>
      </c>
      <c r="B528" t="s">
        <v>905</v>
      </c>
      <c r="C528">
        <v>51</v>
      </c>
      <c r="D528" t="s">
        <v>743</v>
      </c>
      <c r="E528" t="s">
        <v>253</v>
      </c>
      <c r="F528" s="82">
        <v>44044</v>
      </c>
    </row>
    <row r="529" spans="1:6" x14ac:dyDescent="0.3">
      <c r="A529">
        <v>9456747</v>
      </c>
      <c r="B529" t="s">
        <v>926</v>
      </c>
      <c r="C529">
        <v>60</v>
      </c>
      <c r="D529" t="s">
        <v>743</v>
      </c>
      <c r="E529" t="s">
        <v>253</v>
      </c>
      <c r="F529" s="82">
        <v>45444</v>
      </c>
    </row>
    <row r="530" spans="1:6" x14ac:dyDescent="0.3">
      <c r="A530">
        <v>3379230</v>
      </c>
      <c r="B530" t="s">
        <v>1003</v>
      </c>
      <c r="C530">
        <v>49</v>
      </c>
      <c r="D530" t="s">
        <v>762</v>
      </c>
      <c r="E530" t="s">
        <v>253</v>
      </c>
      <c r="F530" s="82">
        <v>44013</v>
      </c>
    </row>
    <row r="531" spans="1:6" x14ac:dyDescent="0.3">
      <c r="A531">
        <v>9946002</v>
      </c>
      <c r="B531" t="s">
        <v>441</v>
      </c>
      <c r="C531">
        <v>19</v>
      </c>
      <c r="D531" t="s">
        <v>743</v>
      </c>
      <c r="E531" t="s">
        <v>254</v>
      </c>
      <c r="F531" s="82">
        <v>45890</v>
      </c>
    </row>
    <row r="532" spans="1:6" x14ac:dyDescent="0.3">
      <c r="A532">
        <v>9509688</v>
      </c>
      <c r="B532" t="s">
        <v>616</v>
      </c>
      <c r="C532">
        <v>21</v>
      </c>
      <c r="D532" t="s">
        <v>743</v>
      </c>
      <c r="E532" t="s">
        <v>254</v>
      </c>
      <c r="F532" s="82">
        <v>40848</v>
      </c>
    </row>
    <row r="533" spans="1:6" x14ac:dyDescent="0.3">
      <c r="A533">
        <v>9840430</v>
      </c>
      <c r="B533" t="s">
        <v>630</v>
      </c>
      <c r="C533">
        <v>33</v>
      </c>
      <c r="D533" t="s">
        <v>743</v>
      </c>
      <c r="E533" t="s">
        <v>254</v>
      </c>
      <c r="F533" s="82">
        <v>44488</v>
      </c>
    </row>
    <row r="534" spans="1:6" x14ac:dyDescent="0.3">
      <c r="A534">
        <v>8177110</v>
      </c>
      <c r="B534" t="s">
        <v>684</v>
      </c>
      <c r="C534">
        <v>29</v>
      </c>
      <c r="D534" t="s">
        <v>743</v>
      </c>
      <c r="E534" t="s">
        <v>254</v>
      </c>
      <c r="F534" s="82">
        <v>40179</v>
      </c>
    </row>
    <row r="535" spans="1:6" x14ac:dyDescent="0.3">
      <c r="A535">
        <v>7446365</v>
      </c>
      <c r="B535" t="s">
        <v>836</v>
      </c>
      <c r="C535">
        <v>59</v>
      </c>
      <c r="D535" t="s">
        <v>743</v>
      </c>
      <c r="E535" t="s">
        <v>253</v>
      </c>
      <c r="F535" s="82">
        <v>45874</v>
      </c>
    </row>
    <row r="536" spans="1:6" x14ac:dyDescent="0.3">
      <c r="A536">
        <v>9940945</v>
      </c>
      <c r="B536" t="s">
        <v>905</v>
      </c>
      <c r="C536">
        <v>51</v>
      </c>
      <c r="D536" t="s">
        <v>743</v>
      </c>
      <c r="E536" t="s">
        <v>253</v>
      </c>
      <c r="F536" s="82">
        <v>44044</v>
      </c>
    </row>
    <row r="537" spans="1:6" x14ac:dyDescent="0.3">
      <c r="A537">
        <v>9456747</v>
      </c>
      <c r="B537" t="s">
        <v>926</v>
      </c>
      <c r="C537">
        <v>60</v>
      </c>
      <c r="D537" t="s">
        <v>743</v>
      </c>
      <c r="E537" t="s">
        <v>253</v>
      </c>
      <c r="F537" s="82">
        <v>45444</v>
      </c>
    </row>
    <row r="538" spans="1:6" x14ac:dyDescent="0.3">
      <c r="A538">
        <v>3379230</v>
      </c>
      <c r="B538" t="s">
        <v>1003</v>
      </c>
      <c r="C538">
        <v>49</v>
      </c>
      <c r="D538" t="s">
        <v>762</v>
      </c>
      <c r="E538" t="s">
        <v>253</v>
      </c>
      <c r="F538" s="82">
        <v>44013</v>
      </c>
    </row>
    <row r="539" spans="1:6" x14ac:dyDescent="0.3">
      <c r="A539">
        <v>9946002</v>
      </c>
      <c r="B539" t="s">
        <v>441</v>
      </c>
      <c r="C539">
        <v>19</v>
      </c>
      <c r="D539" t="s">
        <v>743</v>
      </c>
      <c r="E539" t="s">
        <v>254</v>
      </c>
      <c r="F539" s="82">
        <v>45890</v>
      </c>
    </row>
    <row r="540" spans="1:6" x14ac:dyDescent="0.3">
      <c r="A540">
        <v>9509688</v>
      </c>
      <c r="B540" t="s">
        <v>616</v>
      </c>
      <c r="C540">
        <v>21</v>
      </c>
      <c r="D540" t="s">
        <v>743</v>
      </c>
      <c r="E540" t="s">
        <v>254</v>
      </c>
      <c r="F540" s="82">
        <v>40848</v>
      </c>
    </row>
    <row r="541" spans="1:6" x14ac:dyDescent="0.3">
      <c r="A541">
        <v>9840430</v>
      </c>
      <c r="B541" t="s">
        <v>630</v>
      </c>
      <c r="C541">
        <v>33</v>
      </c>
      <c r="D541" t="s">
        <v>743</v>
      </c>
      <c r="E541" t="s">
        <v>254</v>
      </c>
      <c r="F541" s="82">
        <v>44488</v>
      </c>
    </row>
    <row r="542" spans="1:6" x14ac:dyDescent="0.3">
      <c r="A542">
        <v>8177110</v>
      </c>
      <c r="B542" t="s">
        <v>684</v>
      </c>
      <c r="C542">
        <v>29</v>
      </c>
      <c r="D542" t="s">
        <v>743</v>
      </c>
      <c r="E542" t="s">
        <v>254</v>
      </c>
      <c r="F542" s="82">
        <v>40179</v>
      </c>
    </row>
    <row r="543" spans="1:6" x14ac:dyDescent="0.3">
      <c r="A543">
        <v>7446365</v>
      </c>
      <c r="B543" t="s">
        <v>836</v>
      </c>
      <c r="C543">
        <v>59</v>
      </c>
      <c r="D543" t="s">
        <v>743</v>
      </c>
      <c r="E543" t="s">
        <v>253</v>
      </c>
      <c r="F543" s="82">
        <v>45874</v>
      </c>
    </row>
    <row r="544" spans="1:6" x14ac:dyDescent="0.3">
      <c r="A544">
        <v>9940945</v>
      </c>
      <c r="B544" t="s">
        <v>905</v>
      </c>
      <c r="C544">
        <v>51</v>
      </c>
      <c r="D544" t="s">
        <v>743</v>
      </c>
      <c r="E544" t="s">
        <v>253</v>
      </c>
      <c r="F544" s="82">
        <v>44044</v>
      </c>
    </row>
    <row r="545" spans="1:6" x14ac:dyDescent="0.3">
      <c r="A545">
        <v>9456747</v>
      </c>
      <c r="B545" t="s">
        <v>926</v>
      </c>
      <c r="C545">
        <v>60</v>
      </c>
      <c r="D545" t="s">
        <v>743</v>
      </c>
      <c r="E545" t="s">
        <v>253</v>
      </c>
      <c r="F545" s="82">
        <v>45444</v>
      </c>
    </row>
    <row r="546" spans="1:6" x14ac:dyDescent="0.3">
      <c r="A546">
        <v>3379230</v>
      </c>
      <c r="B546" t="s">
        <v>1003</v>
      </c>
      <c r="C546">
        <v>49</v>
      </c>
      <c r="D546" t="s">
        <v>762</v>
      </c>
      <c r="E546" t="s">
        <v>253</v>
      </c>
      <c r="F546" s="82">
        <v>44013</v>
      </c>
    </row>
    <row r="547" spans="1:6" x14ac:dyDescent="0.3">
      <c r="A547">
        <v>9946002</v>
      </c>
      <c r="B547" t="s">
        <v>441</v>
      </c>
      <c r="C547">
        <v>19</v>
      </c>
      <c r="D547" t="s">
        <v>743</v>
      </c>
      <c r="E547" t="s">
        <v>254</v>
      </c>
      <c r="F547" s="82">
        <v>45890</v>
      </c>
    </row>
    <row r="548" spans="1:6" x14ac:dyDescent="0.3">
      <c r="A548">
        <v>9509688</v>
      </c>
      <c r="B548" t="s">
        <v>616</v>
      </c>
      <c r="C548">
        <v>21</v>
      </c>
      <c r="D548" t="s">
        <v>743</v>
      </c>
      <c r="E548" t="s">
        <v>254</v>
      </c>
      <c r="F548" s="82">
        <v>40848</v>
      </c>
    </row>
    <row r="549" spans="1:6" x14ac:dyDescent="0.3">
      <c r="A549">
        <v>9840430</v>
      </c>
      <c r="B549" t="s">
        <v>630</v>
      </c>
      <c r="C549">
        <v>33</v>
      </c>
      <c r="D549" t="s">
        <v>743</v>
      </c>
      <c r="E549" t="s">
        <v>254</v>
      </c>
      <c r="F549" s="82">
        <v>44488</v>
      </c>
    </row>
    <row r="550" spans="1:6" x14ac:dyDescent="0.3">
      <c r="A550">
        <v>8177110</v>
      </c>
      <c r="B550" t="s">
        <v>684</v>
      </c>
      <c r="C550">
        <v>29</v>
      </c>
      <c r="D550" t="s">
        <v>743</v>
      </c>
      <c r="E550" t="s">
        <v>254</v>
      </c>
      <c r="F550" s="82">
        <v>40179</v>
      </c>
    </row>
    <row r="551" spans="1:6" x14ac:dyDescent="0.3">
      <c r="A551">
        <v>7446365</v>
      </c>
      <c r="B551" t="s">
        <v>836</v>
      </c>
      <c r="C551">
        <v>59</v>
      </c>
      <c r="D551" t="s">
        <v>743</v>
      </c>
      <c r="E551" t="s">
        <v>253</v>
      </c>
      <c r="F551" s="82">
        <v>45874</v>
      </c>
    </row>
    <row r="552" spans="1:6" x14ac:dyDescent="0.3">
      <c r="A552">
        <v>9940945</v>
      </c>
      <c r="B552" t="s">
        <v>905</v>
      </c>
      <c r="C552">
        <v>51</v>
      </c>
      <c r="D552" t="s">
        <v>743</v>
      </c>
      <c r="E552" t="s">
        <v>253</v>
      </c>
      <c r="F552" s="82">
        <v>44044</v>
      </c>
    </row>
    <row r="553" spans="1:6" x14ac:dyDescent="0.3">
      <c r="A553">
        <v>9456747</v>
      </c>
      <c r="B553" t="s">
        <v>926</v>
      </c>
      <c r="C553">
        <v>60</v>
      </c>
      <c r="D553" t="s">
        <v>743</v>
      </c>
      <c r="E553" t="s">
        <v>253</v>
      </c>
      <c r="F553" s="82">
        <v>45444</v>
      </c>
    </row>
    <row r="554" spans="1:6" x14ac:dyDescent="0.3">
      <c r="A554">
        <v>3379230</v>
      </c>
      <c r="B554" t="s">
        <v>1003</v>
      </c>
      <c r="C554">
        <v>49</v>
      </c>
      <c r="D554" t="s">
        <v>762</v>
      </c>
      <c r="E554" t="s">
        <v>253</v>
      </c>
      <c r="F554" s="82">
        <v>44013</v>
      </c>
    </row>
  </sheetData>
  <autoFilter ref="A1:G449" xr:uid="{45D32365-94FF-4B01-AFB4-172E8D0F542B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2FCD-CF37-43CB-A145-0774B72AD3E5}">
  <sheetPr codeName="Hoja16">
    <tabColor rgb="FF92D050"/>
  </sheetPr>
  <dimension ref="A1:E2"/>
  <sheetViews>
    <sheetView workbookViewId="0">
      <selection activeCell="E2" sqref="E2"/>
    </sheetView>
  </sheetViews>
  <sheetFormatPr baseColWidth="10" defaultColWidth="11.44140625" defaultRowHeight="14.4" x14ac:dyDescent="0.3"/>
  <cols>
    <col min="1" max="4" width="18.6640625" customWidth="1"/>
    <col min="5" max="5" width="18.6640625" style="100" customWidth="1"/>
  </cols>
  <sheetData>
    <row r="1" spans="1:5" x14ac:dyDescent="0.3">
      <c r="A1" s="18" t="s">
        <v>170</v>
      </c>
      <c r="B1" s="18" t="s">
        <v>2</v>
      </c>
      <c r="C1" s="18" t="s">
        <v>1</v>
      </c>
      <c r="D1" s="18" t="s">
        <v>171</v>
      </c>
      <c r="E1" s="42" t="s">
        <v>34</v>
      </c>
    </row>
    <row r="2" spans="1:5" x14ac:dyDescent="0.3">
      <c r="A2" s="43" t="str">
        <f>IF(B2&lt;&gt;"", "CAPA-" &amp; TEXT(12000 + ROW(A2) - 1, "0000"), "")</f>
        <v/>
      </c>
      <c r="B2" s="43"/>
      <c r="C2" s="43"/>
      <c r="D2" s="43"/>
      <c r="E2" s="99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2BED-1B24-411F-8222-9CCBEAD43CB2}">
  <sheetPr codeName="Hoja7">
    <tabColor rgb="FF92D050"/>
  </sheetPr>
  <dimension ref="A1:E2"/>
  <sheetViews>
    <sheetView workbookViewId="0">
      <pane ySplit="1" topLeftCell="A2" activePane="bottomLeft" state="frozen"/>
      <selection activeCell="E2" sqref="E2"/>
      <selection pane="bottomLeft" activeCell="A2" sqref="A2"/>
    </sheetView>
  </sheetViews>
  <sheetFormatPr baseColWidth="10" defaultColWidth="8.88671875" defaultRowHeight="14.4" x14ac:dyDescent="0.3"/>
  <cols>
    <col min="1" max="1" width="15.6640625" style="2" customWidth="1"/>
    <col min="2" max="2" width="25.6640625" style="2" customWidth="1"/>
    <col min="3" max="3" width="15.6640625" style="2" customWidth="1"/>
    <col min="4" max="5" width="25.6640625" style="21" customWidth="1"/>
  </cols>
  <sheetData>
    <row r="1" spans="1:5" ht="14.4" customHeight="1" x14ac:dyDescent="0.3">
      <c r="A1" s="8" t="s">
        <v>172</v>
      </c>
      <c r="B1" s="8" t="s">
        <v>2</v>
      </c>
      <c r="C1" s="8" t="s">
        <v>1</v>
      </c>
      <c r="D1" s="9" t="s">
        <v>27</v>
      </c>
      <c r="E1" s="9" t="s">
        <v>28</v>
      </c>
    </row>
    <row r="2" spans="1:5" ht="14.4" customHeight="1" x14ac:dyDescent="0.3">
      <c r="A2" s="22" t="str">
        <f>IF(B2&lt;&gt;"", "VMO_SEG-" &amp; TEXT(7000 + ROW(A2) - 1, "0000"), "")</f>
        <v/>
      </c>
      <c r="B2" s="23"/>
      <c r="C2" s="22" t="str">
        <f>IF(B2="", "", _xlfn.XLOOKUP(B2, tbl_Trabajadores[Nombre], tbl_Trabajadores[DNI], ""))</f>
        <v/>
      </c>
      <c r="D2" s="22"/>
      <c r="E2" s="22"/>
    </row>
  </sheetData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>
    <tabColor rgb="FF92D050"/>
  </sheetPr>
  <dimension ref="A1:I175"/>
  <sheetViews>
    <sheetView topLeftCell="A149" zoomScale="70" zoomScaleNormal="70" workbookViewId="0">
      <selection activeCell="B76" sqref="B76"/>
    </sheetView>
  </sheetViews>
  <sheetFormatPr baseColWidth="10" defaultColWidth="11.44140625" defaultRowHeight="14.4" x14ac:dyDescent="0.3"/>
  <cols>
    <col min="1" max="1" width="11.44140625" customWidth="1"/>
    <col min="2" max="2" width="38.6640625" style="1" customWidth="1"/>
    <col min="3" max="3" width="11.44140625" style="25" customWidth="1"/>
    <col min="4" max="4" width="40.6640625" style="25" customWidth="1"/>
    <col min="5" max="5" width="25.6640625" style="25" customWidth="1"/>
    <col min="6" max="6" width="15.6640625" style="27" customWidth="1"/>
    <col min="7" max="7" width="20.6640625" style="26" customWidth="1"/>
    <col min="8" max="8" width="12.6640625" style="26" customWidth="1"/>
    <col min="11" max="11" width="19.33203125" bestFit="1" customWidth="1"/>
  </cols>
  <sheetData>
    <row r="1" spans="1:9" x14ac:dyDescent="0.3">
      <c r="A1" s="187"/>
      <c r="B1" s="174"/>
      <c r="C1" s="174"/>
      <c r="D1" s="174"/>
      <c r="E1" s="174"/>
      <c r="F1" s="174"/>
      <c r="G1" s="174"/>
      <c r="H1" s="174"/>
      <c r="I1" s="174"/>
    </row>
    <row r="2" spans="1:9" x14ac:dyDescent="0.3">
      <c r="A2" s="188"/>
      <c r="B2" s="174"/>
      <c r="C2" s="174"/>
      <c r="D2" s="174"/>
      <c r="E2" s="174"/>
      <c r="F2" s="174"/>
      <c r="G2" s="174"/>
      <c r="H2" s="174"/>
      <c r="I2" s="174"/>
    </row>
    <row r="3" spans="1:9" x14ac:dyDescent="0.3">
      <c r="A3" s="183"/>
      <c r="B3" s="183"/>
      <c r="C3" s="174"/>
      <c r="D3" s="174"/>
      <c r="E3" s="174"/>
      <c r="F3" s="174"/>
      <c r="G3" s="174"/>
      <c r="H3" s="174"/>
      <c r="I3" s="174"/>
    </row>
    <row r="4" spans="1:9" ht="14.4" customHeight="1" x14ac:dyDescent="0.3">
      <c r="A4" s="172" t="s">
        <v>173</v>
      </c>
      <c r="B4" s="173"/>
      <c r="C4" s="173"/>
      <c r="D4" s="173"/>
      <c r="E4" s="173"/>
      <c r="F4" s="173"/>
      <c r="G4" s="173"/>
      <c r="H4" s="173"/>
      <c r="I4" s="173"/>
    </row>
    <row r="5" spans="1:9" ht="14.4" customHeight="1" x14ac:dyDescent="0.3">
      <c r="A5" s="172"/>
      <c r="B5" s="173"/>
      <c r="C5" s="173"/>
      <c r="D5" s="173"/>
      <c r="E5" s="173"/>
      <c r="F5" s="173"/>
      <c r="G5" s="173"/>
      <c r="H5" s="173"/>
      <c r="I5" s="173"/>
    </row>
    <row r="6" spans="1:9" ht="14.4" customHeight="1" x14ac:dyDescent="0.3">
      <c r="A6" s="185" t="s">
        <v>174</v>
      </c>
      <c r="B6" s="180"/>
      <c r="C6" s="181"/>
      <c r="D6" s="185" t="s">
        <v>175</v>
      </c>
      <c r="E6" s="175" t="s">
        <v>176</v>
      </c>
      <c r="F6" s="176"/>
      <c r="G6" s="170" t="s">
        <v>177</v>
      </c>
      <c r="H6" s="171"/>
      <c r="I6" s="171"/>
    </row>
    <row r="7" spans="1:9" x14ac:dyDescent="0.3">
      <c r="A7" s="182"/>
      <c r="B7" s="183"/>
      <c r="C7" s="184"/>
      <c r="D7" s="186"/>
      <c r="E7" s="177"/>
      <c r="F7" s="178"/>
      <c r="G7" s="170"/>
      <c r="H7" s="171"/>
      <c r="I7" s="171"/>
    </row>
    <row r="8" spans="1:9" ht="14.4" customHeight="1" x14ac:dyDescent="0.3">
      <c r="A8" s="179" t="s">
        <v>178</v>
      </c>
      <c r="B8" s="180"/>
      <c r="C8" s="181"/>
      <c r="D8" s="179" t="s">
        <v>179</v>
      </c>
      <c r="E8" s="189" t="s">
        <v>180</v>
      </c>
      <c r="F8" s="190"/>
      <c r="G8" s="168">
        <f>COUNTA(Trabajadores!C:C) - 1</f>
        <v>449</v>
      </c>
      <c r="H8" s="169"/>
      <c r="I8" s="169"/>
    </row>
    <row r="9" spans="1:9" x14ac:dyDescent="0.3">
      <c r="A9" s="182"/>
      <c r="B9" s="183"/>
      <c r="C9" s="184"/>
      <c r="D9" s="186"/>
      <c r="E9" s="182"/>
      <c r="F9" s="191"/>
      <c r="G9" s="168"/>
      <c r="H9" s="169"/>
      <c r="I9" s="169"/>
    </row>
    <row r="10" spans="1:9" ht="14.4" customHeight="1" x14ac:dyDescent="0.3">
      <c r="A10" s="166" t="s">
        <v>181</v>
      </c>
      <c r="B10" s="167"/>
      <c r="C10" s="167"/>
      <c r="D10" s="167"/>
      <c r="E10" s="167"/>
      <c r="F10" s="167"/>
      <c r="G10" s="167"/>
      <c r="H10" s="167"/>
      <c r="I10" s="167"/>
    </row>
    <row r="11" spans="1:9" ht="14.4" customHeight="1" x14ac:dyDescent="0.3">
      <c r="A11" s="166"/>
      <c r="B11" s="167"/>
      <c r="C11" s="167"/>
      <c r="D11" s="167"/>
      <c r="E11" s="167"/>
      <c r="F11" s="167"/>
      <c r="G11" s="167"/>
      <c r="H11" s="167"/>
      <c r="I11" s="167"/>
    </row>
    <row r="12" spans="1:9" x14ac:dyDescent="0.3">
      <c r="A12" s="54" t="s">
        <v>182</v>
      </c>
      <c r="B12" s="54" t="s">
        <v>183</v>
      </c>
      <c r="C12" s="54" t="s">
        <v>1</v>
      </c>
      <c r="D12" s="54" t="s">
        <v>184</v>
      </c>
      <c r="E12" s="54" t="s">
        <v>185</v>
      </c>
      <c r="F12" s="110" t="s">
        <v>186</v>
      </c>
      <c r="G12" s="54" t="s">
        <v>21</v>
      </c>
      <c r="H12" s="18" t="s">
        <v>187</v>
      </c>
      <c r="I12" s="54" t="s">
        <v>188</v>
      </c>
    </row>
    <row r="13" spans="1:9" x14ac:dyDescent="0.3">
      <c r="A13" s="30" t="str">
        <f>IF(B12&lt;&gt;"", "EMO-" &amp; TEXT(1000 + ROW(A2) - 1, "0000"), "")</f>
        <v>EMO-1001</v>
      </c>
      <c r="B13" s="31" t="s">
        <v>258</v>
      </c>
      <c r="C13" s="128">
        <v>71427244</v>
      </c>
      <c r="D13" s="32" t="s">
        <v>747</v>
      </c>
      <c r="E13" s="32" t="s">
        <v>1349</v>
      </c>
      <c r="F13" s="97" t="s">
        <v>1231</v>
      </c>
      <c r="G13" s="32" t="s">
        <v>796</v>
      </c>
      <c r="H13" s="127" t="s">
        <v>1351</v>
      </c>
      <c r="I13" s="134">
        <v>45473</v>
      </c>
    </row>
    <row r="14" spans="1:9" x14ac:dyDescent="0.3">
      <c r="A14" s="30" t="str">
        <f t="shared" ref="A14:A77" si="0">IF(B13&lt;&gt;"", "EMO-" &amp; TEXT(1000 + ROW(A3) - 1, "0000"), "")</f>
        <v>EMO-1002</v>
      </c>
      <c r="B14" s="31" t="s">
        <v>262</v>
      </c>
      <c r="C14" s="128">
        <v>72391311</v>
      </c>
      <c r="D14" s="32" t="s">
        <v>747</v>
      </c>
      <c r="E14" s="32" t="s">
        <v>1349</v>
      </c>
      <c r="F14" s="97" t="s">
        <v>1233</v>
      </c>
      <c r="G14" s="32" t="s">
        <v>796</v>
      </c>
      <c r="H14" s="127" t="s">
        <v>32</v>
      </c>
      <c r="I14" s="134"/>
    </row>
    <row r="15" spans="1:9" ht="28.8" x14ac:dyDescent="0.3">
      <c r="A15" s="30" t="str">
        <f t="shared" si="0"/>
        <v>EMO-1003</v>
      </c>
      <c r="B15" s="31" t="s">
        <v>264</v>
      </c>
      <c r="C15" s="128">
        <v>70358542</v>
      </c>
      <c r="D15" s="127" t="s">
        <v>750</v>
      </c>
      <c r="E15" s="32" t="s">
        <v>1349</v>
      </c>
      <c r="F15" s="97" t="s">
        <v>1234</v>
      </c>
      <c r="G15" s="32" t="s">
        <v>796</v>
      </c>
      <c r="H15" s="127" t="s">
        <v>32</v>
      </c>
      <c r="I15" s="134"/>
    </row>
    <row r="16" spans="1:9" x14ac:dyDescent="0.3">
      <c r="A16" s="30" t="str">
        <f t="shared" si="0"/>
        <v>EMO-1004</v>
      </c>
      <c r="B16" s="31" t="s">
        <v>270</v>
      </c>
      <c r="C16" s="128">
        <v>74034287</v>
      </c>
      <c r="D16" s="32" t="s">
        <v>748</v>
      </c>
      <c r="E16" s="32" t="s">
        <v>1349</v>
      </c>
      <c r="F16" s="97" t="s">
        <v>1235</v>
      </c>
      <c r="G16" s="32" t="s">
        <v>796</v>
      </c>
      <c r="H16" s="127" t="s">
        <v>1351</v>
      </c>
      <c r="I16" s="134">
        <v>45596</v>
      </c>
    </row>
    <row r="17" spans="1:9" x14ac:dyDescent="0.3">
      <c r="A17" s="30" t="str">
        <f t="shared" si="0"/>
        <v>EMO-1005</v>
      </c>
      <c r="B17" s="31" t="s">
        <v>278</v>
      </c>
      <c r="C17" s="128">
        <v>48107495</v>
      </c>
      <c r="D17" s="32" t="s">
        <v>747</v>
      </c>
      <c r="E17" s="32" t="s">
        <v>1349</v>
      </c>
      <c r="F17" s="97" t="s">
        <v>1233</v>
      </c>
      <c r="G17" s="32" t="s">
        <v>796</v>
      </c>
      <c r="H17" s="127" t="s">
        <v>1351</v>
      </c>
      <c r="I17" s="134">
        <v>45716</v>
      </c>
    </row>
    <row r="18" spans="1:9" x14ac:dyDescent="0.3">
      <c r="A18" s="30" t="str">
        <f t="shared" si="0"/>
        <v>EMO-1006</v>
      </c>
      <c r="B18" s="31" t="s">
        <v>284</v>
      </c>
      <c r="C18" s="128">
        <v>62333339</v>
      </c>
      <c r="D18" s="32" t="s">
        <v>751</v>
      </c>
      <c r="E18" s="32" t="s">
        <v>1349</v>
      </c>
      <c r="F18" s="97" t="s">
        <v>1236</v>
      </c>
      <c r="G18" s="32" t="s">
        <v>796</v>
      </c>
      <c r="H18" s="127" t="s">
        <v>1351</v>
      </c>
      <c r="I18" s="134">
        <v>45443</v>
      </c>
    </row>
    <row r="19" spans="1:9" x14ac:dyDescent="0.3">
      <c r="A19" s="30" t="str">
        <f t="shared" si="0"/>
        <v>EMO-1007</v>
      </c>
      <c r="B19" s="31" t="s">
        <v>288</v>
      </c>
      <c r="C19" s="128">
        <v>44990247</v>
      </c>
      <c r="D19" s="32" t="s">
        <v>747</v>
      </c>
      <c r="E19" s="32" t="s">
        <v>1349</v>
      </c>
      <c r="F19" s="97">
        <v>46083</v>
      </c>
      <c r="G19" s="32" t="s">
        <v>796</v>
      </c>
      <c r="H19" s="127" t="s">
        <v>1351</v>
      </c>
      <c r="I19" s="134">
        <v>44960</v>
      </c>
    </row>
    <row r="20" spans="1:9" x14ac:dyDescent="0.3">
      <c r="A20" s="30" t="str">
        <f t="shared" si="0"/>
        <v>EMO-1008</v>
      </c>
      <c r="B20" s="31" t="s">
        <v>290</v>
      </c>
      <c r="C20" s="128">
        <v>62851990</v>
      </c>
      <c r="D20" s="32" t="s">
        <v>755</v>
      </c>
      <c r="E20" s="32" t="s">
        <v>1349</v>
      </c>
      <c r="F20" s="97" t="s">
        <v>1237</v>
      </c>
      <c r="G20" s="32" t="s">
        <v>796</v>
      </c>
      <c r="H20" s="127" t="s">
        <v>1351</v>
      </c>
      <c r="I20" s="134">
        <v>45412</v>
      </c>
    </row>
    <row r="21" spans="1:9" x14ac:dyDescent="0.3">
      <c r="A21" s="30" t="str">
        <f t="shared" si="0"/>
        <v>EMO-1009</v>
      </c>
      <c r="B21" s="31" t="s">
        <v>292</v>
      </c>
      <c r="C21" s="128">
        <v>77081893</v>
      </c>
      <c r="D21" s="32" t="s">
        <v>751</v>
      </c>
      <c r="E21" s="32" t="s">
        <v>1349</v>
      </c>
      <c r="F21" s="97" t="s">
        <v>1238</v>
      </c>
      <c r="G21" s="32" t="s">
        <v>796</v>
      </c>
      <c r="H21" s="127" t="s">
        <v>1351</v>
      </c>
      <c r="I21" s="134">
        <v>45015</v>
      </c>
    </row>
    <row r="22" spans="1:9" x14ac:dyDescent="0.3">
      <c r="A22" s="30" t="str">
        <f t="shared" si="0"/>
        <v>EMO-1010</v>
      </c>
      <c r="B22" s="31" t="s">
        <v>294</v>
      </c>
      <c r="C22" s="128">
        <v>73572450</v>
      </c>
      <c r="D22" s="32" t="s">
        <v>748</v>
      </c>
      <c r="E22" s="32" t="s">
        <v>1350</v>
      </c>
      <c r="F22" s="97" t="s">
        <v>1239</v>
      </c>
      <c r="G22" s="32" t="s">
        <v>796</v>
      </c>
      <c r="H22" s="127" t="s">
        <v>32</v>
      </c>
      <c r="I22" s="134"/>
    </row>
    <row r="23" spans="1:9" x14ac:dyDescent="0.3">
      <c r="A23" s="30" t="str">
        <f t="shared" si="0"/>
        <v>EMO-1011</v>
      </c>
      <c r="B23" s="31" t="s">
        <v>296</v>
      </c>
      <c r="C23" s="128">
        <v>80510176</v>
      </c>
      <c r="D23" s="32" t="s">
        <v>755</v>
      </c>
      <c r="E23" s="32" t="s">
        <v>1350</v>
      </c>
      <c r="F23" s="97" t="s">
        <v>1240</v>
      </c>
      <c r="G23" s="32" t="s">
        <v>796</v>
      </c>
      <c r="H23" s="127" t="s">
        <v>32</v>
      </c>
      <c r="I23" s="134"/>
    </row>
    <row r="24" spans="1:9" x14ac:dyDescent="0.3">
      <c r="A24" s="30" t="str">
        <f t="shared" si="0"/>
        <v>EMO-1012</v>
      </c>
      <c r="B24" s="31" t="s">
        <v>300</v>
      </c>
      <c r="C24" s="128">
        <v>45659266</v>
      </c>
      <c r="D24" s="32" t="s">
        <v>751</v>
      </c>
      <c r="E24" s="32" t="s">
        <v>1349</v>
      </c>
      <c r="F24" s="97" t="s">
        <v>1241</v>
      </c>
      <c r="G24" s="32" t="s">
        <v>796</v>
      </c>
      <c r="H24" s="127" t="s">
        <v>32</v>
      </c>
      <c r="I24" s="134"/>
    </row>
    <row r="25" spans="1:9" x14ac:dyDescent="0.3">
      <c r="A25" s="30" t="str">
        <f t="shared" si="0"/>
        <v>EMO-1013</v>
      </c>
      <c r="B25" s="31" t="s">
        <v>304</v>
      </c>
      <c r="C25" s="128">
        <v>48092001</v>
      </c>
      <c r="D25" s="32" t="s">
        <v>751</v>
      </c>
      <c r="E25" s="32" t="s">
        <v>1349</v>
      </c>
      <c r="F25" s="97" t="s">
        <v>1242</v>
      </c>
      <c r="G25" s="32" t="s">
        <v>796</v>
      </c>
      <c r="H25" s="127" t="s">
        <v>1351</v>
      </c>
      <c r="I25" s="134" t="s">
        <v>1352</v>
      </c>
    </row>
    <row r="26" spans="1:9" x14ac:dyDescent="0.3">
      <c r="A26" s="30" t="str">
        <f t="shared" si="0"/>
        <v>EMO-1014</v>
      </c>
      <c r="B26" s="31" t="s">
        <v>305</v>
      </c>
      <c r="C26" s="128">
        <v>76636339</v>
      </c>
      <c r="D26" s="32" t="s">
        <v>747</v>
      </c>
      <c r="E26" s="32" t="s">
        <v>1349</v>
      </c>
      <c r="F26" s="97" t="s">
        <v>1243</v>
      </c>
      <c r="G26" s="32" t="s">
        <v>796</v>
      </c>
      <c r="H26" s="127" t="s">
        <v>1351</v>
      </c>
      <c r="I26" s="134">
        <v>45807</v>
      </c>
    </row>
    <row r="27" spans="1:9" ht="28.8" x14ac:dyDescent="0.3">
      <c r="A27" s="30" t="str">
        <f t="shared" si="0"/>
        <v>EMO-1015</v>
      </c>
      <c r="B27" s="31" t="s">
        <v>311</v>
      </c>
      <c r="C27" s="128">
        <v>70462340</v>
      </c>
      <c r="D27" s="127" t="s">
        <v>750</v>
      </c>
      <c r="E27" s="32" t="s">
        <v>1349</v>
      </c>
      <c r="F27" s="97" t="s">
        <v>1244</v>
      </c>
      <c r="G27" s="32" t="s">
        <v>796</v>
      </c>
      <c r="H27" s="127" t="s">
        <v>32</v>
      </c>
      <c r="I27" s="134"/>
    </row>
    <row r="28" spans="1:9" x14ac:dyDescent="0.3">
      <c r="A28" s="30" t="str">
        <f t="shared" si="0"/>
        <v>EMO-1016</v>
      </c>
      <c r="B28" s="31" t="s">
        <v>319</v>
      </c>
      <c r="C28" s="128">
        <v>74645467</v>
      </c>
      <c r="D28" s="32" t="s">
        <v>747</v>
      </c>
      <c r="E28" s="32" t="s">
        <v>1349</v>
      </c>
      <c r="F28" s="97" t="s">
        <v>1245</v>
      </c>
      <c r="G28" s="32" t="s">
        <v>796</v>
      </c>
      <c r="H28" s="127" t="s">
        <v>1351</v>
      </c>
      <c r="I28" s="134">
        <v>45443</v>
      </c>
    </row>
    <row r="29" spans="1:9" x14ac:dyDescent="0.3">
      <c r="A29" s="30" t="str">
        <f t="shared" si="0"/>
        <v>EMO-1017</v>
      </c>
      <c r="B29" s="31" t="s">
        <v>321</v>
      </c>
      <c r="C29" s="128">
        <v>72957593</v>
      </c>
      <c r="D29" s="32" t="s">
        <v>747</v>
      </c>
      <c r="E29" s="32" t="s">
        <v>1349</v>
      </c>
      <c r="F29" s="97" t="s">
        <v>1246</v>
      </c>
      <c r="G29" s="32" t="s">
        <v>796</v>
      </c>
      <c r="H29" s="127" t="s">
        <v>1351</v>
      </c>
      <c r="I29" s="134">
        <v>45015</v>
      </c>
    </row>
    <row r="30" spans="1:9" ht="28.8" x14ac:dyDescent="0.3">
      <c r="A30" s="30" t="str">
        <f t="shared" si="0"/>
        <v>EMO-1018</v>
      </c>
      <c r="B30" s="31" t="s">
        <v>323</v>
      </c>
      <c r="C30" s="128">
        <v>70119177</v>
      </c>
      <c r="D30" s="127" t="s">
        <v>750</v>
      </c>
      <c r="E30" s="32" t="s">
        <v>1349</v>
      </c>
      <c r="F30" s="97" t="s">
        <v>1247</v>
      </c>
      <c r="G30" s="32" t="s">
        <v>796</v>
      </c>
      <c r="H30" s="127" t="s">
        <v>1351</v>
      </c>
      <c r="I30" s="134">
        <v>45960</v>
      </c>
    </row>
    <row r="31" spans="1:9" x14ac:dyDescent="0.3">
      <c r="A31" s="30" t="str">
        <f t="shared" si="0"/>
        <v>EMO-1019</v>
      </c>
      <c r="B31" s="31" t="s">
        <v>325</v>
      </c>
      <c r="C31" s="128">
        <v>76542134</v>
      </c>
      <c r="D31" s="32" t="s">
        <v>756</v>
      </c>
      <c r="E31" s="32" t="s">
        <v>1349</v>
      </c>
      <c r="F31" s="97" t="s">
        <v>1248</v>
      </c>
      <c r="G31" s="32" t="s">
        <v>796</v>
      </c>
      <c r="H31" s="127" t="s">
        <v>32</v>
      </c>
      <c r="I31" s="134"/>
    </row>
    <row r="32" spans="1:9" x14ac:dyDescent="0.3">
      <c r="A32" s="30" t="str">
        <f t="shared" si="0"/>
        <v>EMO-1020</v>
      </c>
      <c r="B32" s="31" t="s">
        <v>327</v>
      </c>
      <c r="C32" s="128">
        <v>73967602</v>
      </c>
      <c r="D32" s="32" t="s">
        <v>751</v>
      </c>
      <c r="E32" s="32" t="s">
        <v>1349</v>
      </c>
      <c r="F32" s="97" t="s">
        <v>1249</v>
      </c>
      <c r="G32" s="32" t="s">
        <v>796</v>
      </c>
      <c r="H32" s="127" t="s">
        <v>1351</v>
      </c>
      <c r="I32" s="134">
        <v>45535</v>
      </c>
    </row>
    <row r="33" spans="1:9" x14ac:dyDescent="0.3">
      <c r="A33" s="30" t="str">
        <f t="shared" si="0"/>
        <v>EMO-1021</v>
      </c>
      <c r="B33" s="31" t="s">
        <v>333</v>
      </c>
      <c r="C33" s="128">
        <v>77644241</v>
      </c>
      <c r="D33" s="32" t="s">
        <v>751</v>
      </c>
      <c r="E33" s="32" t="s">
        <v>1349</v>
      </c>
      <c r="F33" s="97" t="s">
        <v>1250</v>
      </c>
      <c r="G33" s="32" t="s">
        <v>796</v>
      </c>
      <c r="H33" s="127" t="s">
        <v>1351</v>
      </c>
      <c r="I33" s="134">
        <v>45565</v>
      </c>
    </row>
    <row r="34" spans="1:9" x14ac:dyDescent="0.3">
      <c r="A34" s="30" t="str">
        <f t="shared" si="0"/>
        <v>EMO-1022</v>
      </c>
      <c r="B34" s="31" t="s">
        <v>339</v>
      </c>
      <c r="C34" s="128">
        <v>80517769</v>
      </c>
      <c r="D34" s="32" t="s">
        <v>758</v>
      </c>
      <c r="E34" s="32" t="s">
        <v>1349</v>
      </c>
      <c r="F34" s="97" t="s">
        <v>1251</v>
      </c>
      <c r="G34" s="32" t="s">
        <v>796</v>
      </c>
      <c r="H34" s="127" t="s">
        <v>32</v>
      </c>
      <c r="I34" s="134"/>
    </row>
    <row r="35" spans="1:9" x14ac:dyDescent="0.3">
      <c r="A35" s="30" t="str">
        <f t="shared" si="0"/>
        <v>EMO-1023</v>
      </c>
      <c r="B35" s="31" t="s">
        <v>341</v>
      </c>
      <c r="C35" s="128">
        <v>71545675</v>
      </c>
      <c r="D35" s="32" t="s">
        <v>748</v>
      </c>
      <c r="E35" s="32" t="s">
        <v>1349</v>
      </c>
      <c r="F35" s="97" t="s">
        <v>1252</v>
      </c>
      <c r="G35" s="32" t="s">
        <v>807</v>
      </c>
      <c r="H35" s="127" t="s">
        <v>1351</v>
      </c>
      <c r="I35" s="134">
        <v>45930</v>
      </c>
    </row>
    <row r="36" spans="1:9" x14ac:dyDescent="0.3">
      <c r="A36" s="30" t="str">
        <f t="shared" si="0"/>
        <v>EMO-1024</v>
      </c>
      <c r="B36" s="31" t="s">
        <v>345</v>
      </c>
      <c r="C36" s="128">
        <v>76616031</v>
      </c>
      <c r="D36" s="32" t="s">
        <v>747</v>
      </c>
      <c r="E36" s="32" t="s">
        <v>1350</v>
      </c>
      <c r="F36" s="97">
        <v>46336</v>
      </c>
      <c r="G36" s="32" t="s">
        <v>796</v>
      </c>
      <c r="H36" s="127" t="s">
        <v>32</v>
      </c>
      <c r="I36" s="134"/>
    </row>
    <row r="37" spans="1:9" x14ac:dyDescent="0.3">
      <c r="A37" s="30" t="str">
        <f t="shared" si="0"/>
        <v>EMO-1025</v>
      </c>
      <c r="B37" s="31" t="s">
        <v>349</v>
      </c>
      <c r="C37" s="128">
        <v>42912499</v>
      </c>
      <c r="D37" s="32" t="s">
        <v>747</v>
      </c>
      <c r="E37" s="32" t="s">
        <v>1349</v>
      </c>
      <c r="F37" s="97">
        <v>46277</v>
      </c>
      <c r="G37" s="32" t="s">
        <v>796</v>
      </c>
      <c r="H37" s="127" t="s">
        <v>1351</v>
      </c>
      <c r="I37" s="134">
        <v>45930</v>
      </c>
    </row>
    <row r="38" spans="1:9" x14ac:dyDescent="0.3">
      <c r="A38" s="30" t="str">
        <f t="shared" si="0"/>
        <v>EMO-1026</v>
      </c>
      <c r="B38" s="31" t="s">
        <v>353</v>
      </c>
      <c r="C38" s="128">
        <v>71195376</v>
      </c>
      <c r="D38" s="32" t="s">
        <v>747</v>
      </c>
      <c r="E38" s="32" t="s">
        <v>1349</v>
      </c>
      <c r="F38" s="97" t="s">
        <v>1234</v>
      </c>
      <c r="G38" s="32" t="s">
        <v>796</v>
      </c>
      <c r="H38" s="127" t="s">
        <v>1351</v>
      </c>
      <c r="I38" s="134">
        <v>45930</v>
      </c>
    </row>
    <row r="39" spans="1:9" x14ac:dyDescent="0.3">
      <c r="A39" s="30" t="str">
        <f t="shared" si="0"/>
        <v>EMO-1027</v>
      </c>
      <c r="B39" s="31" t="s">
        <v>355</v>
      </c>
      <c r="C39" s="128">
        <v>73203529</v>
      </c>
      <c r="D39" s="32" t="s">
        <v>747</v>
      </c>
      <c r="E39" s="32" t="s">
        <v>1349</v>
      </c>
      <c r="F39" s="97" t="s">
        <v>1253</v>
      </c>
      <c r="G39" s="32" t="s">
        <v>796</v>
      </c>
      <c r="H39" s="127" t="s">
        <v>1351</v>
      </c>
      <c r="I39" s="134">
        <v>45107</v>
      </c>
    </row>
    <row r="40" spans="1:9" x14ac:dyDescent="0.3">
      <c r="A40" s="30" t="str">
        <f t="shared" si="0"/>
        <v>EMO-1028</v>
      </c>
      <c r="B40" s="31" t="s">
        <v>359</v>
      </c>
      <c r="C40" s="128">
        <v>46303392</v>
      </c>
      <c r="D40" s="32" t="s">
        <v>759</v>
      </c>
      <c r="E40" s="32" t="s">
        <v>1349</v>
      </c>
      <c r="F40" s="97" t="s">
        <v>1254</v>
      </c>
      <c r="G40" s="32" t="s">
        <v>807</v>
      </c>
      <c r="H40" s="127" t="s">
        <v>1351</v>
      </c>
      <c r="I40" s="134">
        <v>46021</v>
      </c>
    </row>
    <row r="41" spans="1:9" x14ac:dyDescent="0.3">
      <c r="A41" s="30" t="str">
        <f t="shared" si="0"/>
        <v>EMO-1029</v>
      </c>
      <c r="B41" s="31" t="s">
        <v>367</v>
      </c>
      <c r="C41" s="128">
        <v>76438207</v>
      </c>
      <c r="D41" s="32" t="s">
        <v>747</v>
      </c>
      <c r="E41" s="32" t="s">
        <v>1349</v>
      </c>
      <c r="F41" s="97" t="s">
        <v>1255</v>
      </c>
      <c r="G41" s="32" t="s">
        <v>796</v>
      </c>
      <c r="H41" s="127" t="s">
        <v>1351</v>
      </c>
      <c r="I41" s="134">
        <v>45412</v>
      </c>
    </row>
    <row r="42" spans="1:9" x14ac:dyDescent="0.3">
      <c r="A42" s="30" t="str">
        <f t="shared" si="0"/>
        <v>EMO-1030</v>
      </c>
      <c r="B42" s="31" t="s">
        <v>369</v>
      </c>
      <c r="C42" s="128">
        <v>70884402</v>
      </c>
      <c r="D42" s="32" t="s">
        <v>748</v>
      </c>
      <c r="E42" s="32" t="s">
        <v>1349</v>
      </c>
      <c r="F42" s="97" t="s">
        <v>1256</v>
      </c>
      <c r="G42" s="32" t="s">
        <v>796</v>
      </c>
      <c r="H42" s="127" t="s">
        <v>1351</v>
      </c>
      <c r="I42" s="134">
        <v>45838</v>
      </c>
    </row>
    <row r="43" spans="1:9" x14ac:dyDescent="0.3">
      <c r="A43" s="30" t="str">
        <f t="shared" si="0"/>
        <v>EMO-1031</v>
      </c>
      <c r="B43" s="31" t="s">
        <v>375</v>
      </c>
      <c r="C43" s="128">
        <v>72811014</v>
      </c>
      <c r="D43" s="32" t="s">
        <v>756</v>
      </c>
      <c r="E43" s="32" t="s">
        <v>1349</v>
      </c>
      <c r="F43" s="97" t="s">
        <v>1257</v>
      </c>
      <c r="G43" s="32" t="s">
        <v>796</v>
      </c>
      <c r="H43" s="127" t="s">
        <v>1351</v>
      </c>
      <c r="I43" s="134">
        <v>45688</v>
      </c>
    </row>
    <row r="44" spans="1:9" x14ac:dyDescent="0.3">
      <c r="A44" s="30" t="str">
        <f t="shared" si="0"/>
        <v>EMO-1032</v>
      </c>
      <c r="B44" s="31" t="s">
        <v>377</v>
      </c>
      <c r="C44" s="128">
        <v>75597646</v>
      </c>
      <c r="D44" s="32" t="s">
        <v>751</v>
      </c>
      <c r="E44" s="32" t="s">
        <v>1349</v>
      </c>
      <c r="F44" s="97" t="s">
        <v>1258</v>
      </c>
      <c r="G44" s="32" t="s">
        <v>796</v>
      </c>
      <c r="H44" s="127" t="s">
        <v>1351</v>
      </c>
      <c r="I44" s="134">
        <v>45991</v>
      </c>
    </row>
    <row r="45" spans="1:9" x14ac:dyDescent="0.3">
      <c r="A45" s="30" t="str">
        <f t="shared" si="0"/>
        <v>EMO-1033</v>
      </c>
      <c r="B45" s="31" t="s">
        <v>381</v>
      </c>
      <c r="C45" s="128">
        <v>70645721</v>
      </c>
      <c r="D45" s="32" t="s">
        <v>751</v>
      </c>
      <c r="E45" s="32" t="s">
        <v>1349</v>
      </c>
      <c r="F45" s="97" t="s">
        <v>1259</v>
      </c>
      <c r="G45" s="32" t="s">
        <v>796</v>
      </c>
      <c r="H45" s="127" t="s">
        <v>1351</v>
      </c>
      <c r="I45" s="134">
        <v>44960</v>
      </c>
    </row>
    <row r="46" spans="1:9" x14ac:dyDescent="0.3">
      <c r="A46" s="30" t="str">
        <f t="shared" si="0"/>
        <v>EMO-1034</v>
      </c>
      <c r="B46" s="31" t="s">
        <v>387</v>
      </c>
      <c r="C46" s="128">
        <v>77323411</v>
      </c>
      <c r="D46" s="32" t="s">
        <v>751</v>
      </c>
      <c r="E46" s="32" t="s">
        <v>1349</v>
      </c>
      <c r="F46" s="97" t="s">
        <v>1260</v>
      </c>
      <c r="G46" s="32" t="s">
        <v>796</v>
      </c>
      <c r="H46" s="127" t="s">
        <v>1351</v>
      </c>
      <c r="I46" s="134">
        <v>44960</v>
      </c>
    </row>
    <row r="47" spans="1:9" x14ac:dyDescent="0.3">
      <c r="A47" s="30" t="str">
        <f t="shared" si="0"/>
        <v>EMO-1035</v>
      </c>
      <c r="B47" s="31" t="s">
        <v>389</v>
      </c>
      <c r="C47" s="128">
        <v>60183358</v>
      </c>
      <c r="D47" s="32" t="s">
        <v>751</v>
      </c>
      <c r="E47" s="32" t="s">
        <v>1349</v>
      </c>
      <c r="F47" s="97" t="s">
        <v>1261</v>
      </c>
      <c r="G47" s="32" t="s">
        <v>796</v>
      </c>
      <c r="H47" s="127" t="s">
        <v>1351</v>
      </c>
      <c r="I47" s="134">
        <v>44960</v>
      </c>
    </row>
    <row r="48" spans="1:9" x14ac:dyDescent="0.3">
      <c r="A48" s="30" t="str">
        <f t="shared" si="0"/>
        <v>EMO-1036</v>
      </c>
      <c r="B48" s="31" t="s">
        <v>393</v>
      </c>
      <c r="C48" s="128">
        <v>75025925</v>
      </c>
      <c r="D48" s="32" t="s">
        <v>748</v>
      </c>
      <c r="E48" s="32" t="s">
        <v>1350</v>
      </c>
      <c r="F48" s="97" t="s">
        <v>1262</v>
      </c>
      <c r="G48" s="32" t="s">
        <v>796</v>
      </c>
      <c r="H48" s="127" t="s">
        <v>1351</v>
      </c>
      <c r="I48" s="134">
        <v>44960</v>
      </c>
    </row>
    <row r="49" spans="1:9" x14ac:dyDescent="0.3">
      <c r="A49" s="30" t="str">
        <f t="shared" si="0"/>
        <v>EMO-1037</v>
      </c>
      <c r="B49" s="31" t="s">
        <v>395</v>
      </c>
      <c r="C49" s="128">
        <v>74496648</v>
      </c>
      <c r="D49" s="32" t="s">
        <v>748</v>
      </c>
      <c r="E49" s="32" t="s">
        <v>1349</v>
      </c>
      <c r="F49" s="97" t="s">
        <v>1263</v>
      </c>
      <c r="G49" s="32" t="s">
        <v>796</v>
      </c>
      <c r="H49" s="127" t="s">
        <v>1351</v>
      </c>
      <c r="I49" s="134">
        <v>45838</v>
      </c>
    </row>
    <row r="50" spans="1:9" x14ac:dyDescent="0.3">
      <c r="A50" s="30" t="str">
        <f t="shared" si="0"/>
        <v>EMO-1038</v>
      </c>
      <c r="B50" s="31" t="s">
        <v>397</v>
      </c>
      <c r="C50" s="128">
        <v>78377668</v>
      </c>
      <c r="D50" s="32" t="s">
        <v>751</v>
      </c>
      <c r="E50" s="32" t="s">
        <v>1349</v>
      </c>
      <c r="F50" s="97" t="s">
        <v>1256</v>
      </c>
      <c r="G50" s="32" t="s">
        <v>796</v>
      </c>
      <c r="H50" s="127" t="s">
        <v>1351</v>
      </c>
      <c r="I50" s="134">
        <v>45443</v>
      </c>
    </row>
    <row r="51" spans="1:9" x14ac:dyDescent="0.3">
      <c r="A51" s="30" t="str">
        <f t="shared" si="0"/>
        <v>EMO-1039</v>
      </c>
      <c r="B51" s="31" t="s">
        <v>405</v>
      </c>
      <c r="C51" s="128">
        <v>75516129</v>
      </c>
      <c r="D51" s="32" t="s">
        <v>748</v>
      </c>
      <c r="E51" s="32" t="s">
        <v>1349</v>
      </c>
      <c r="F51" s="97" t="s">
        <v>1264</v>
      </c>
      <c r="G51" s="32" t="s">
        <v>807</v>
      </c>
      <c r="H51" s="127" t="s">
        <v>1351</v>
      </c>
      <c r="I51" s="134">
        <v>45807</v>
      </c>
    </row>
    <row r="52" spans="1:9" x14ac:dyDescent="0.3">
      <c r="A52" s="30" t="str">
        <f t="shared" si="0"/>
        <v>EMO-1040</v>
      </c>
      <c r="B52" s="31" t="s">
        <v>409</v>
      </c>
      <c r="C52" s="128">
        <v>73325604</v>
      </c>
      <c r="D52" s="32" t="s">
        <v>751</v>
      </c>
      <c r="E52" s="32" t="s">
        <v>1349</v>
      </c>
      <c r="F52" s="97" t="s">
        <v>1265</v>
      </c>
      <c r="G52" s="32" t="s">
        <v>796</v>
      </c>
      <c r="H52" s="127" t="s">
        <v>1351</v>
      </c>
      <c r="I52" s="134">
        <v>45015</v>
      </c>
    </row>
    <row r="53" spans="1:9" x14ac:dyDescent="0.3">
      <c r="A53" s="30" t="str">
        <f t="shared" si="0"/>
        <v>EMO-1041</v>
      </c>
      <c r="B53" s="31" t="s">
        <v>411</v>
      </c>
      <c r="C53" s="128">
        <v>72421776</v>
      </c>
      <c r="D53" s="32" t="s">
        <v>751</v>
      </c>
      <c r="E53" s="32" t="s">
        <v>1349</v>
      </c>
      <c r="F53" s="97" t="s">
        <v>1266</v>
      </c>
      <c r="G53" s="32" t="s">
        <v>796</v>
      </c>
      <c r="H53" s="127" t="s">
        <v>1351</v>
      </c>
      <c r="I53" s="134">
        <v>45565</v>
      </c>
    </row>
    <row r="54" spans="1:9" x14ac:dyDescent="0.3">
      <c r="A54" s="30" t="str">
        <f t="shared" si="0"/>
        <v>EMO-1042</v>
      </c>
      <c r="B54" s="31" t="s">
        <v>415</v>
      </c>
      <c r="C54" s="128">
        <v>73515447</v>
      </c>
      <c r="D54" s="32" t="s">
        <v>748</v>
      </c>
      <c r="E54" s="32" t="s">
        <v>1350</v>
      </c>
      <c r="F54" s="97" t="s">
        <v>1267</v>
      </c>
      <c r="G54" s="32" t="s">
        <v>796</v>
      </c>
      <c r="H54" s="127" t="s">
        <v>32</v>
      </c>
      <c r="I54" s="134"/>
    </row>
    <row r="55" spans="1:9" x14ac:dyDescent="0.3">
      <c r="A55" s="30" t="str">
        <f t="shared" si="0"/>
        <v>EMO-1043</v>
      </c>
      <c r="B55" s="31" t="s">
        <v>421</v>
      </c>
      <c r="C55" s="128">
        <v>72192455</v>
      </c>
      <c r="D55" s="32" t="s">
        <v>748</v>
      </c>
      <c r="E55" s="32" t="s">
        <v>1349</v>
      </c>
      <c r="F55" s="97" t="s">
        <v>1268</v>
      </c>
      <c r="G55" s="32" t="s">
        <v>796</v>
      </c>
      <c r="H55" s="127" t="s">
        <v>1351</v>
      </c>
      <c r="I55" s="134">
        <v>44967</v>
      </c>
    </row>
    <row r="56" spans="1:9" x14ac:dyDescent="0.3">
      <c r="A56" s="30" t="str">
        <f t="shared" si="0"/>
        <v>EMO-1044</v>
      </c>
      <c r="B56" s="31" t="s">
        <v>425</v>
      </c>
      <c r="C56" s="128">
        <v>70903504</v>
      </c>
      <c r="D56" s="32" t="s">
        <v>747</v>
      </c>
      <c r="E56" s="32" t="s">
        <v>1349</v>
      </c>
      <c r="F56" s="97" t="s">
        <v>1269</v>
      </c>
      <c r="G56" s="32" t="s">
        <v>796</v>
      </c>
      <c r="H56" s="127" t="s">
        <v>1351</v>
      </c>
      <c r="I56" s="134">
        <v>45869</v>
      </c>
    </row>
    <row r="57" spans="1:9" x14ac:dyDescent="0.3">
      <c r="A57" s="30" t="str">
        <f t="shared" si="0"/>
        <v>EMO-1045</v>
      </c>
      <c r="B57" s="31" t="s">
        <v>427</v>
      </c>
      <c r="C57" s="128">
        <v>48045972</v>
      </c>
      <c r="D57" s="32" t="s">
        <v>751</v>
      </c>
      <c r="E57" s="32" t="s">
        <v>1349</v>
      </c>
      <c r="F57" s="97" t="s">
        <v>1270</v>
      </c>
      <c r="G57" s="32" t="s">
        <v>796</v>
      </c>
      <c r="H57" s="127" t="s">
        <v>1351</v>
      </c>
      <c r="I57" s="134">
        <v>45773</v>
      </c>
    </row>
    <row r="58" spans="1:9" x14ac:dyDescent="0.3">
      <c r="A58" s="30" t="str">
        <f t="shared" si="0"/>
        <v>EMO-1046</v>
      </c>
      <c r="B58" s="31" t="s">
        <v>429</v>
      </c>
      <c r="C58" s="128">
        <v>47922856</v>
      </c>
      <c r="D58" s="32" t="s">
        <v>751</v>
      </c>
      <c r="E58" s="32" t="s">
        <v>1349</v>
      </c>
      <c r="F58" s="97" t="s">
        <v>1271</v>
      </c>
      <c r="G58" s="32" t="s">
        <v>807</v>
      </c>
      <c r="H58" s="127" t="s">
        <v>1351</v>
      </c>
      <c r="I58" s="134">
        <v>45746</v>
      </c>
    </row>
    <row r="59" spans="1:9" x14ac:dyDescent="0.3">
      <c r="A59" s="30" t="str">
        <f t="shared" si="0"/>
        <v>EMO-1047</v>
      </c>
      <c r="B59" s="31" t="s">
        <v>431</v>
      </c>
      <c r="C59" s="128">
        <v>80058504</v>
      </c>
      <c r="D59" s="32" t="s">
        <v>760</v>
      </c>
      <c r="E59" s="32" t="s">
        <v>1349</v>
      </c>
      <c r="F59" s="97" t="s">
        <v>1237</v>
      </c>
      <c r="G59" s="32" t="s">
        <v>796</v>
      </c>
      <c r="H59" s="127" t="s">
        <v>1351</v>
      </c>
      <c r="I59" s="134">
        <v>45412</v>
      </c>
    </row>
    <row r="60" spans="1:9" x14ac:dyDescent="0.3">
      <c r="A60" s="30" t="str">
        <f t="shared" si="0"/>
        <v>EMO-1048</v>
      </c>
      <c r="B60" s="31" t="s">
        <v>443</v>
      </c>
      <c r="C60" s="128">
        <v>72284394</v>
      </c>
      <c r="D60" s="32" t="s">
        <v>753</v>
      </c>
      <c r="E60" s="32" t="s">
        <v>1349</v>
      </c>
      <c r="F60" s="97" t="s">
        <v>1272</v>
      </c>
      <c r="G60" s="32" t="s">
        <v>796</v>
      </c>
      <c r="H60" s="127" t="s">
        <v>1351</v>
      </c>
      <c r="I60" s="134">
        <v>45807</v>
      </c>
    </row>
    <row r="61" spans="1:9" x14ac:dyDescent="0.3">
      <c r="A61" s="30" t="str">
        <f t="shared" si="0"/>
        <v>EMO-1049</v>
      </c>
      <c r="B61" s="31" t="s">
        <v>446</v>
      </c>
      <c r="C61" s="128">
        <v>76243736</v>
      </c>
      <c r="D61" s="32" t="s">
        <v>747</v>
      </c>
      <c r="E61" s="32" t="s">
        <v>1349</v>
      </c>
      <c r="F61" s="97" t="s">
        <v>1257</v>
      </c>
      <c r="G61" s="32" t="s">
        <v>807</v>
      </c>
      <c r="H61" s="127" t="s">
        <v>1351</v>
      </c>
      <c r="I61" s="134">
        <v>45688</v>
      </c>
    </row>
    <row r="62" spans="1:9" ht="28.8" x14ac:dyDescent="0.3">
      <c r="A62" s="30" t="str">
        <f t="shared" si="0"/>
        <v>EMO-1050</v>
      </c>
      <c r="B62" s="31" t="s">
        <v>448</v>
      </c>
      <c r="C62" s="128">
        <v>44198510</v>
      </c>
      <c r="D62" s="127" t="s">
        <v>764</v>
      </c>
      <c r="E62" s="32" t="s">
        <v>1349</v>
      </c>
      <c r="F62" s="97" t="s">
        <v>1273</v>
      </c>
      <c r="G62" s="32" t="s">
        <v>796</v>
      </c>
      <c r="H62" s="127" t="s">
        <v>1351</v>
      </c>
      <c r="I62" s="134">
        <v>45107</v>
      </c>
    </row>
    <row r="63" spans="1:9" x14ac:dyDescent="0.3">
      <c r="A63" s="30" t="str">
        <f t="shared" si="0"/>
        <v>EMO-1051</v>
      </c>
      <c r="B63" s="31" t="s">
        <v>458</v>
      </c>
      <c r="C63" s="128">
        <v>72268085</v>
      </c>
      <c r="D63" s="32" t="s">
        <v>751</v>
      </c>
      <c r="E63" s="32" t="s">
        <v>1349</v>
      </c>
      <c r="F63" s="97" t="s">
        <v>1261</v>
      </c>
      <c r="G63" s="32" t="s">
        <v>796</v>
      </c>
      <c r="H63" s="127" t="s">
        <v>1351</v>
      </c>
      <c r="I63" s="134">
        <v>45030</v>
      </c>
    </row>
    <row r="64" spans="1:9" x14ac:dyDescent="0.3">
      <c r="A64" s="30" t="str">
        <f t="shared" si="0"/>
        <v>EMO-1052</v>
      </c>
      <c r="B64" s="31" t="s">
        <v>460</v>
      </c>
      <c r="C64" s="128">
        <v>77043616</v>
      </c>
      <c r="D64" s="32" t="s">
        <v>751</v>
      </c>
      <c r="E64" s="32" t="s">
        <v>1349</v>
      </c>
      <c r="F64" s="97" t="s">
        <v>1274</v>
      </c>
      <c r="G64" s="32" t="s">
        <v>796</v>
      </c>
      <c r="H64" s="127" t="s">
        <v>1351</v>
      </c>
      <c r="I64" s="134">
        <v>45991</v>
      </c>
    </row>
    <row r="65" spans="1:9" x14ac:dyDescent="0.3">
      <c r="A65" s="30" t="str">
        <f t="shared" si="0"/>
        <v>EMO-1053</v>
      </c>
      <c r="B65" s="31" t="s">
        <v>468</v>
      </c>
      <c r="C65" s="128">
        <v>76224003</v>
      </c>
      <c r="D65" s="32" t="s">
        <v>751</v>
      </c>
      <c r="E65" s="32" t="s">
        <v>1349</v>
      </c>
      <c r="F65" s="97" t="s">
        <v>1275</v>
      </c>
      <c r="G65" s="32" t="s">
        <v>796</v>
      </c>
      <c r="H65" s="127" t="s">
        <v>1351</v>
      </c>
      <c r="I65" s="134">
        <v>45058</v>
      </c>
    </row>
    <row r="66" spans="1:9" x14ac:dyDescent="0.3">
      <c r="A66" s="30" t="str">
        <f t="shared" si="0"/>
        <v>EMO-1054</v>
      </c>
      <c r="B66" s="31" t="s">
        <v>482</v>
      </c>
      <c r="C66" s="128">
        <v>72157299</v>
      </c>
      <c r="D66" s="32" t="s">
        <v>751</v>
      </c>
      <c r="E66" s="32" t="s">
        <v>1349</v>
      </c>
      <c r="F66" s="97" t="s">
        <v>1276</v>
      </c>
      <c r="G66" s="32" t="s">
        <v>796</v>
      </c>
      <c r="H66" s="127" t="s">
        <v>1351</v>
      </c>
      <c r="I66" s="134">
        <v>45688</v>
      </c>
    </row>
    <row r="67" spans="1:9" x14ac:dyDescent="0.3">
      <c r="A67" s="30" t="str">
        <f t="shared" si="0"/>
        <v>EMO-1055</v>
      </c>
      <c r="B67" s="31" t="s">
        <v>484</v>
      </c>
      <c r="C67" s="128">
        <v>70569992</v>
      </c>
      <c r="D67" s="32" t="s">
        <v>751</v>
      </c>
      <c r="E67" s="32" t="s">
        <v>1349</v>
      </c>
      <c r="F67" s="97" t="s">
        <v>1277</v>
      </c>
      <c r="G67" s="32" t="s">
        <v>796</v>
      </c>
      <c r="H67" s="127" t="s">
        <v>1351</v>
      </c>
      <c r="I67" s="134">
        <v>45688</v>
      </c>
    </row>
    <row r="68" spans="1:9" x14ac:dyDescent="0.3">
      <c r="A68" s="30" t="str">
        <f t="shared" si="0"/>
        <v>EMO-1056</v>
      </c>
      <c r="B68" s="31" t="s">
        <v>486</v>
      </c>
      <c r="C68" s="128">
        <v>70187485</v>
      </c>
      <c r="D68" s="32" t="s">
        <v>747</v>
      </c>
      <c r="E68" s="32" t="s">
        <v>1349</v>
      </c>
      <c r="F68" s="97" t="s">
        <v>1248</v>
      </c>
      <c r="G68" s="32" t="s">
        <v>796</v>
      </c>
      <c r="H68" s="127" t="s">
        <v>1351</v>
      </c>
      <c r="I68" s="134">
        <v>45535</v>
      </c>
    </row>
    <row r="69" spans="1:9" x14ac:dyDescent="0.3">
      <c r="A69" s="30" t="str">
        <f t="shared" si="0"/>
        <v>EMO-1057</v>
      </c>
      <c r="B69" s="31" t="s">
        <v>488</v>
      </c>
      <c r="C69" s="128">
        <v>70187486</v>
      </c>
      <c r="D69" s="32" t="s">
        <v>747</v>
      </c>
      <c r="E69" s="32" t="s">
        <v>1349</v>
      </c>
      <c r="F69" s="97">
        <v>46082</v>
      </c>
      <c r="G69" s="32" t="s">
        <v>796</v>
      </c>
      <c r="H69" s="127" t="s">
        <v>1351</v>
      </c>
      <c r="I69" s="134">
        <v>45015</v>
      </c>
    </row>
    <row r="70" spans="1:9" x14ac:dyDescent="0.3">
      <c r="A70" s="30" t="str">
        <f t="shared" si="0"/>
        <v>EMO-1058</v>
      </c>
      <c r="B70" s="31" t="s">
        <v>490</v>
      </c>
      <c r="C70" s="128">
        <v>10510294</v>
      </c>
      <c r="D70" s="32" t="s">
        <v>747</v>
      </c>
      <c r="E70" s="32" t="s">
        <v>1349</v>
      </c>
      <c r="F70" s="97" t="s">
        <v>1278</v>
      </c>
      <c r="G70" s="32" t="s">
        <v>796</v>
      </c>
      <c r="H70" s="127" t="s">
        <v>32</v>
      </c>
      <c r="I70" s="134"/>
    </row>
    <row r="71" spans="1:9" x14ac:dyDescent="0.3">
      <c r="A71" s="30" t="str">
        <f t="shared" si="0"/>
        <v>EMO-1059</v>
      </c>
      <c r="B71" s="31" t="s">
        <v>506</v>
      </c>
      <c r="C71" s="128">
        <v>76123174</v>
      </c>
      <c r="D71" s="32" t="s">
        <v>747</v>
      </c>
      <c r="E71" s="32" t="s">
        <v>1349</v>
      </c>
      <c r="F71" s="97" t="s">
        <v>1279</v>
      </c>
      <c r="G71" s="32" t="s">
        <v>796</v>
      </c>
      <c r="H71" s="127" t="s">
        <v>32</v>
      </c>
      <c r="I71" s="134"/>
    </row>
    <row r="72" spans="1:9" x14ac:dyDescent="0.3">
      <c r="A72" s="30" t="str">
        <f t="shared" si="0"/>
        <v>EMO-1060</v>
      </c>
      <c r="B72" s="31" t="s">
        <v>514</v>
      </c>
      <c r="C72" s="128">
        <v>75870914</v>
      </c>
      <c r="D72" s="32" t="s">
        <v>751</v>
      </c>
      <c r="E72" s="32" t="s">
        <v>1349</v>
      </c>
      <c r="F72" s="97" t="s">
        <v>1280</v>
      </c>
      <c r="G72" s="32" t="s">
        <v>796</v>
      </c>
      <c r="H72" s="127" t="s">
        <v>32</v>
      </c>
      <c r="I72" s="134"/>
    </row>
    <row r="73" spans="1:9" x14ac:dyDescent="0.3">
      <c r="A73" s="30" t="str">
        <f t="shared" si="0"/>
        <v>EMO-1061</v>
      </c>
      <c r="B73" s="31" t="s">
        <v>516</v>
      </c>
      <c r="C73" s="128">
        <v>70630099</v>
      </c>
      <c r="D73" s="32" t="s">
        <v>751</v>
      </c>
      <c r="E73" s="32" t="s">
        <v>1349</v>
      </c>
      <c r="F73" s="97" t="s">
        <v>1281</v>
      </c>
      <c r="G73" s="32" t="s">
        <v>1347</v>
      </c>
      <c r="H73" s="127" t="s">
        <v>1351</v>
      </c>
      <c r="I73" s="134">
        <v>45869</v>
      </c>
    </row>
    <row r="74" spans="1:9" x14ac:dyDescent="0.3">
      <c r="A74" s="30" t="str">
        <f t="shared" si="0"/>
        <v>EMO-1062</v>
      </c>
      <c r="B74" s="31" t="s">
        <v>518</v>
      </c>
      <c r="C74" s="128">
        <v>76873150</v>
      </c>
      <c r="D74" s="32" t="s">
        <v>747</v>
      </c>
      <c r="E74" s="32" t="s">
        <v>1349</v>
      </c>
      <c r="F74" s="97" t="s">
        <v>1282</v>
      </c>
      <c r="G74" s="32" t="s">
        <v>796</v>
      </c>
      <c r="H74" s="127" t="s">
        <v>1351</v>
      </c>
      <c r="I74" s="134">
        <v>46197</v>
      </c>
    </row>
    <row r="75" spans="1:9" x14ac:dyDescent="0.3">
      <c r="A75" s="30" t="str">
        <f t="shared" si="0"/>
        <v>EMO-1063</v>
      </c>
      <c r="B75" s="31" t="s">
        <v>536</v>
      </c>
      <c r="C75" s="128">
        <v>74908678</v>
      </c>
      <c r="D75" s="32" t="s">
        <v>751</v>
      </c>
      <c r="E75" s="32" t="s">
        <v>1349</v>
      </c>
      <c r="F75" s="97" t="s">
        <v>1283</v>
      </c>
      <c r="G75" s="32" t="s">
        <v>796</v>
      </c>
      <c r="H75" s="127" t="s">
        <v>1351</v>
      </c>
      <c r="I75" s="134">
        <v>45716</v>
      </c>
    </row>
    <row r="76" spans="1:9" x14ac:dyDescent="0.3">
      <c r="A76" s="30" t="str">
        <f t="shared" si="0"/>
        <v>EMO-1064</v>
      </c>
      <c r="B76" s="31" t="s">
        <v>544</v>
      </c>
      <c r="C76" s="128">
        <v>76279110</v>
      </c>
      <c r="D76" s="32" t="s">
        <v>747</v>
      </c>
      <c r="E76" s="32" t="s">
        <v>1349</v>
      </c>
      <c r="F76" s="97" t="s">
        <v>1284</v>
      </c>
      <c r="G76" s="32" t="s">
        <v>796</v>
      </c>
      <c r="H76" s="127" t="s">
        <v>1351</v>
      </c>
      <c r="I76" s="134">
        <v>44960</v>
      </c>
    </row>
    <row r="77" spans="1:9" x14ac:dyDescent="0.3">
      <c r="A77" s="30" t="str">
        <f t="shared" si="0"/>
        <v>EMO-1065</v>
      </c>
      <c r="B77" s="31" t="s">
        <v>548</v>
      </c>
      <c r="C77" s="128">
        <v>71449148</v>
      </c>
      <c r="D77" s="32" t="s">
        <v>748</v>
      </c>
      <c r="E77" s="32" t="s">
        <v>1349</v>
      </c>
      <c r="F77" s="97" t="s">
        <v>1241</v>
      </c>
      <c r="G77" s="32" t="s">
        <v>796</v>
      </c>
      <c r="H77" s="127" t="s">
        <v>32</v>
      </c>
      <c r="I77" s="134"/>
    </row>
    <row r="78" spans="1:9" x14ac:dyDescent="0.3">
      <c r="A78" s="30" t="str">
        <f t="shared" ref="A78:A141" si="1">IF(B77&lt;&gt;"", "EMO-" &amp; TEXT(1000 + ROW(A67) - 1, "0000"), "")</f>
        <v>EMO-1066</v>
      </c>
      <c r="B78" s="31" t="s">
        <v>552</v>
      </c>
      <c r="C78" s="128">
        <v>73965500</v>
      </c>
      <c r="D78" s="32" t="s">
        <v>747</v>
      </c>
      <c r="E78" s="32" t="s">
        <v>1350</v>
      </c>
      <c r="F78" s="97" t="s">
        <v>1285</v>
      </c>
      <c r="G78" s="32" t="s">
        <v>796</v>
      </c>
      <c r="H78" s="127" t="s">
        <v>32</v>
      </c>
      <c r="I78" s="134"/>
    </row>
    <row r="79" spans="1:9" ht="28.8" x14ac:dyDescent="0.3">
      <c r="A79" s="30" t="str">
        <f t="shared" si="1"/>
        <v>EMO-1067</v>
      </c>
      <c r="B79" s="31" t="s">
        <v>554</v>
      </c>
      <c r="C79" s="128">
        <v>45118290</v>
      </c>
      <c r="D79" s="127" t="s">
        <v>750</v>
      </c>
      <c r="E79" s="32" t="s">
        <v>1349</v>
      </c>
      <c r="F79" s="97" t="s">
        <v>1233</v>
      </c>
      <c r="G79" s="32" t="s">
        <v>796</v>
      </c>
      <c r="H79" s="127" t="s">
        <v>32</v>
      </c>
      <c r="I79" s="134"/>
    </row>
    <row r="80" spans="1:9" x14ac:dyDescent="0.3">
      <c r="A80" s="30" t="str">
        <f t="shared" si="1"/>
        <v>EMO-1068</v>
      </c>
      <c r="B80" s="31" t="s">
        <v>562</v>
      </c>
      <c r="C80" s="128">
        <v>74489643</v>
      </c>
      <c r="D80" s="32" t="s">
        <v>748</v>
      </c>
      <c r="E80" s="32" t="s">
        <v>1349</v>
      </c>
      <c r="F80" s="97" t="s">
        <v>1286</v>
      </c>
      <c r="G80" s="32" t="s">
        <v>796</v>
      </c>
      <c r="H80" s="127" t="s">
        <v>1351</v>
      </c>
      <c r="I80" s="134">
        <v>45565</v>
      </c>
    </row>
    <row r="81" spans="1:9" x14ac:dyDescent="0.3">
      <c r="A81" s="30" t="str">
        <f t="shared" si="1"/>
        <v>EMO-1069</v>
      </c>
      <c r="B81" s="31" t="s">
        <v>566</v>
      </c>
      <c r="C81" s="128">
        <v>70078998</v>
      </c>
      <c r="D81" s="32" t="s">
        <v>751</v>
      </c>
      <c r="E81" s="32" t="s">
        <v>1349</v>
      </c>
      <c r="F81" s="97" t="s">
        <v>1263</v>
      </c>
      <c r="G81" s="32" t="s">
        <v>796</v>
      </c>
      <c r="H81" s="127" t="s">
        <v>1351</v>
      </c>
      <c r="I81" s="134">
        <v>45473</v>
      </c>
    </row>
    <row r="82" spans="1:9" ht="28.8" x14ac:dyDescent="0.3">
      <c r="A82" s="30" t="str">
        <f t="shared" si="1"/>
        <v>EMO-1070</v>
      </c>
      <c r="B82" s="31" t="s">
        <v>576</v>
      </c>
      <c r="C82" s="128">
        <v>77096775</v>
      </c>
      <c r="D82" s="127" t="s">
        <v>750</v>
      </c>
      <c r="E82" s="32" t="s">
        <v>1350</v>
      </c>
      <c r="F82" s="97" t="s">
        <v>1239</v>
      </c>
      <c r="G82" s="32" t="s">
        <v>796</v>
      </c>
      <c r="H82" s="127" t="s">
        <v>32</v>
      </c>
      <c r="I82" s="134"/>
    </row>
    <row r="83" spans="1:9" x14ac:dyDescent="0.3">
      <c r="A83" s="30" t="str">
        <f t="shared" si="1"/>
        <v>EMO-1071</v>
      </c>
      <c r="B83" s="31" t="s">
        <v>578</v>
      </c>
      <c r="C83" s="128">
        <v>61861541</v>
      </c>
      <c r="D83" s="32" t="s">
        <v>751</v>
      </c>
      <c r="E83" s="32" t="s">
        <v>1349</v>
      </c>
      <c r="F83" s="97">
        <v>46084</v>
      </c>
      <c r="G83" s="32" t="s">
        <v>796</v>
      </c>
      <c r="H83" s="127" t="s">
        <v>1351</v>
      </c>
      <c r="I83" s="134">
        <v>45009</v>
      </c>
    </row>
    <row r="84" spans="1:9" x14ac:dyDescent="0.3">
      <c r="A84" s="30" t="str">
        <f t="shared" si="1"/>
        <v>EMO-1072</v>
      </c>
      <c r="B84" s="31" t="s">
        <v>580</v>
      </c>
      <c r="C84" s="128">
        <v>70644644</v>
      </c>
      <c r="D84" s="32" t="s">
        <v>751</v>
      </c>
      <c r="E84" s="32" t="s">
        <v>1349</v>
      </c>
      <c r="F84" s="97" t="s">
        <v>1287</v>
      </c>
      <c r="G84" s="32" t="s">
        <v>807</v>
      </c>
      <c r="H84" s="127" t="s">
        <v>1351</v>
      </c>
      <c r="I84" s="134">
        <v>45015</v>
      </c>
    </row>
    <row r="85" spans="1:9" x14ac:dyDescent="0.3">
      <c r="A85" s="30" t="str">
        <f t="shared" si="1"/>
        <v>EMO-1073</v>
      </c>
      <c r="B85" s="31" t="s">
        <v>586</v>
      </c>
      <c r="C85" s="128">
        <v>40881459</v>
      </c>
      <c r="D85" s="32" t="s">
        <v>747</v>
      </c>
      <c r="E85" s="32" t="s">
        <v>1349</v>
      </c>
      <c r="F85" s="97" t="s">
        <v>1288</v>
      </c>
      <c r="G85" s="32" t="s">
        <v>796</v>
      </c>
      <c r="H85" s="127" t="s">
        <v>1351</v>
      </c>
      <c r="I85" s="134">
        <v>45960</v>
      </c>
    </row>
    <row r="86" spans="1:9" x14ac:dyDescent="0.3">
      <c r="A86" s="30" t="str">
        <f t="shared" si="1"/>
        <v>EMO-1074</v>
      </c>
      <c r="B86" s="31" t="s">
        <v>592</v>
      </c>
      <c r="C86" s="128">
        <v>74676754</v>
      </c>
      <c r="D86" s="32" t="s">
        <v>751</v>
      </c>
      <c r="E86" s="32" t="s">
        <v>1349</v>
      </c>
      <c r="F86" s="97" t="s">
        <v>1289</v>
      </c>
      <c r="G86" s="32" t="s">
        <v>796</v>
      </c>
      <c r="H86" s="127" t="s">
        <v>1351</v>
      </c>
      <c r="I86" s="134">
        <v>45960</v>
      </c>
    </row>
    <row r="87" spans="1:9" x14ac:dyDescent="0.3">
      <c r="A87" s="30" t="str">
        <f t="shared" si="1"/>
        <v>EMO-1075</v>
      </c>
      <c r="B87" s="31" t="s">
        <v>594</v>
      </c>
      <c r="C87" s="128">
        <v>75169048</v>
      </c>
      <c r="D87" s="32" t="s">
        <v>751</v>
      </c>
      <c r="E87" s="32" t="s">
        <v>1349</v>
      </c>
      <c r="F87" s="97" t="s">
        <v>1290</v>
      </c>
      <c r="G87" s="32" t="s">
        <v>807</v>
      </c>
      <c r="H87" s="127" t="s">
        <v>1351</v>
      </c>
      <c r="I87" s="134">
        <v>45930</v>
      </c>
    </row>
    <row r="88" spans="1:9" x14ac:dyDescent="0.3">
      <c r="A88" s="30" t="str">
        <f t="shared" si="1"/>
        <v>EMO-1076</v>
      </c>
      <c r="B88" s="31" t="s">
        <v>602</v>
      </c>
      <c r="C88" s="128">
        <v>76800275</v>
      </c>
      <c r="D88" s="32" t="s">
        <v>748</v>
      </c>
      <c r="E88" s="32" t="s">
        <v>1349</v>
      </c>
      <c r="F88" s="97" t="s">
        <v>1266</v>
      </c>
      <c r="G88" s="32" t="s">
        <v>796</v>
      </c>
      <c r="H88" s="127" t="s">
        <v>1351</v>
      </c>
      <c r="I88" s="134">
        <v>45229</v>
      </c>
    </row>
    <row r="89" spans="1:9" ht="28.8" x14ac:dyDescent="0.3">
      <c r="A89" s="30" t="str">
        <f t="shared" si="1"/>
        <v>EMO-1077</v>
      </c>
      <c r="B89" s="31" t="s">
        <v>606</v>
      </c>
      <c r="C89" s="128">
        <v>41517602</v>
      </c>
      <c r="D89" s="127" t="s">
        <v>764</v>
      </c>
      <c r="E89" s="32" t="s">
        <v>1349</v>
      </c>
      <c r="F89" s="97" t="s">
        <v>1291</v>
      </c>
      <c r="G89" s="32" t="s">
        <v>796</v>
      </c>
      <c r="H89" s="127" t="s">
        <v>1351</v>
      </c>
      <c r="I89" s="134">
        <v>45961</v>
      </c>
    </row>
    <row r="90" spans="1:9" x14ac:dyDescent="0.3">
      <c r="A90" s="30" t="str">
        <f t="shared" si="1"/>
        <v>EMO-1078</v>
      </c>
      <c r="B90" s="31" t="s">
        <v>608</v>
      </c>
      <c r="C90" s="128">
        <v>72595554</v>
      </c>
      <c r="D90" s="32" t="s">
        <v>751</v>
      </c>
      <c r="E90" s="32" t="s">
        <v>1349</v>
      </c>
      <c r="F90" s="97" t="s">
        <v>1292</v>
      </c>
      <c r="G90" s="32" t="s">
        <v>796</v>
      </c>
      <c r="H90" s="127" t="s">
        <v>32</v>
      </c>
      <c r="I90" s="134"/>
    </row>
    <row r="91" spans="1:9" x14ac:dyDescent="0.3">
      <c r="A91" s="30" t="str">
        <f t="shared" si="1"/>
        <v>EMO-1079</v>
      </c>
      <c r="B91" s="31" t="s">
        <v>612</v>
      </c>
      <c r="C91" s="128">
        <v>10665806</v>
      </c>
      <c r="D91" s="32" t="s">
        <v>747</v>
      </c>
      <c r="E91" s="32" t="s">
        <v>1349</v>
      </c>
      <c r="F91" s="97" t="s">
        <v>1293</v>
      </c>
      <c r="G91" s="32" t="s">
        <v>796</v>
      </c>
      <c r="H91" s="127" t="s">
        <v>1351</v>
      </c>
      <c r="I91" s="134">
        <v>45199</v>
      </c>
    </row>
    <row r="92" spans="1:9" x14ac:dyDescent="0.3">
      <c r="A92" s="30" t="str">
        <f t="shared" si="1"/>
        <v>EMO-1080</v>
      </c>
      <c r="B92" s="31" t="s">
        <v>620</v>
      </c>
      <c r="C92" s="128">
        <v>76439514</v>
      </c>
      <c r="D92" s="32" t="s">
        <v>747</v>
      </c>
      <c r="E92" s="32" t="s">
        <v>1349</v>
      </c>
      <c r="F92" s="97" t="s">
        <v>1239</v>
      </c>
      <c r="G92" s="32" t="s">
        <v>796</v>
      </c>
      <c r="H92" s="127" t="s">
        <v>1351</v>
      </c>
      <c r="I92" s="134">
        <v>45009</v>
      </c>
    </row>
    <row r="93" spans="1:9" x14ac:dyDescent="0.3">
      <c r="A93" s="30" t="str">
        <f t="shared" si="1"/>
        <v>EMO-1081</v>
      </c>
      <c r="B93" s="31" t="s">
        <v>624</v>
      </c>
      <c r="C93" s="128">
        <v>72511841</v>
      </c>
      <c r="D93" s="32" t="s">
        <v>747</v>
      </c>
      <c r="E93" s="32" t="s">
        <v>1349</v>
      </c>
      <c r="F93" s="97" t="s">
        <v>1294</v>
      </c>
      <c r="G93" s="32" t="s">
        <v>796</v>
      </c>
      <c r="H93" s="127" t="s">
        <v>1351</v>
      </c>
      <c r="I93" s="134">
        <v>45535</v>
      </c>
    </row>
    <row r="94" spans="1:9" x14ac:dyDescent="0.3">
      <c r="A94" s="30" t="str">
        <f t="shared" si="1"/>
        <v>EMO-1082</v>
      </c>
      <c r="B94" s="31" t="s">
        <v>626</v>
      </c>
      <c r="C94" s="128">
        <v>47899685</v>
      </c>
      <c r="D94" s="32" t="s">
        <v>753</v>
      </c>
      <c r="E94" s="32" t="s">
        <v>1349</v>
      </c>
      <c r="F94" s="97" t="s">
        <v>1268</v>
      </c>
      <c r="G94" s="32" t="s">
        <v>796</v>
      </c>
      <c r="H94" s="127" t="s">
        <v>1351</v>
      </c>
      <c r="I94" s="134">
        <v>44960</v>
      </c>
    </row>
    <row r="95" spans="1:9" x14ac:dyDescent="0.3">
      <c r="A95" s="30" t="str">
        <f t="shared" si="1"/>
        <v>EMO-1083</v>
      </c>
      <c r="B95" s="31" t="s">
        <v>630</v>
      </c>
      <c r="C95" s="128">
        <v>9840430</v>
      </c>
      <c r="D95" s="32" t="s">
        <v>747</v>
      </c>
      <c r="E95" s="32" t="s">
        <v>1349</v>
      </c>
      <c r="F95" s="97" t="s">
        <v>1295</v>
      </c>
      <c r="G95" s="32" t="s">
        <v>796</v>
      </c>
      <c r="H95" s="127" t="s">
        <v>1351</v>
      </c>
      <c r="I95" s="134">
        <v>45688</v>
      </c>
    </row>
    <row r="96" spans="1:9" x14ac:dyDescent="0.3">
      <c r="A96" s="30" t="str">
        <f t="shared" si="1"/>
        <v>EMO-1084</v>
      </c>
      <c r="B96" s="31" t="s">
        <v>634</v>
      </c>
      <c r="C96" s="128">
        <v>75605507</v>
      </c>
      <c r="D96" s="32" t="s">
        <v>751</v>
      </c>
      <c r="E96" s="32" t="s">
        <v>1349</v>
      </c>
      <c r="F96" s="97" t="s">
        <v>1296</v>
      </c>
      <c r="G96" s="32" t="s">
        <v>807</v>
      </c>
      <c r="H96" s="127" t="s">
        <v>1351</v>
      </c>
      <c r="I96" s="134">
        <v>45688</v>
      </c>
    </row>
    <row r="97" spans="1:9" x14ac:dyDescent="0.3">
      <c r="A97" s="30" t="str">
        <f t="shared" si="1"/>
        <v>EMO-1085</v>
      </c>
      <c r="B97" s="31" t="s">
        <v>650</v>
      </c>
      <c r="C97" s="128">
        <v>45418401</v>
      </c>
      <c r="D97" s="32" t="s">
        <v>748</v>
      </c>
      <c r="E97" s="32" t="s">
        <v>1350</v>
      </c>
      <c r="F97" s="97" t="s">
        <v>1297</v>
      </c>
      <c r="G97" s="32" t="s">
        <v>796</v>
      </c>
      <c r="H97" s="127" t="s">
        <v>1351</v>
      </c>
      <c r="I97" s="134">
        <v>45230</v>
      </c>
    </row>
    <row r="98" spans="1:9" x14ac:dyDescent="0.3">
      <c r="A98" s="30" t="str">
        <f t="shared" si="1"/>
        <v>EMO-1086</v>
      </c>
      <c r="B98" s="31" t="s">
        <v>652</v>
      </c>
      <c r="C98" s="128">
        <v>76395756</v>
      </c>
      <c r="D98" s="32" t="s">
        <v>753</v>
      </c>
      <c r="E98" s="32" t="s">
        <v>1349</v>
      </c>
      <c r="F98" s="97" t="s">
        <v>1298</v>
      </c>
      <c r="G98" s="32" t="s">
        <v>807</v>
      </c>
      <c r="H98" s="127" t="s">
        <v>1351</v>
      </c>
      <c r="I98" s="134">
        <v>45899</v>
      </c>
    </row>
    <row r="99" spans="1:9" x14ac:dyDescent="0.3">
      <c r="A99" s="30" t="str">
        <f t="shared" si="1"/>
        <v>EMO-1087</v>
      </c>
      <c r="B99" s="31" t="s">
        <v>654</v>
      </c>
      <c r="C99" s="128">
        <v>60598914</v>
      </c>
      <c r="D99" s="32" t="s">
        <v>751</v>
      </c>
      <c r="E99" s="32" t="s">
        <v>1349</v>
      </c>
      <c r="F99" s="97" t="s">
        <v>1299</v>
      </c>
      <c r="G99" s="32" t="s">
        <v>796</v>
      </c>
      <c r="H99" s="127" t="s">
        <v>1351</v>
      </c>
      <c r="I99" s="134">
        <v>45565</v>
      </c>
    </row>
    <row r="100" spans="1:9" x14ac:dyDescent="0.3">
      <c r="A100" s="30" t="str">
        <f t="shared" si="1"/>
        <v>EMO-1088</v>
      </c>
      <c r="B100" s="31" t="s">
        <v>658</v>
      </c>
      <c r="C100" s="128">
        <v>43507406</v>
      </c>
      <c r="D100" s="32" t="s">
        <v>748</v>
      </c>
      <c r="E100" s="32" t="s">
        <v>1349</v>
      </c>
      <c r="F100" s="97" t="s">
        <v>1300</v>
      </c>
      <c r="G100" s="32" t="s">
        <v>796</v>
      </c>
      <c r="H100" s="127" t="s">
        <v>1351</v>
      </c>
      <c r="I100" s="134">
        <v>45504</v>
      </c>
    </row>
    <row r="101" spans="1:9" x14ac:dyDescent="0.3">
      <c r="A101" s="30" t="str">
        <f t="shared" si="1"/>
        <v>EMO-1089</v>
      </c>
      <c r="B101" s="31" t="s">
        <v>662</v>
      </c>
      <c r="C101" s="128">
        <v>42513224</v>
      </c>
      <c r="D101" s="32" t="s">
        <v>747</v>
      </c>
      <c r="E101" s="32" t="s">
        <v>1350</v>
      </c>
      <c r="F101" s="97" t="s">
        <v>1285</v>
      </c>
      <c r="G101" s="32" t="s">
        <v>796</v>
      </c>
      <c r="H101" s="127" t="s">
        <v>1351</v>
      </c>
      <c r="I101" s="134">
        <v>45107</v>
      </c>
    </row>
    <row r="102" spans="1:9" x14ac:dyDescent="0.3">
      <c r="A102" s="30" t="str">
        <f t="shared" si="1"/>
        <v>EMO-1090</v>
      </c>
      <c r="B102" s="31" t="s">
        <v>664</v>
      </c>
      <c r="C102" s="128">
        <v>75836637</v>
      </c>
      <c r="D102" s="32" t="s">
        <v>748</v>
      </c>
      <c r="E102" s="32" t="s">
        <v>1349</v>
      </c>
      <c r="F102" s="97" t="s">
        <v>1301</v>
      </c>
      <c r="G102" s="32" t="s">
        <v>796</v>
      </c>
      <c r="H102" s="127" t="s">
        <v>1351</v>
      </c>
      <c r="I102" s="134">
        <v>45107</v>
      </c>
    </row>
    <row r="103" spans="1:9" x14ac:dyDescent="0.3">
      <c r="A103" s="30" t="str">
        <f t="shared" si="1"/>
        <v>EMO-1091</v>
      </c>
      <c r="B103" s="31" t="s">
        <v>666</v>
      </c>
      <c r="C103" s="128">
        <v>76515867</v>
      </c>
      <c r="D103" s="32" t="s">
        <v>747</v>
      </c>
      <c r="E103" s="32" t="s">
        <v>1349</v>
      </c>
      <c r="F103" s="97" t="s">
        <v>1294</v>
      </c>
      <c r="G103" s="32" t="s">
        <v>796</v>
      </c>
      <c r="H103" s="127" t="s">
        <v>1351</v>
      </c>
      <c r="I103" s="134">
        <v>45535</v>
      </c>
    </row>
    <row r="104" spans="1:9" x14ac:dyDescent="0.3">
      <c r="A104" s="30" t="str">
        <f t="shared" si="1"/>
        <v>EMO-1092</v>
      </c>
      <c r="B104" s="31" t="s">
        <v>674</v>
      </c>
      <c r="C104" s="128">
        <v>73263002</v>
      </c>
      <c r="D104" s="32" t="s">
        <v>751</v>
      </c>
      <c r="E104" s="32" t="s">
        <v>1349</v>
      </c>
      <c r="F104" s="97" t="s">
        <v>1302</v>
      </c>
      <c r="G104" s="32" t="s">
        <v>807</v>
      </c>
      <c r="H104" s="127" t="s">
        <v>1351</v>
      </c>
      <c r="I104" s="134">
        <v>45991</v>
      </c>
    </row>
    <row r="105" spans="1:9" x14ac:dyDescent="0.3">
      <c r="A105" s="30" t="str">
        <f t="shared" si="1"/>
        <v>EMO-1093</v>
      </c>
      <c r="B105" s="31" t="s">
        <v>682</v>
      </c>
      <c r="C105" s="128">
        <v>74498382</v>
      </c>
      <c r="D105" s="32" t="s">
        <v>747</v>
      </c>
      <c r="E105" s="32" t="s">
        <v>1349</v>
      </c>
      <c r="F105" s="97" t="s">
        <v>1303</v>
      </c>
      <c r="G105" s="32" t="s">
        <v>796</v>
      </c>
      <c r="H105" s="127" t="s">
        <v>32</v>
      </c>
      <c r="I105" s="134"/>
    </row>
    <row r="106" spans="1:9" ht="28.8" x14ac:dyDescent="0.3">
      <c r="A106" s="30" t="str">
        <f t="shared" si="1"/>
        <v>EMO-1094</v>
      </c>
      <c r="B106" s="31" t="s">
        <v>684</v>
      </c>
      <c r="C106" s="128">
        <v>8177110</v>
      </c>
      <c r="D106" s="127" t="s">
        <v>750</v>
      </c>
      <c r="E106" s="32" t="s">
        <v>1349</v>
      </c>
      <c r="F106" s="97" t="s">
        <v>1304</v>
      </c>
      <c r="G106" s="32" t="s">
        <v>807</v>
      </c>
      <c r="H106" s="127" t="s">
        <v>32</v>
      </c>
      <c r="I106" s="134"/>
    </row>
    <row r="107" spans="1:9" x14ac:dyDescent="0.3">
      <c r="A107" s="30" t="str">
        <f t="shared" si="1"/>
        <v>EMO-1095</v>
      </c>
      <c r="B107" s="31" t="s">
        <v>686</v>
      </c>
      <c r="C107" s="128">
        <v>43399160</v>
      </c>
      <c r="D107" s="32" t="s">
        <v>747</v>
      </c>
      <c r="E107" s="32" t="s">
        <v>1349</v>
      </c>
      <c r="F107" s="97" t="s">
        <v>1305</v>
      </c>
      <c r="G107" s="32" t="s">
        <v>796</v>
      </c>
      <c r="H107" s="127" t="s">
        <v>1351</v>
      </c>
      <c r="I107" s="134">
        <v>45504</v>
      </c>
    </row>
    <row r="108" spans="1:9" x14ac:dyDescent="0.3">
      <c r="A108" s="30" t="str">
        <f t="shared" si="1"/>
        <v>EMO-1096</v>
      </c>
      <c r="B108" s="31" t="s">
        <v>688</v>
      </c>
      <c r="C108" s="128">
        <v>48569209</v>
      </c>
      <c r="D108" s="32" t="s">
        <v>751</v>
      </c>
      <c r="E108" s="32" t="s">
        <v>1349</v>
      </c>
      <c r="F108" s="97" t="s">
        <v>1306</v>
      </c>
      <c r="G108" s="32" t="s">
        <v>796</v>
      </c>
      <c r="H108" s="127" t="s">
        <v>1351</v>
      </c>
      <c r="I108" s="134">
        <v>45199</v>
      </c>
    </row>
    <row r="109" spans="1:9" x14ac:dyDescent="0.3">
      <c r="A109" s="30" t="str">
        <f t="shared" si="1"/>
        <v>EMO-1097</v>
      </c>
      <c r="B109" s="31" t="s">
        <v>692</v>
      </c>
      <c r="C109" s="128">
        <v>70747203</v>
      </c>
      <c r="D109" s="32" t="s">
        <v>747</v>
      </c>
      <c r="E109" s="32" t="s">
        <v>1349</v>
      </c>
      <c r="F109" s="97" t="s">
        <v>1307</v>
      </c>
      <c r="G109" s="32" t="s">
        <v>796</v>
      </c>
      <c r="H109" s="127" t="s">
        <v>1351</v>
      </c>
      <c r="I109" s="134">
        <v>45716</v>
      </c>
    </row>
    <row r="110" spans="1:9" x14ac:dyDescent="0.3">
      <c r="A110" s="30" t="str">
        <f t="shared" si="1"/>
        <v>EMO-1098</v>
      </c>
      <c r="B110" s="31" t="s">
        <v>694</v>
      </c>
      <c r="C110" s="128">
        <v>73732532</v>
      </c>
      <c r="D110" s="32" t="s">
        <v>751</v>
      </c>
      <c r="E110" s="32" t="s">
        <v>1349</v>
      </c>
      <c r="F110" s="97" t="s">
        <v>1308</v>
      </c>
      <c r="G110" s="32" t="s">
        <v>796</v>
      </c>
      <c r="H110" s="127" t="s">
        <v>1351</v>
      </c>
      <c r="I110" s="134">
        <v>45169</v>
      </c>
    </row>
    <row r="111" spans="1:9" x14ac:dyDescent="0.3">
      <c r="A111" s="30" t="str">
        <f t="shared" si="1"/>
        <v>EMO-1099</v>
      </c>
      <c r="B111" s="31" t="s">
        <v>696</v>
      </c>
      <c r="C111" s="128">
        <v>78054865</v>
      </c>
      <c r="D111" s="32" t="s">
        <v>751</v>
      </c>
      <c r="E111" s="32" t="s">
        <v>1349</v>
      </c>
      <c r="F111" s="97" t="s">
        <v>1309</v>
      </c>
      <c r="G111" s="32" t="s">
        <v>796</v>
      </c>
      <c r="H111" s="127" t="s">
        <v>1351</v>
      </c>
      <c r="I111" s="134">
        <v>45504</v>
      </c>
    </row>
    <row r="112" spans="1:9" x14ac:dyDescent="0.3">
      <c r="A112" s="30" t="str">
        <f t="shared" si="1"/>
        <v>EMO-1100</v>
      </c>
      <c r="B112" s="31" t="s">
        <v>698</v>
      </c>
      <c r="C112" s="128">
        <v>76200604</v>
      </c>
      <c r="D112" s="32" t="s">
        <v>748</v>
      </c>
      <c r="E112" s="32" t="s">
        <v>1349</v>
      </c>
      <c r="F112" s="97" t="s">
        <v>1310</v>
      </c>
      <c r="G112" s="32" t="s">
        <v>796</v>
      </c>
      <c r="H112" s="127" t="s">
        <v>1351</v>
      </c>
      <c r="I112" s="134">
        <v>44848</v>
      </c>
    </row>
    <row r="113" spans="1:9" x14ac:dyDescent="0.3">
      <c r="A113" s="30" t="str">
        <f t="shared" si="1"/>
        <v>EMO-1101</v>
      </c>
      <c r="B113" s="31" t="s">
        <v>702</v>
      </c>
      <c r="C113" s="128">
        <v>70090432</v>
      </c>
      <c r="D113" s="32" t="s">
        <v>747</v>
      </c>
      <c r="E113" s="32" t="s">
        <v>1349</v>
      </c>
      <c r="F113" s="97" t="s">
        <v>1240</v>
      </c>
      <c r="G113" s="32" t="s">
        <v>796</v>
      </c>
      <c r="H113" s="127" t="s">
        <v>1351</v>
      </c>
      <c r="I113" s="134">
        <v>45991</v>
      </c>
    </row>
    <row r="114" spans="1:9" x14ac:dyDescent="0.3">
      <c r="A114" s="30" t="str">
        <f t="shared" si="1"/>
        <v>EMO-1102</v>
      </c>
      <c r="B114" s="31" t="s">
        <v>708</v>
      </c>
      <c r="C114" s="128">
        <v>41951844</v>
      </c>
      <c r="D114" s="32" t="s">
        <v>751</v>
      </c>
      <c r="E114" s="32" t="s">
        <v>1349</v>
      </c>
      <c r="F114" s="97" t="s">
        <v>1251</v>
      </c>
      <c r="G114" s="32" t="s">
        <v>796</v>
      </c>
      <c r="H114" s="127" t="s">
        <v>1351</v>
      </c>
      <c r="I114" s="134">
        <v>45838</v>
      </c>
    </row>
    <row r="115" spans="1:9" x14ac:dyDescent="0.3">
      <c r="A115" s="30" t="str">
        <f t="shared" si="1"/>
        <v>EMO-1103</v>
      </c>
      <c r="B115" s="31" t="s">
        <v>714</v>
      </c>
      <c r="C115" s="128">
        <v>43080891</v>
      </c>
      <c r="D115" s="32" t="s">
        <v>747</v>
      </c>
      <c r="E115" s="32" t="s">
        <v>1349</v>
      </c>
      <c r="F115" s="97" t="s">
        <v>1231</v>
      </c>
      <c r="G115" s="32" t="s">
        <v>1347</v>
      </c>
      <c r="H115" s="127" t="s">
        <v>1351</v>
      </c>
      <c r="I115" s="134">
        <v>45838</v>
      </c>
    </row>
    <row r="116" spans="1:9" x14ac:dyDescent="0.3">
      <c r="A116" s="30" t="str">
        <f t="shared" si="1"/>
        <v>EMO-1104</v>
      </c>
      <c r="B116" s="31" t="s">
        <v>716</v>
      </c>
      <c r="C116" s="128">
        <v>73232083</v>
      </c>
      <c r="D116" s="32" t="s">
        <v>751</v>
      </c>
      <c r="E116" s="32" t="s">
        <v>1350</v>
      </c>
      <c r="F116" s="97" t="s">
        <v>1311</v>
      </c>
      <c r="G116" s="32" t="s">
        <v>796</v>
      </c>
      <c r="H116" s="127" t="s">
        <v>32</v>
      </c>
      <c r="I116" s="134"/>
    </row>
    <row r="117" spans="1:9" x14ac:dyDescent="0.3">
      <c r="A117" s="30" t="str">
        <f t="shared" si="1"/>
        <v>EMO-1105</v>
      </c>
      <c r="B117" s="31" t="s">
        <v>724</v>
      </c>
      <c r="C117" s="128">
        <v>72953180</v>
      </c>
      <c r="D117" s="32" t="s">
        <v>747</v>
      </c>
      <c r="E117" s="32" t="s">
        <v>1349</v>
      </c>
      <c r="F117" s="97" t="s">
        <v>1309</v>
      </c>
      <c r="G117" s="32" t="s">
        <v>796</v>
      </c>
      <c r="H117" s="127" t="s">
        <v>1351</v>
      </c>
      <c r="I117" s="134">
        <v>45838</v>
      </c>
    </row>
    <row r="118" spans="1:9" x14ac:dyDescent="0.3">
      <c r="A118" s="30" t="str">
        <f t="shared" si="1"/>
        <v>EMO-1106</v>
      </c>
      <c r="B118" s="31" t="s">
        <v>732</v>
      </c>
      <c r="C118" s="128">
        <v>46256864</v>
      </c>
      <c r="D118" s="32" t="s">
        <v>756</v>
      </c>
      <c r="E118" s="32" t="s">
        <v>1349</v>
      </c>
      <c r="F118" s="97" t="s">
        <v>1282</v>
      </c>
      <c r="G118" s="32" t="s">
        <v>796</v>
      </c>
      <c r="H118" s="127" t="s">
        <v>32</v>
      </c>
      <c r="I118" s="134"/>
    </row>
    <row r="119" spans="1:9" x14ac:dyDescent="0.3">
      <c r="A119" s="30" t="str">
        <f t="shared" si="1"/>
        <v>EMO-1107</v>
      </c>
      <c r="B119" s="31" t="s">
        <v>734</v>
      </c>
      <c r="C119" s="128">
        <v>74359870</v>
      </c>
      <c r="D119" s="32" t="s">
        <v>748</v>
      </c>
      <c r="E119" s="32" t="s">
        <v>1349</v>
      </c>
      <c r="F119" s="97" t="s">
        <v>1267</v>
      </c>
      <c r="G119" s="32" t="s">
        <v>796</v>
      </c>
      <c r="H119" s="127" t="s">
        <v>1351</v>
      </c>
      <c r="I119" s="134">
        <v>45991</v>
      </c>
    </row>
    <row r="120" spans="1:9" x14ac:dyDescent="0.3">
      <c r="A120" s="30" t="str">
        <f t="shared" si="1"/>
        <v>EMO-1108</v>
      </c>
      <c r="B120" s="31" t="s">
        <v>817</v>
      </c>
      <c r="C120" s="128">
        <v>42050527</v>
      </c>
      <c r="D120" s="32" t="s">
        <v>1220</v>
      </c>
      <c r="E120" s="32" t="s">
        <v>1349</v>
      </c>
      <c r="F120" s="97" t="s">
        <v>1271</v>
      </c>
      <c r="G120" s="32" t="s">
        <v>796</v>
      </c>
      <c r="H120" s="127" t="s">
        <v>32</v>
      </c>
      <c r="I120" s="134"/>
    </row>
    <row r="121" spans="1:9" x14ac:dyDescent="0.3">
      <c r="A121" s="30" t="str">
        <f t="shared" si="1"/>
        <v>EMO-1109</v>
      </c>
      <c r="B121" s="31" t="s">
        <v>818</v>
      </c>
      <c r="C121" s="128">
        <v>42443628</v>
      </c>
      <c r="D121" s="32" t="s">
        <v>1221</v>
      </c>
      <c r="E121" s="32" t="s">
        <v>1349</v>
      </c>
      <c r="F121" s="97" t="s">
        <v>1303</v>
      </c>
      <c r="G121" s="32" t="s">
        <v>796</v>
      </c>
      <c r="H121" s="127" t="s">
        <v>32</v>
      </c>
      <c r="I121" s="134"/>
    </row>
    <row r="122" spans="1:9" x14ac:dyDescent="0.3">
      <c r="A122" s="30" t="str">
        <f t="shared" si="1"/>
        <v>EMO-1110</v>
      </c>
      <c r="B122" s="31" t="s">
        <v>820</v>
      </c>
      <c r="C122" s="128">
        <v>46885196</v>
      </c>
      <c r="D122" s="32" t="s">
        <v>1221</v>
      </c>
      <c r="E122" s="32" t="s">
        <v>1349</v>
      </c>
      <c r="F122" s="97" t="s">
        <v>1312</v>
      </c>
      <c r="G122" s="32" t="s">
        <v>796</v>
      </c>
      <c r="H122" s="127" t="s">
        <v>32</v>
      </c>
      <c r="I122" s="134"/>
    </row>
    <row r="123" spans="1:9" x14ac:dyDescent="0.3">
      <c r="A123" s="30" t="str">
        <f t="shared" si="1"/>
        <v>EMO-1111</v>
      </c>
      <c r="B123" s="31" t="s">
        <v>821</v>
      </c>
      <c r="C123" s="128">
        <v>41199499</v>
      </c>
      <c r="D123" s="32" t="s">
        <v>1221</v>
      </c>
      <c r="E123" s="32" t="s">
        <v>1349</v>
      </c>
      <c r="F123" s="97" t="s">
        <v>1313</v>
      </c>
      <c r="G123" s="32" t="s">
        <v>796</v>
      </c>
      <c r="H123" s="127" t="s">
        <v>32</v>
      </c>
      <c r="I123" s="134"/>
    </row>
    <row r="124" spans="1:9" x14ac:dyDescent="0.3">
      <c r="A124" s="30" t="str">
        <f t="shared" si="1"/>
        <v>EMO-1112</v>
      </c>
      <c r="B124" s="31" t="s">
        <v>824</v>
      </c>
      <c r="C124" s="128">
        <v>41543661</v>
      </c>
      <c r="D124" s="32" t="s">
        <v>1220</v>
      </c>
      <c r="E124" s="32" t="s">
        <v>1349</v>
      </c>
      <c r="F124" s="97" t="s">
        <v>1314</v>
      </c>
      <c r="G124" s="32" t="s">
        <v>796</v>
      </c>
      <c r="H124" s="127" t="s">
        <v>32</v>
      </c>
      <c r="I124" s="134"/>
    </row>
    <row r="125" spans="1:9" x14ac:dyDescent="0.3">
      <c r="A125" s="30" t="str">
        <f t="shared" si="1"/>
        <v>EMO-1113</v>
      </c>
      <c r="B125" s="31" t="s">
        <v>829</v>
      </c>
      <c r="C125" s="128">
        <v>10230447</v>
      </c>
      <c r="D125" s="32" t="s">
        <v>1219</v>
      </c>
      <c r="E125" s="32" t="s">
        <v>1349</v>
      </c>
      <c r="F125" s="97" t="s">
        <v>1315</v>
      </c>
      <c r="G125" s="32" t="s">
        <v>796</v>
      </c>
      <c r="H125" s="127" t="s">
        <v>32</v>
      </c>
      <c r="I125" s="134"/>
    </row>
    <row r="126" spans="1:9" x14ac:dyDescent="0.3">
      <c r="A126" s="30" t="str">
        <f t="shared" si="1"/>
        <v>EMO-1114</v>
      </c>
      <c r="B126" s="31" t="s">
        <v>831</v>
      </c>
      <c r="C126" s="128">
        <v>22290603</v>
      </c>
      <c r="D126" s="32" t="s">
        <v>1221</v>
      </c>
      <c r="E126" s="32" t="s">
        <v>1349</v>
      </c>
      <c r="F126" s="97" t="s">
        <v>1244</v>
      </c>
      <c r="G126" s="32" t="s">
        <v>796</v>
      </c>
      <c r="H126" s="127" t="s">
        <v>32</v>
      </c>
      <c r="I126" s="134"/>
    </row>
    <row r="127" spans="1:9" x14ac:dyDescent="0.3">
      <c r="A127" s="30" t="str">
        <f t="shared" si="1"/>
        <v>EMO-1115</v>
      </c>
      <c r="B127" s="31" t="s">
        <v>834</v>
      </c>
      <c r="C127" s="128">
        <v>72799532</v>
      </c>
      <c r="D127" s="32" t="s">
        <v>1221</v>
      </c>
      <c r="E127" s="32" t="s">
        <v>1349</v>
      </c>
      <c r="F127" s="97" t="s">
        <v>1316</v>
      </c>
      <c r="G127" s="32" t="s">
        <v>796</v>
      </c>
      <c r="H127" s="127" t="s">
        <v>32</v>
      </c>
      <c r="I127" s="134"/>
    </row>
    <row r="128" spans="1:9" x14ac:dyDescent="0.3">
      <c r="A128" s="30" t="str">
        <f t="shared" si="1"/>
        <v>EMO-1116</v>
      </c>
      <c r="B128" s="31" t="s">
        <v>836</v>
      </c>
      <c r="C128" s="128">
        <v>7446365</v>
      </c>
      <c r="D128" s="32" t="s">
        <v>1222</v>
      </c>
      <c r="E128" s="32" t="s">
        <v>1349</v>
      </c>
      <c r="F128" s="97">
        <v>46334</v>
      </c>
      <c r="G128" s="32" t="s">
        <v>796</v>
      </c>
      <c r="H128" s="127" t="s">
        <v>32</v>
      </c>
      <c r="I128" s="134"/>
    </row>
    <row r="129" spans="1:9" x14ac:dyDescent="0.3">
      <c r="A129" s="30" t="str">
        <f t="shared" si="1"/>
        <v>EMO-1117</v>
      </c>
      <c r="B129" s="31" t="s">
        <v>837</v>
      </c>
      <c r="C129" s="128">
        <v>47252942</v>
      </c>
      <c r="D129" s="32" t="s">
        <v>1221</v>
      </c>
      <c r="E129" s="32" t="s">
        <v>1349</v>
      </c>
      <c r="F129" s="97" t="s">
        <v>1317</v>
      </c>
      <c r="G129" s="32" t="s">
        <v>796</v>
      </c>
      <c r="H129" s="127" t="s">
        <v>32</v>
      </c>
      <c r="I129" s="134"/>
    </row>
    <row r="130" spans="1:9" x14ac:dyDescent="0.3">
      <c r="A130" s="30" t="str">
        <f t="shared" si="1"/>
        <v>EMO-1118</v>
      </c>
      <c r="B130" s="31" t="s">
        <v>838</v>
      </c>
      <c r="C130" s="128">
        <v>72196907</v>
      </c>
      <c r="D130" s="32" t="s">
        <v>1220</v>
      </c>
      <c r="E130" s="32" t="s">
        <v>1349</v>
      </c>
      <c r="F130" s="97" t="s">
        <v>1271</v>
      </c>
      <c r="G130" s="32" t="s">
        <v>796</v>
      </c>
      <c r="H130" s="127" t="s">
        <v>32</v>
      </c>
      <c r="I130" s="134"/>
    </row>
    <row r="131" spans="1:9" x14ac:dyDescent="0.3">
      <c r="A131" s="30" t="str">
        <f t="shared" si="1"/>
        <v>EMO-1119</v>
      </c>
      <c r="B131" s="31" t="s">
        <v>839</v>
      </c>
      <c r="C131" s="128">
        <v>46658605</v>
      </c>
      <c r="D131" s="32" t="s">
        <v>1221</v>
      </c>
      <c r="E131" s="32" t="s">
        <v>1349</v>
      </c>
      <c r="F131" s="97" t="s">
        <v>1318</v>
      </c>
      <c r="G131" s="32" t="s">
        <v>796</v>
      </c>
      <c r="H131" s="127" t="s">
        <v>32</v>
      </c>
      <c r="I131" s="134"/>
    </row>
    <row r="132" spans="1:9" x14ac:dyDescent="0.3">
      <c r="A132" s="30" t="str">
        <f t="shared" si="1"/>
        <v>EMO-1120</v>
      </c>
      <c r="B132" s="31" t="s">
        <v>841</v>
      </c>
      <c r="C132" s="128">
        <v>72958987</v>
      </c>
      <c r="D132" s="32" t="s">
        <v>1221</v>
      </c>
      <c r="E132" s="32" t="s">
        <v>1349</v>
      </c>
      <c r="F132" s="97">
        <v>46269</v>
      </c>
      <c r="G132" s="32" t="s">
        <v>796</v>
      </c>
      <c r="H132" s="127" t="s">
        <v>32</v>
      </c>
      <c r="I132" s="134"/>
    </row>
    <row r="133" spans="1:9" x14ac:dyDescent="0.3">
      <c r="A133" s="30" t="str">
        <f t="shared" si="1"/>
        <v>EMO-1121</v>
      </c>
      <c r="B133" s="31" t="s">
        <v>843</v>
      </c>
      <c r="C133" s="128">
        <v>44858853</v>
      </c>
      <c r="D133" s="32" t="s">
        <v>1219</v>
      </c>
      <c r="E133" s="32" t="s">
        <v>1349</v>
      </c>
      <c r="F133" s="97" t="s">
        <v>1242</v>
      </c>
      <c r="G133" s="32" t="s">
        <v>796</v>
      </c>
      <c r="H133" s="127" t="s">
        <v>32</v>
      </c>
      <c r="I133" s="134"/>
    </row>
    <row r="134" spans="1:9" x14ac:dyDescent="0.3">
      <c r="A134" s="30" t="str">
        <f t="shared" si="1"/>
        <v>EMO-1122</v>
      </c>
      <c r="B134" s="31" t="s">
        <v>845</v>
      </c>
      <c r="C134" s="128">
        <v>77538261</v>
      </c>
      <c r="D134" s="32" t="s">
        <v>1220</v>
      </c>
      <c r="E134" s="32" t="s">
        <v>1349</v>
      </c>
      <c r="F134" s="97" t="s">
        <v>1290</v>
      </c>
      <c r="G134" s="32" t="s">
        <v>796</v>
      </c>
      <c r="H134" s="127" t="s">
        <v>32</v>
      </c>
      <c r="I134" s="134"/>
    </row>
    <row r="135" spans="1:9" x14ac:dyDescent="0.3">
      <c r="A135" s="30" t="str">
        <f t="shared" si="1"/>
        <v>EMO-1123</v>
      </c>
      <c r="B135" s="31" t="s">
        <v>846</v>
      </c>
      <c r="C135" s="128">
        <v>46070873</v>
      </c>
      <c r="D135" s="32" t="s">
        <v>1221</v>
      </c>
      <c r="E135" s="32" t="s">
        <v>1349</v>
      </c>
      <c r="F135" s="97" t="s">
        <v>1291</v>
      </c>
      <c r="G135" s="32" t="s">
        <v>796</v>
      </c>
      <c r="H135" s="127" t="s">
        <v>32</v>
      </c>
      <c r="I135" s="134"/>
    </row>
    <row r="136" spans="1:9" x14ac:dyDescent="0.3">
      <c r="A136" s="30" t="str">
        <f t="shared" si="1"/>
        <v>EMO-1124</v>
      </c>
      <c r="B136" s="31" t="s">
        <v>847</v>
      </c>
      <c r="C136" s="128">
        <v>76678783</v>
      </c>
      <c r="D136" s="32" t="s">
        <v>1221</v>
      </c>
      <c r="E136" s="32" t="s">
        <v>1349</v>
      </c>
      <c r="F136" s="97" t="s">
        <v>1314</v>
      </c>
      <c r="G136" s="32" t="s">
        <v>796</v>
      </c>
      <c r="H136" s="127" t="s">
        <v>32</v>
      </c>
      <c r="I136" s="134"/>
    </row>
    <row r="137" spans="1:9" x14ac:dyDescent="0.3">
      <c r="A137" s="30" t="str">
        <f t="shared" si="1"/>
        <v>EMO-1125</v>
      </c>
      <c r="B137" s="31" t="s">
        <v>848</v>
      </c>
      <c r="C137" s="128">
        <v>48500183</v>
      </c>
      <c r="D137" s="32" t="s">
        <v>1221</v>
      </c>
      <c r="E137" s="32" t="s">
        <v>1349</v>
      </c>
      <c r="F137" s="97" t="s">
        <v>1319</v>
      </c>
      <c r="G137" s="32" t="s">
        <v>796</v>
      </c>
      <c r="H137" s="127" t="s">
        <v>32</v>
      </c>
      <c r="I137" s="134"/>
    </row>
    <row r="138" spans="1:9" x14ac:dyDescent="0.3">
      <c r="A138" s="30" t="str">
        <f t="shared" si="1"/>
        <v>EMO-1126</v>
      </c>
      <c r="B138" s="31" t="s">
        <v>851</v>
      </c>
      <c r="C138" s="128">
        <v>70092144</v>
      </c>
      <c r="D138" s="32" t="s">
        <v>1221</v>
      </c>
      <c r="E138" s="32" t="s">
        <v>1349</v>
      </c>
      <c r="F138" s="97" t="s">
        <v>1243</v>
      </c>
      <c r="G138" s="32" t="s">
        <v>796</v>
      </c>
      <c r="H138" s="127" t="s">
        <v>32</v>
      </c>
      <c r="I138" s="134"/>
    </row>
    <row r="139" spans="1:9" x14ac:dyDescent="0.3">
      <c r="A139" s="30" t="str">
        <f t="shared" si="1"/>
        <v>EMO-1127</v>
      </c>
      <c r="B139" s="31" t="s">
        <v>852</v>
      </c>
      <c r="C139" s="128">
        <v>45129865</v>
      </c>
      <c r="D139" s="32" t="s">
        <v>1221</v>
      </c>
      <c r="E139" s="32" t="s">
        <v>1349</v>
      </c>
      <c r="F139" s="97" t="s">
        <v>1258</v>
      </c>
      <c r="G139" s="32" t="s">
        <v>796</v>
      </c>
      <c r="H139" s="127" t="s">
        <v>32</v>
      </c>
      <c r="I139" s="134"/>
    </row>
    <row r="140" spans="1:9" x14ac:dyDescent="0.3">
      <c r="A140" s="30" t="str">
        <f t="shared" si="1"/>
        <v>EMO-1128</v>
      </c>
      <c r="B140" s="31" t="s">
        <v>853</v>
      </c>
      <c r="C140" s="128">
        <v>10620483</v>
      </c>
      <c r="D140" s="32" t="s">
        <v>1221</v>
      </c>
      <c r="E140" s="32" t="s">
        <v>1349</v>
      </c>
      <c r="F140" s="97" t="s">
        <v>1303</v>
      </c>
      <c r="G140" s="32" t="s">
        <v>796</v>
      </c>
      <c r="H140" s="127" t="s">
        <v>32</v>
      </c>
      <c r="I140" s="134"/>
    </row>
    <row r="141" spans="1:9" x14ac:dyDescent="0.3">
      <c r="A141" s="30" t="str">
        <f t="shared" si="1"/>
        <v>EMO-1129</v>
      </c>
      <c r="B141" s="31" t="s">
        <v>857</v>
      </c>
      <c r="C141" s="128">
        <v>75999235</v>
      </c>
      <c r="D141" s="32" t="s">
        <v>1221</v>
      </c>
      <c r="E141" s="32" t="s">
        <v>1349</v>
      </c>
      <c r="F141" s="97" t="s">
        <v>1234</v>
      </c>
      <c r="G141" s="32" t="s">
        <v>796</v>
      </c>
      <c r="H141" s="127" t="s">
        <v>32</v>
      </c>
      <c r="I141" s="134"/>
    </row>
    <row r="142" spans="1:9" x14ac:dyDescent="0.3">
      <c r="A142" s="30" t="str">
        <f t="shared" ref="A142:A175" si="2">IF(B141&lt;&gt;"", "EMO-" &amp; TEXT(1000 + ROW(A131) - 1, "0000"), "")</f>
        <v>EMO-1130</v>
      </c>
      <c r="B142" s="31" t="s">
        <v>865</v>
      </c>
      <c r="C142" s="128">
        <v>47711649</v>
      </c>
      <c r="D142" s="32" t="s">
        <v>1221</v>
      </c>
      <c r="E142" s="32" t="s">
        <v>1349</v>
      </c>
      <c r="F142" s="97" t="s">
        <v>1320</v>
      </c>
      <c r="G142" s="32" t="s">
        <v>796</v>
      </c>
      <c r="H142" s="127" t="s">
        <v>32</v>
      </c>
      <c r="I142" s="134"/>
    </row>
    <row r="143" spans="1:9" x14ac:dyDescent="0.3">
      <c r="A143" s="30" t="str">
        <f t="shared" si="2"/>
        <v>EMO-1131</v>
      </c>
      <c r="B143" s="31" t="s">
        <v>866</v>
      </c>
      <c r="C143" s="128">
        <v>43100477</v>
      </c>
      <c r="D143" s="32" t="s">
        <v>1221</v>
      </c>
      <c r="E143" s="32" t="s">
        <v>1349</v>
      </c>
      <c r="F143" s="97" t="s">
        <v>1321</v>
      </c>
      <c r="G143" s="32" t="s">
        <v>796</v>
      </c>
      <c r="H143" s="127" t="s">
        <v>32</v>
      </c>
      <c r="I143" s="134"/>
    </row>
    <row r="144" spans="1:9" x14ac:dyDescent="0.3">
      <c r="A144" s="30" t="str">
        <f t="shared" si="2"/>
        <v>EMO-1132</v>
      </c>
      <c r="B144" s="31" t="s">
        <v>867</v>
      </c>
      <c r="C144" s="128">
        <v>10194994</v>
      </c>
      <c r="D144" s="32" t="s">
        <v>1223</v>
      </c>
      <c r="E144" s="32" t="s">
        <v>1349</v>
      </c>
      <c r="F144" s="97">
        <v>46335</v>
      </c>
      <c r="G144" s="32" t="s">
        <v>796</v>
      </c>
      <c r="H144" s="127" t="s">
        <v>32</v>
      </c>
      <c r="I144" s="134"/>
    </row>
    <row r="145" spans="1:9" x14ac:dyDescent="0.3">
      <c r="A145" s="30" t="str">
        <f t="shared" si="2"/>
        <v>EMO-1133</v>
      </c>
      <c r="B145" s="31" t="s">
        <v>869</v>
      </c>
      <c r="C145" s="128">
        <v>41283128</v>
      </c>
      <c r="D145" s="32" t="s">
        <v>1221</v>
      </c>
      <c r="E145" s="32" t="s">
        <v>1349</v>
      </c>
      <c r="F145" s="97" t="s">
        <v>1322</v>
      </c>
      <c r="G145" s="32" t="s">
        <v>796</v>
      </c>
      <c r="H145" s="127" t="s">
        <v>32</v>
      </c>
      <c r="I145" s="134"/>
    </row>
    <row r="146" spans="1:9" x14ac:dyDescent="0.3">
      <c r="A146" s="30" t="str">
        <f t="shared" si="2"/>
        <v>EMO-1134</v>
      </c>
      <c r="B146" s="31" t="s">
        <v>870</v>
      </c>
      <c r="C146" s="128">
        <v>46997054</v>
      </c>
      <c r="D146" s="32" t="s">
        <v>1221</v>
      </c>
      <c r="E146" s="32" t="s">
        <v>1349</v>
      </c>
      <c r="F146" s="97" t="s">
        <v>1323</v>
      </c>
      <c r="G146" s="32" t="s">
        <v>796</v>
      </c>
      <c r="H146" s="127" t="s">
        <v>32</v>
      </c>
      <c r="I146" s="134"/>
    </row>
    <row r="147" spans="1:9" x14ac:dyDescent="0.3">
      <c r="A147" s="30" t="str">
        <f t="shared" si="2"/>
        <v>EMO-1135</v>
      </c>
      <c r="B147" s="31" t="s">
        <v>872</v>
      </c>
      <c r="C147" s="128">
        <v>42955926</v>
      </c>
      <c r="D147" s="32" t="s">
        <v>1221</v>
      </c>
      <c r="E147" s="32" t="s">
        <v>1349</v>
      </c>
      <c r="F147" s="97" t="s">
        <v>1324</v>
      </c>
      <c r="G147" s="32" t="s">
        <v>796</v>
      </c>
      <c r="H147" s="127" t="s">
        <v>32</v>
      </c>
      <c r="I147" s="134"/>
    </row>
    <row r="148" spans="1:9" x14ac:dyDescent="0.3">
      <c r="A148" s="30" t="str">
        <f t="shared" si="2"/>
        <v>EMO-1136</v>
      </c>
      <c r="B148" s="31" t="s">
        <v>873</v>
      </c>
      <c r="C148" s="128">
        <v>74564966</v>
      </c>
      <c r="D148" s="32" t="s">
        <v>1221</v>
      </c>
      <c r="E148" s="32" t="s">
        <v>1349</v>
      </c>
      <c r="F148" s="97">
        <v>46065</v>
      </c>
      <c r="G148" s="32" t="s">
        <v>796</v>
      </c>
      <c r="H148" s="127" t="s">
        <v>32</v>
      </c>
      <c r="I148" s="134"/>
    </row>
    <row r="149" spans="1:9" x14ac:dyDescent="0.3">
      <c r="A149" s="30" t="str">
        <f t="shared" si="2"/>
        <v>EMO-1137</v>
      </c>
      <c r="B149" s="31" t="s">
        <v>876</v>
      </c>
      <c r="C149" s="128">
        <v>44066831</v>
      </c>
      <c r="D149" s="32" t="s">
        <v>1220</v>
      </c>
      <c r="E149" s="32" t="s">
        <v>1349</v>
      </c>
      <c r="F149" s="97" t="s">
        <v>1325</v>
      </c>
      <c r="G149" s="32" t="s">
        <v>796</v>
      </c>
      <c r="H149" s="127" t="s">
        <v>32</v>
      </c>
      <c r="I149" s="134"/>
    </row>
    <row r="150" spans="1:9" x14ac:dyDescent="0.3">
      <c r="A150" s="30" t="str">
        <f t="shared" si="2"/>
        <v>EMO-1138</v>
      </c>
      <c r="B150" s="31" t="s">
        <v>878</v>
      </c>
      <c r="C150" s="128">
        <v>46280945</v>
      </c>
      <c r="D150" s="32" t="s">
        <v>1220</v>
      </c>
      <c r="E150" s="32" t="s">
        <v>1349</v>
      </c>
      <c r="F150" s="97" t="s">
        <v>1264</v>
      </c>
      <c r="G150" s="32" t="s">
        <v>796</v>
      </c>
      <c r="H150" s="127" t="s">
        <v>32</v>
      </c>
      <c r="I150" s="134"/>
    </row>
    <row r="151" spans="1:9" x14ac:dyDescent="0.3">
      <c r="A151" s="30" t="str">
        <f t="shared" si="2"/>
        <v>EMO-1139</v>
      </c>
      <c r="B151" s="31" t="s">
        <v>880</v>
      </c>
      <c r="C151" s="128">
        <v>43665981</v>
      </c>
      <c r="D151" s="32" t="s">
        <v>1221</v>
      </c>
      <c r="E151" s="32" t="s">
        <v>1349</v>
      </c>
      <c r="F151" s="97" t="s">
        <v>1289</v>
      </c>
      <c r="G151" s="32" t="s">
        <v>796</v>
      </c>
      <c r="H151" s="127" t="s">
        <v>32</v>
      </c>
      <c r="I151" s="134"/>
    </row>
    <row r="152" spans="1:9" x14ac:dyDescent="0.3">
      <c r="A152" s="30" t="str">
        <f t="shared" si="2"/>
        <v>EMO-1140</v>
      </c>
      <c r="B152" s="31" t="s">
        <v>884</v>
      </c>
      <c r="C152" s="128">
        <v>47700561</v>
      </c>
      <c r="D152" s="32" t="s">
        <v>1221</v>
      </c>
      <c r="E152" s="32" t="s">
        <v>1349</v>
      </c>
      <c r="F152" s="97" t="s">
        <v>1307</v>
      </c>
      <c r="G152" s="32" t="s">
        <v>796</v>
      </c>
      <c r="H152" s="127" t="s">
        <v>32</v>
      </c>
      <c r="I152" s="134"/>
    </row>
    <row r="153" spans="1:9" x14ac:dyDescent="0.3">
      <c r="A153" s="30" t="str">
        <f t="shared" si="2"/>
        <v>EMO-1141</v>
      </c>
      <c r="B153" s="31" t="s">
        <v>887</v>
      </c>
      <c r="C153" s="128">
        <v>75171733</v>
      </c>
      <c r="D153" s="32" t="s">
        <v>1221</v>
      </c>
      <c r="E153" s="32" t="s">
        <v>1349</v>
      </c>
      <c r="F153" s="97" t="s">
        <v>1326</v>
      </c>
      <c r="G153" s="32" t="s">
        <v>796</v>
      </c>
      <c r="H153" s="127" t="s">
        <v>32</v>
      </c>
      <c r="I153" s="134"/>
    </row>
    <row r="154" spans="1:9" x14ac:dyDescent="0.3">
      <c r="A154" s="30" t="str">
        <f t="shared" si="2"/>
        <v>EMO-1142</v>
      </c>
      <c r="B154" s="31" t="s">
        <v>890</v>
      </c>
      <c r="C154" s="128">
        <v>70141341</v>
      </c>
      <c r="D154" s="32" t="s">
        <v>1219</v>
      </c>
      <c r="E154" s="32" t="s">
        <v>1349</v>
      </c>
      <c r="F154" s="97" t="s">
        <v>1327</v>
      </c>
      <c r="G154" s="32" t="s">
        <v>796</v>
      </c>
      <c r="H154" s="127" t="s">
        <v>32</v>
      </c>
      <c r="I154" s="134"/>
    </row>
    <row r="155" spans="1:9" x14ac:dyDescent="0.3">
      <c r="A155" s="30" t="str">
        <f t="shared" si="2"/>
        <v>EMO-1143</v>
      </c>
      <c r="B155" s="31" t="s">
        <v>891</v>
      </c>
      <c r="C155" s="128">
        <v>48459900</v>
      </c>
      <c r="D155" s="32" t="s">
        <v>1221</v>
      </c>
      <c r="E155" s="32" t="s">
        <v>1349</v>
      </c>
      <c r="F155" s="97" t="s">
        <v>1240</v>
      </c>
      <c r="G155" s="32" t="s">
        <v>796</v>
      </c>
      <c r="H155" s="127" t="s">
        <v>32</v>
      </c>
      <c r="I155" s="134"/>
    </row>
    <row r="156" spans="1:9" x14ac:dyDescent="0.3">
      <c r="A156" s="30" t="str">
        <f t="shared" si="2"/>
        <v>EMO-1144</v>
      </c>
      <c r="B156" s="31" t="s">
        <v>892</v>
      </c>
      <c r="C156" s="128">
        <v>42913143</v>
      </c>
      <c r="D156" s="32" t="s">
        <v>1219</v>
      </c>
      <c r="E156" s="32" t="s">
        <v>1349</v>
      </c>
      <c r="F156" s="97" t="s">
        <v>1328</v>
      </c>
      <c r="G156" s="32" t="s">
        <v>796</v>
      </c>
      <c r="H156" s="127" t="s">
        <v>32</v>
      </c>
      <c r="I156" s="134"/>
    </row>
    <row r="157" spans="1:9" x14ac:dyDescent="0.3">
      <c r="A157" s="30" t="str">
        <f t="shared" si="2"/>
        <v>EMO-1145</v>
      </c>
      <c r="B157" s="31" t="s">
        <v>893</v>
      </c>
      <c r="C157" s="128">
        <v>72885423</v>
      </c>
      <c r="D157" s="32" t="s">
        <v>1219</v>
      </c>
      <c r="E157" s="32" t="s">
        <v>1349</v>
      </c>
      <c r="F157" s="97" t="s">
        <v>1329</v>
      </c>
      <c r="G157" s="32" t="s">
        <v>796</v>
      </c>
      <c r="H157" s="127" t="s">
        <v>32</v>
      </c>
      <c r="I157" s="134"/>
    </row>
    <row r="158" spans="1:9" x14ac:dyDescent="0.3">
      <c r="A158" s="30" t="str">
        <f t="shared" si="2"/>
        <v>EMO-1146</v>
      </c>
      <c r="B158" s="31" t="s">
        <v>894</v>
      </c>
      <c r="C158" s="128">
        <v>43135546</v>
      </c>
      <c r="D158" s="32" t="s">
        <v>1221</v>
      </c>
      <c r="E158" s="32" t="s">
        <v>1349</v>
      </c>
      <c r="F158" s="97" t="s">
        <v>1278</v>
      </c>
      <c r="G158" s="32" t="s">
        <v>796</v>
      </c>
      <c r="H158" s="127" t="s">
        <v>32</v>
      </c>
      <c r="I158" s="134"/>
    </row>
    <row r="159" spans="1:9" x14ac:dyDescent="0.3">
      <c r="A159" s="30" t="str">
        <f t="shared" si="2"/>
        <v>EMO-1147</v>
      </c>
      <c r="B159" s="31" t="s">
        <v>895</v>
      </c>
      <c r="C159" s="128">
        <v>76407966</v>
      </c>
      <c r="D159" s="32" t="s">
        <v>1221</v>
      </c>
      <c r="E159" s="32" t="s">
        <v>1349</v>
      </c>
      <c r="F159" s="97" t="s">
        <v>1317</v>
      </c>
      <c r="G159" s="32" t="s">
        <v>796</v>
      </c>
      <c r="H159" s="127" t="s">
        <v>32</v>
      </c>
      <c r="I159" s="134"/>
    </row>
    <row r="160" spans="1:9" x14ac:dyDescent="0.3">
      <c r="A160" s="30" t="str">
        <f t="shared" si="2"/>
        <v>EMO-1148</v>
      </c>
      <c r="B160" s="31" t="s">
        <v>896</v>
      </c>
      <c r="C160" s="128">
        <v>44594552</v>
      </c>
      <c r="D160" s="32" t="s">
        <v>1221</v>
      </c>
      <c r="E160" s="32" t="s">
        <v>1349</v>
      </c>
      <c r="F160" s="97" t="s">
        <v>1320</v>
      </c>
      <c r="G160" s="32" t="s">
        <v>796</v>
      </c>
      <c r="H160" s="127" t="s">
        <v>32</v>
      </c>
      <c r="I160" s="134"/>
    </row>
    <row r="161" spans="1:9" x14ac:dyDescent="0.3">
      <c r="A161" s="30" t="str">
        <f t="shared" si="2"/>
        <v>EMO-1149</v>
      </c>
      <c r="B161" s="31" t="s">
        <v>900</v>
      </c>
      <c r="C161" s="128">
        <v>43692640</v>
      </c>
      <c r="D161" s="32" t="s">
        <v>1221</v>
      </c>
      <c r="E161" s="32" t="s">
        <v>1349</v>
      </c>
      <c r="F161" s="97" t="s">
        <v>1309</v>
      </c>
      <c r="G161" s="32" t="s">
        <v>796</v>
      </c>
      <c r="H161" s="127" t="s">
        <v>32</v>
      </c>
      <c r="I161" s="134"/>
    </row>
    <row r="162" spans="1:9" x14ac:dyDescent="0.3">
      <c r="A162" s="30" t="str">
        <f t="shared" si="2"/>
        <v>EMO-1150</v>
      </c>
      <c r="B162" s="31" t="s">
        <v>901</v>
      </c>
      <c r="C162" s="128">
        <v>44263866</v>
      </c>
      <c r="D162" s="32" t="s">
        <v>1223</v>
      </c>
      <c r="E162" s="32" t="s">
        <v>1349</v>
      </c>
      <c r="F162" s="97" t="s">
        <v>1259</v>
      </c>
      <c r="G162" s="32" t="s">
        <v>796</v>
      </c>
      <c r="H162" s="127" t="s">
        <v>32</v>
      </c>
      <c r="I162" s="134"/>
    </row>
    <row r="163" spans="1:9" x14ac:dyDescent="0.3">
      <c r="A163" s="30" t="str">
        <f t="shared" si="2"/>
        <v>EMO-1151</v>
      </c>
      <c r="B163" s="31" t="s">
        <v>902</v>
      </c>
      <c r="C163" s="128">
        <v>42963572</v>
      </c>
      <c r="D163" s="32" t="s">
        <v>1220</v>
      </c>
      <c r="E163" s="32" t="s">
        <v>1349</v>
      </c>
      <c r="F163" s="97" t="s">
        <v>1280</v>
      </c>
      <c r="G163" s="32" t="s">
        <v>796</v>
      </c>
      <c r="H163" s="127" t="s">
        <v>32</v>
      </c>
      <c r="I163" s="134"/>
    </row>
    <row r="164" spans="1:9" x14ac:dyDescent="0.3">
      <c r="A164" s="30" t="str">
        <f t="shared" si="2"/>
        <v>EMO-1152</v>
      </c>
      <c r="B164" s="31" t="s">
        <v>904</v>
      </c>
      <c r="C164" s="128">
        <v>75239036</v>
      </c>
      <c r="D164" s="32" t="s">
        <v>1221</v>
      </c>
      <c r="E164" s="32" t="s">
        <v>1349</v>
      </c>
      <c r="F164" s="97" t="s">
        <v>1242</v>
      </c>
      <c r="G164" s="32" t="s">
        <v>796</v>
      </c>
      <c r="H164" s="127" t="s">
        <v>32</v>
      </c>
      <c r="I164" s="134"/>
    </row>
    <row r="165" spans="1:9" x14ac:dyDescent="0.3">
      <c r="A165" s="30" t="str">
        <f t="shared" si="2"/>
        <v>EMO-1153</v>
      </c>
      <c r="B165" s="31" t="s">
        <v>905</v>
      </c>
      <c r="C165" s="128">
        <v>9940945</v>
      </c>
      <c r="D165" s="32" t="s">
        <v>1223</v>
      </c>
      <c r="E165" s="32" t="s">
        <v>1349</v>
      </c>
      <c r="F165" s="97">
        <v>46335</v>
      </c>
      <c r="G165" s="32" t="s">
        <v>796</v>
      </c>
      <c r="H165" s="127" t="s">
        <v>32</v>
      </c>
      <c r="I165" s="134"/>
    </row>
    <row r="166" spans="1:9" x14ac:dyDescent="0.3">
      <c r="A166" s="30" t="str">
        <f t="shared" si="2"/>
        <v>EMO-1154</v>
      </c>
      <c r="B166" s="31" t="s">
        <v>906</v>
      </c>
      <c r="C166" s="128">
        <v>76234835</v>
      </c>
      <c r="D166" s="32" t="s">
        <v>1221</v>
      </c>
      <c r="E166" s="32" t="s">
        <v>1349</v>
      </c>
      <c r="F166" s="97" t="s">
        <v>1295</v>
      </c>
      <c r="G166" s="32" t="s">
        <v>796</v>
      </c>
      <c r="H166" s="127" t="s">
        <v>32</v>
      </c>
      <c r="I166" s="134"/>
    </row>
    <row r="167" spans="1:9" x14ac:dyDescent="0.3">
      <c r="A167" s="30" t="str">
        <f t="shared" si="2"/>
        <v>EMO-1155</v>
      </c>
      <c r="B167" s="31" t="s">
        <v>907</v>
      </c>
      <c r="C167" s="128">
        <v>44457193</v>
      </c>
      <c r="D167" s="32" t="s">
        <v>1223</v>
      </c>
      <c r="E167" s="32" t="s">
        <v>1349</v>
      </c>
      <c r="F167" s="97" t="s">
        <v>1271</v>
      </c>
      <c r="G167" s="32" t="s">
        <v>796</v>
      </c>
      <c r="H167" s="127" t="s">
        <v>32</v>
      </c>
      <c r="I167" s="134"/>
    </row>
    <row r="168" spans="1:9" x14ac:dyDescent="0.3">
      <c r="A168" s="30" t="str">
        <f t="shared" si="2"/>
        <v>EMO-1156</v>
      </c>
      <c r="B168" s="31" t="s">
        <v>910</v>
      </c>
      <c r="C168" s="128">
        <v>70066031</v>
      </c>
      <c r="D168" s="32" t="s">
        <v>1219</v>
      </c>
      <c r="E168" s="32" t="s">
        <v>1349</v>
      </c>
      <c r="F168" s="97" t="s">
        <v>1289</v>
      </c>
      <c r="G168" s="32" t="s">
        <v>796</v>
      </c>
      <c r="H168" s="127" t="s">
        <v>32</v>
      </c>
      <c r="I168" s="134"/>
    </row>
    <row r="169" spans="1:9" x14ac:dyDescent="0.3">
      <c r="A169" s="30" t="str">
        <f t="shared" si="2"/>
        <v>EMO-1157</v>
      </c>
      <c r="B169" s="31" t="s">
        <v>911</v>
      </c>
      <c r="C169" s="128">
        <v>43279613</v>
      </c>
      <c r="D169" s="32" t="s">
        <v>1219</v>
      </c>
      <c r="E169" s="32" t="s">
        <v>1349</v>
      </c>
      <c r="F169" s="97" t="s">
        <v>1330</v>
      </c>
      <c r="G169" s="32" t="s">
        <v>796</v>
      </c>
      <c r="H169" s="127" t="s">
        <v>32</v>
      </c>
      <c r="I169" s="134"/>
    </row>
    <row r="170" spans="1:9" x14ac:dyDescent="0.3">
      <c r="A170" s="30" t="str">
        <f t="shared" si="2"/>
        <v>EMO-1158</v>
      </c>
      <c r="B170" s="31" t="s">
        <v>912</v>
      </c>
      <c r="C170" s="128">
        <v>73791391</v>
      </c>
      <c r="D170" s="32" t="s">
        <v>1221</v>
      </c>
      <c r="E170" s="32" t="s">
        <v>1349</v>
      </c>
      <c r="F170" s="97" t="s">
        <v>1242</v>
      </c>
      <c r="G170" s="32" t="s">
        <v>796</v>
      </c>
      <c r="H170" s="127" t="s">
        <v>32</v>
      </c>
      <c r="I170" s="134"/>
    </row>
    <row r="171" spans="1:9" x14ac:dyDescent="0.3">
      <c r="A171" s="30" t="str">
        <f t="shared" si="2"/>
        <v>EMO-1159</v>
      </c>
      <c r="B171" s="31" t="s">
        <v>915</v>
      </c>
      <c r="C171" s="128">
        <v>71258738</v>
      </c>
      <c r="D171" s="32" t="s">
        <v>1221</v>
      </c>
      <c r="E171" s="32" t="s">
        <v>1349</v>
      </c>
      <c r="F171" s="97" t="s">
        <v>1331</v>
      </c>
      <c r="G171" s="32" t="s">
        <v>796</v>
      </c>
      <c r="H171" s="127" t="s">
        <v>32</v>
      </c>
      <c r="I171" s="134"/>
    </row>
    <row r="172" spans="1:9" x14ac:dyDescent="0.3">
      <c r="A172" s="30" t="str">
        <f t="shared" si="2"/>
        <v>EMO-1160</v>
      </c>
      <c r="B172" s="31" t="s">
        <v>917</v>
      </c>
      <c r="C172" s="128">
        <v>23933929</v>
      </c>
      <c r="D172" s="32" t="s">
        <v>1223</v>
      </c>
      <c r="E172" s="32" t="s">
        <v>1349</v>
      </c>
      <c r="F172" s="97" t="s">
        <v>1238</v>
      </c>
      <c r="G172" s="32" t="s">
        <v>796</v>
      </c>
      <c r="H172" s="127" t="s">
        <v>32</v>
      </c>
      <c r="I172" s="134"/>
    </row>
    <row r="173" spans="1:9" x14ac:dyDescent="0.3">
      <c r="A173" s="30" t="str">
        <f t="shared" si="2"/>
        <v>EMO-1161</v>
      </c>
      <c r="B173" s="31" t="s">
        <v>920</v>
      </c>
      <c r="C173" s="128">
        <v>41199706</v>
      </c>
      <c r="D173" s="32" t="s">
        <v>1219</v>
      </c>
      <c r="E173" s="32" t="s">
        <v>1349</v>
      </c>
      <c r="F173" s="97">
        <v>46337</v>
      </c>
      <c r="G173" s="32" t="s">
        <v>796</v>
      </c>
      <c r="H173" s="127" t="s">
        <v>32</v>
      </c>
      <c r="I173" s="134"/>
    </row>
    <row r="174" spans="1:9" x14ac:dyDescent="0.3">
      <c r="A174" s="30" t="str">
        <f t="shared" si="2"/>
        <v>EMO-1162</v>
      </c>
      <c r="B174" s="31" t="s">
        <v>413</v>
      </c>
      <c r="C174" s="128">
        <v>76548331</v>
      </c>
      <c r="D174" s="32" t="s">
        <v>747</v>
      </c>
      <c r="E174" s="32" t="s">
        <v>1349</v>
      </c>
      <c r="F174" s="97">
        <v>46044</v>
      </c>
      <c r="G174" s="32" t="s">
        <v>796</v>
      </c>
      <c r="H174" s="127" t="s">
        <v>1351</v>
      </c>
      <c r="I174" s="134">
        <v>46077</v>
      </c>
    </row>
    <row r="175" spans="1:9" x14ac:dyDescent="0.3">
      <c r="A175" s="30" t="str">
        <f t="shared" si="2"/>
        <v>EMO-1163</v>
      </c>
      <c r="B175" s="31" t="s">
        <v>496</v>
      </c>
      <c r="C175" s="128">
        <v>72589997</v>
      </c>
      <c r="D175" s="32" t="s">
        <v>751</v>
      </c>
      <c r="E175" s="32" t="s">
        <v>1349</v>
      </c>
      <c r="F175" s="97">
        <v>45000</v>
      </c>
      <c r="G175" s="32" t="s">
        <v>807</v>
      </c>
      <c r="H175" s="127" t="s">
        <v>1351</v>
      </c>
      <c r="I175" s="134">
        <v>45015</v>
      </c>
    </row>
  </sheetData>
  <dataConsolidate/>
  <mergeCells count="12">
    <mergeCell ref="A10:I11"/>
    <mergeCell ref="G8:I9"/>
    <mergeCell ref="G6:I7"/>
    <mergeCell ref="A4:I5"/>
    <mergeCell ref="C1:I3"/>
    <mergeCell ref="E6:F7"/>
    <mergeCell ref="A8:C9"/>
    <mergeCell ref="D6:D7"/>
    <mergeCell ref="A1:B3"/>
    <mergeCell ref="A6:C7"/>
    <mergeCell ref="D8:D9"/>
    <mergeCell ref="E8:F9"/>
  </mergeCells>
  <dataValidations count="1">
    <dataValidation type="list" allowBlank="1" showInputMessage="1" showErrorMessage="1" sqref="E13:E1048576" xr:uid="{AFF329ED-C5B0-438F-8D59-64FEEAD48DC4}">
      <formula1>"Pre-Ocupacional,Ocupacional,Periódicos,Cambio Puesto de Trabajo, Reincorporación,Retiro"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92D050"/>
  </sheetPr>
  <dimension ref="A1:K2"/>
  <sheetViews>
    <sheetView workbookViewId="0">
      <selection activeCell="I9" sqref="I9"/>
    </sheetView>
  </sheetViews>
  <sheetFormatPr baseColWidth="10" defaultColWidth="11.44140625" defaultRowHeight="14.4" x14ac:dyDescent="0.3"/>
  <cols>
    <col min="1" max="1" width="12.5546875" style="21" customWidth="1"/>
    <col min="2" max="2" width="25.6640625" style="21" customWidth="1"/>
    <col min="3" max="6" width="15.6640625" style="21" customWidth="1"/>
    <col min="7" max="8" width="17.6640625" style="21" customWidth="1"/>
    <col min="9" max="9" width="22.6640625" style="40" customWidth="1"/>
    <col min="10" max="10" width="22.6640625" customWidth="1"/>
  </cols>
  <sheetData>
    <row r="1" spans="1:11" ht="28.95" customHeight="1" x14ac:dyDescent="0.3">
      <c r="A1" s="16" t="s">
        <v>189</v>
      </c>
      <c r="B1" s="16" t="s">
        <v>33</v>
      </c>
      <c r="C1" s="16" t="s">
        <v>2</v>
      </c>
      <c r="D1" s="16" t="s">
        <v>1</v>
      </c>
      <c r="E1" s="16" t="s">
        <v>190</v>
      </c>
      <c r="F1" s="16" t="s">
        <v>191</v>
      </c>
      <c r="G1" s="16" t="s">
        <v>26</v>
      </c>
      <c r="H1" s="16" t="s">
        <v>192</v>
      </c>
      <c r="I1" s="16" t="s">
        <v>193</v>
      </c>
      <c r="J1" s="16" t="s">
        <v>194</v>
      </c>
      <c r="K1" s="19" t="s">
        <v>195</v>
      </c>
    </row>
    <row r="2" spans="1:11" x14ac:dyDescent="0.3">
      <c r="A2" s="37" t="str">
        <f>IF(C2&lt;&gt;"", "DM-" &amp; TEXT(9000 + ROW(A2) - 1, "0000"), "")</f>
        <v/>
      </c>
      <c r="B2" s="37"/>
      <c r="C2" s="37"/>
      <c r="D2" s="48"/>
      <c r="E2" s="38"/>
      <c r="F2" s="38"/>
      <c r="G2" s="37"/>
      <c r="H2" s="39"/>
      <c r="I2" s="39" t="str">
        <f>IF(B2="", "",H2+F2)</f>
        <v/>
      </c>
      <c r="J2" s="37"/>
      <c r="K2" s="49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9">
    <tabColor rgb="FF92D050"/>
  </sheetPr>
  <dimension ref="A1:E2"/>
  <sheetViews>
    <sheetView workbookViewId="0">
      <pane ySplit="1" topLeftCell="A2" activePane="bottomLeft" state="frozen"/>
      <selection activeCell="G20" sqref="G20"/>
      <selection pane="bottomLeft" activeCell="E2" sqref="E2"/>
    </sheetView>
  </sheetViews>
  <sheetFormatPr baseColWidth="10" defaultColWidth="8.88671875" defaultRowHeight="14.4" x14ac:dyDescent="0.3"/>
  <cols>
    <col min="1" max="1" width="11" style="1" customWidth="1"/>
    <col min="2" max="2" width="10" style="1" customWidth="1"/>
    <col min="3" max="3" width="27" style="5" customWidth="1"/>
    <col min="4" max="4" width="15" style="1" customWidth="1"/>
    <col min="5" max="5" width="60" style="6" customWidth="1"/>
  </cols>
  <sheetData>
    <row r="1" spans="1:5" x14ac:dyDescent="0.3">
      <c r="A1" s="8" t="s">
        <v>196</v>
      </c>
      <c r="B1" s="9" t="s">
        <v>1</v>
      </c>
      <c r="C1" s="8" t="s">
        <v>197</v>
      </c>
      <c r="D1" s="9" t="s">
        <v>198</v>
      </c>
      <c r="E1" s="10" t="s">
        <v>199</v>
      </c>
    </row>
    <row r="2" spans="1:5" x14ac:dyDescent="0.3">
      <c r="A2" s="1" t="str">
        <f>IF(B2&lt;&gt;"", "ANU-" &amp; TEXT(11000 + ROW(A2) - 1, "0000"), "")</f>
        <v/>
      </c>
      <c r="D2" s="4"/>
    </row>
  </sheetData>
  <phoneticPr fontId="8" type="noConversion"/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I449"/>
  <sheetViews>
    <sheetView workbookViewId="0">
      <selection activeCell="D14" sqref="D14"/>
    </sheetView>
  </sheetViews>
  <sheetFormatPr baseColWidth="10" defaultColWidth="11.44140625" defaultRowHeight="14.4" x14ac:dyDescent="0.3"/>
  <cols>
    <col min="2" max="2" width="65.33203125" customWidth="1"/>
    <col min="3" max="3" width="21.33203125" customWidth="1"/>
    <col min="4" max="4" width="73" customWidth="1"/>
    <col min="7" max="7" width="17.88671875" customWidth="1"/>
    <col min="8" max="8" width="23.33203125" customWidth="1"/>
    <col min="9" max="9" width="34.33203125" customWidth="1"/>
  </cols>
  <sheetData>
    <row r="1" spans="1:9" x14ac:dyDescent="0.3">
      <c r="A1" t="str" cm="1">
        <f t="array" ref="A1">_xlfn.UNIQUE(tbl_Accidentes[AccidenteID])</f>
        <v/>
      </c>
      <c r="B1" t="str" cm="1">
        <f t="array" ref="B1:B449">_xlfn.UNIQUE(tbl_Trabajadores[Nombre])</f>
        <v>ACUÑA EGOAVIL ROBERTO CARLOS</v>
      </c>
      <c r="C1" s="1" t="s">
        <v>55</v>
      </c>
      <c r="D1" t="s">
        <v>200</v>
      </c>
      <c r="E1" cm="1">
        <f t="array" ref="E1">_xlfn.UNIQUE(Tabla_Seguimiento_Vigilancia[Nombre])</f>
        <v>0</v>
      </c>
      <c r="F1" t="s">
        <v>201</v>
      </c>
      <c r="G1" t="s">
        <v>73</v>
      </c>
      <c r="H1" t="str" cm="1">
        <f t="array" ref="H1:H10">_xlfn.UNIQUE(G1:G46)</f>
        <v>Cabeza</v>
      </c>
      <c r="I1" t="str" cm="1">
        <f t="array" ref="I1:I9">_xlfn.UNIQUE(tbl_Trabajadores[Área])</f>
        <v>ALMACEN</v>
      </c>
    </row>
    <row r="2" spans="1:9" x14ac:dyDescent="0.3">
      <c r="B2" t="str">
        <v>AGUILAR HURTADO RONALD ALONSO</v>
      </c>
      <c r="C2" s="1" t="s">
        <v>66</v>
      </c>
      <c r="D2" t="s">
        <v>253</v>
      </c>
      <c r="F2" t="s">
        <v>202</v>
      </c>
      <c r="G2" t="s">
        <v>73</v>
      </c>
      <c r="H2" t="str">
        <v>Torso Alto</v>
      </c>
      <c r="I2" t="str">
        <v>LOGISTICA DE SALIDA</v>
      </c>
    </row>
    <row r="3" spans="1:9" x14ac:dyDescent="0.3">
      <c r="B3" t="str">
        <v>ALARCON PEREZ TONNY</v>
      </c>
      <c r="C3" s="1" t="s">
        <v>67</v>
      </c>
      <c r="D3" t="s">
        <v>254</v>
      </c>
      <c r="F3" t="s">
        <v>203</v>
      </c>
      <c r="G3" t="s">
        <v>73</v>
      </c>
      <c r="H3" t="str">
        <v>Torso Bajo</v>
      </c>
      <c r="I3" t="str">
        <v>SEGURIDAD</v>
      </c>
    </row>
    <row r="4" spans="1:9" x14ac:dyDescent="0.3">
      <c r="B4" t="str">
        <v>ALBERCA CERDAN JESUS ROSALINO</v>
      </c>
      <c r="C4" s="1" t="s">
        <v>74</v>
      </c>
      <c r="F4" t="s">
        <v>204</v>
      </c>
      <c r="G4" t="s">
        <v>73</v>
      </c>
      <c r="H4" t="str">
        <v>Brazos</v>
      </c>
      <c r="I4" t="str">
        <v>ADMINISTRACION</v>
      </c>
    </row>
    <row r="5" spans="1:9" x14ac:dyDescent="0.3">
      <c r="B5" t="str">
        <v>ALCALDE OBREGON DIEGO ARMANDO</v>
      </c>
      <c r="C5" s="1" t="s">
        <v>76</v>
      </c>
      <c r="F5" t="s">
        <v>205</v>
      </c>
      <c r="G5" t="s">
        <v>73</v>
      </c>
      <c r="H5" t="str">
        <v>Codos</v>
      </c>
      <c r="I5" t="str">
        <v>DISTRIBUCION</v>
      </c>
    </row>
    <row r="6" spans="1:9" x14ac:dyDescent="0.3">
      <c r="B6" t="str">
        <v>ALZAMORA AGUILAR ALVARO JESUS</v>
      </c>
      <c r="C6" s="1" t="s">
        <v>85</v>
      </c>
      <c r="F6" t="s">
        <v>206</v>
      </c>
      <c r="G6" t="s">
        <v>73</v>
      </c>
      <c r="H6" t="str">
        <v>Manos</v>
      </c>
      <c r="I6" t="str">
        <v>MANTENIMIENTO</v>
      </c>
    </row>
    <row r="7" spans="1:9" x14ac:dyDescent="0.3">
      <c r="B7" t="str">
        <v>AMAYA VASQUEZ ANGEL GABRIEL</v>
      </c>
      <c r="C7" s="1" t="s">
        <v>88</v>
      </c>
      <c r="F7" t="s">
        <v>207</v>
      </c>
      <c r="G7" t="s">
        <v>73</v>
      </c>
      <c r="H7" t="str">
        <v>Muslos</v>
      </c>
      <c r="I7" t="str">
        <v>RECURSOS HUMANOS</v>
      </c>
    </row>
    <row r="8" spans="1:9" x14ac:dyDescent="0.3">
      <c r="B8" t="str">
        <v>ANCO ROSALES CIHAN ROLY</v>
      </c>
      <c r="C8" s="1" t="s">
        <v>95</v>
      </c>
      <c r="F8" t="s">
        <v>208</v>
      </c>
      <c r="G8" t="s">
        <v>75</v>
      </c>
      <c r="H8" t="str">
        <v>Rodillas</v>
      </c>
      <c r="I8" t="str">
        <v>COMPRAS</v>
      </c>
    </row>
    <row r="9" spans="1:9" x14ac:dyDescent="0.3">
      <c r="B9" t="str">
        <v>APONTE CASTAÑEDA DAVIS ELVIS</v>
      </c>
      <c r="C9" s="1" t="s">
        <v>97</v>
      </c>
      <c r="F9" t="s">
        <v>209</v>
      </c>
      <c r="G9" t="s">
        <v>75</v>
      </c>
      <c r="H9" t="str">
        <v>Pantorrilla</v>
      </c>
      <c r="I9" t="str">
        <v>VENTAS</v>
      </c>
    </row>
    <row r="10" spans="1:9" x14ac:dyDescent="0.3">
      <c r="B10" t="str">
        <v>AQUINO FABIAN JEFERSON</v>
      </c>
      <c r="C10" s="1" t="s">
        <v>99</v>
      </c>
      <c r="F10" t="s">
        <v>210</v>
      </c>
      <c r="G10" t="s">
        <v>75</v>
      </c>
      <c r="H10" t="str">
        <v>Pies</v>
      </c>
    </row>
    <row r="11" spans="1:9" x14ac:dyDescent="0.3">
      <c r="B11" t="str">
        <v>ARANDA GAVIDIA JHON CALEB</v>
      </c>
      <c r="C11" s="1" t="s">
        <v>102</v>
      </c>
      <c r="F11" t="s">
        <v>211</v>
      </c>
      <c r="G11" t="s">
        <v>75</v>
      </c>
    </row>
    <row r="12" spans="1:9" x14ac:dyDescent="0.3">
      <c r="B12" t="str">
        <v>ARCE ROMAN PATRICIO ERNESTO</v>
      </c>
      <c r="C12" s="1" t="s">
        <v>104</v>
      </c>
      <c r="F12" t="s">
        <v>212</v>
      </c>
      <c r="G12" t="s">
        <v>75</v>
      </c>
    </row>
    <row r="13" spans="1:9" x14ac:dyDescent="0.3">
      <c r="B13" t="str">
        <v>ARCHI DE LA CRUZ MICHELL MAXIMO</v>
      </c>
      <c r="C13" s="1" t="s">
        <v>106</v>
      </c>
      <c r="F13" t="s">
        <v>213</v>
      </c>
      <c r="G13" t="s">
        <v>84</v>
      </c>
    </row>
    <row r="14" spans="1:9" x14ac:dyDescent="0.3">
      <c r="B14" t="str">
        <v>AREVALO CONTRERAS MIGUEL DOUGLAS SMITH</v>
      </c>
      <c r="C14" s="1"/>
      <c r="F14" t="s">
        <v>214</v>
      </c>
      <c r="G14" t="s">
        <v>84</v>
      </c>
    </row>
    <row r="15" spans="1:9" x14ac:dyDescent="0.3">
      <c r="B15" t="str">
        <v>ARIZAPANA ORELLANA DIEGO ALONSO</v>
      </c>
      <c r="C15" s="1" t="s">
        <v>252</v>
      </c>
      <c r="F15" t="s">
        <v>215</v>
      </c>
      <c r="G15" t="s">
        <v>84</v>
      </c>
    </row>
    <row r="16" spans="1:9" hidden="1" x14ac:dyDescent="0.3">
      <c r="B16" t="str">
        <v>AROQUIPA SULCA JHOSET JESUS</v>
      </c>
      <c r="C16" s="1">
        <v>2025</v>
      </c>
      <c r="F16" t="s">
        <v>216</v>
      </c>
      <c r="G16" t="s">
        <v>84</v>
      </c>
    </row>
    <row r="17" spans="2:7" x14ac:dyDescent="0.3">
      <c r="B17" t="str">
        <v>ASENCIO VEGA JUNIOR JEANJAYRO</v>
      </c>
      <c r="C17" s="1">
        <v>2026</v>
      </c>
      <c r="F17" t="s">
        <v>217</v>
      </c>
      <c r="G17" t="s">
        <v>84</v>
      </c>
    </row>
    <row r="18" spans="2:7" x14ac:dyDescent="0.3">
      <c r="B18" t="str">
        <v>ATAUCUSI ZUÑIGA LUIS ALBERTO</v>
      </c>
      <c r="C18" s="1"/>
      <c r="F18" t="s">
        <v>218</v>
      </c>
      <c r="G18" t="s">
        <v>87</v>
      </c>
    </row>
    <row r="19" spans="2:7" x14ac:dyDescent="0.3">
      <c r="B19" t="str">
        <v>ATAVILLOS RAMIREZ DAVID CLISMAN</v>
      </c>
      <c r="C19" s="1"/>
      <c r="F19" t="s">
        <v>219</v>
      </c>
      <c r="G19" t="s">
        <v>87</v>
      </c>
    </row>
    <row r="20" spans="2:7" x14ac:dyDescent="0.3">
      <c r="B20" t="str">
        <v>ATAVILLOS RAMIREZ LUIS MARIO</v>
      </c>
      <c r="F20" t="s">
        <v>220</v>
      </c>
      <c r="G20" t="s">
        <v>87</v>
      </c>
    </row>
    <row r="21" spans="2:7" x14ac:dyDescent="0.3">
      <c r="B21" t="str">
        <v>AYQUIPA CURIÑAUPA LEONARDO</v>
      </c>
      <c r="F21" t="s">
        <v>221</v>
      </c>
      <c r="G21" t="s">
        <v>87</v>
      </c>
    </row>
    <row r="22" spans="2:7" x14ac:dyDescent="0.3">
      <c r="B22" t="str">
        <v>AYQUIPA RAMOS JESUS ROBERTO</v>
      </c>
      <c r="F22" t="s">
        <v>222</v>
      </c>
      <c r="G22" t="s">
        <v>94</v>
      </c>
    </row>
    <row r="23" spans="2:7" x14ac:dyDescent="0.3">
      <c r="B23" t="str">
        <v>BALCAZAR SANCHEZ CARLOS DANIEL</v>
      </c>
      <c r="F23" t="s">
        <v>223</v>
      </c>
      <c r="G23" t="s">
        <v>94</v>
      </c>
    </row>
    <row r="24" spans="2:7" x14ac:dyDescent="0.3">
      <c r="B24" t="str">
        <v>BARRIENTOS MARCA CELSO</v>
      </c>
      <c r="F24" t="s">
        <v>224</v>
      </c>
      <c r="G24" t="s">
        <v>96</v>
      </c>
    </row>
    <row r="25" spans="2:7" x14ac:dyDescent="0.3">
      <c r="B25" t="str">
        <v>BARRIOS GASPAR SAUL FELIX</v>
      </c>
      <c r="F25" t="s">
        <v>225</v>
      </c>
      <c r="G25" t="s">
        <v>96</v>
      </c>
    </row>
    <row r="26" spans="2:7" x14ac:dyDescent="0.3">
      <c r="B26" t="str">
        <v>BAUTISTA BARRIENTOS MIGUEL ANGEL</v>
      </c>
      <c r="F26" t="s">
        <v>226</v>
      </c>
      <c r="G26" t="s">
        <v>96</v>
      </c>
    </row>
    <row r="27" spans="2:7" x14ac:dyDescent="0.3">
      <c r="B27" t="str">
        <v>BENITO ACEVEDO BRUSH WILLIAM</v>
      </c>
      <c r="F27" t="s">
        <v>227</v>
      </c>
      <c r="G27" t="s">
        <v>96</v>
      </c>
    </row>
    <row r="28" spans="2:7" x14ac:dyDescent="0.3">
      <c r="B28" t="str">
        <v>BENITO QUISPE JORDAN JIMMY</v>
      </c>
      <c r="F28" t="s">
        <v>228</v>
      </c>
      <c r="G28" t="s">
        <v>96</v>
      </c>
    </row>
    <row r="29" spans="2:7" x14ac:dyDescent="0.3">
      <c r="B29" t="str">
        <v>BOJORQUEZ RODRIGUEZ WILLIAMS RONALDO</v>
      </c>
      <c r="F29" t="s">
        <v>229</v>
      </c>
      <c r="G29" t="s">
        <v>98</v>
      </c>
    </row>
    <row r="30" spans="2:7" x14ac:dyDescent="0.3">
      <c r="B30" t="str">
        <v>BONIFACIO PEREZ KENYI</v>
      </c>
      <c r="F30" t="s">
        <v>230</v>
      </c>
      <c r="G30" t="s">
        <v>98</v>
      </c>
    </row>
    <row r="31" spans="2:7" x14ac:dyDescent="0.3">
      <c r="B31" t="str">
        <v>BUGARIN MOSQUERA WILMER PAULINO</v>
      </c>
      <c r="F31" t="s">
        <v>231</v>
      </c>
      <c r="G31" t="s">
        <v>98</v>
      </c>
    </row>
    <row r="32" spans="2:7" x14ac:dyDescent="0.3">
      <c r="B32" t="str">
        <v>CAHUANA VALENTIN JOSE JUNIOR</v>
      </c>
      <c r="F32" t="s">
        <v>232</v>
      </c>
      <c r="G32" t="s">
        <v>98</v>
      </c>
    </row>
    <row r="33" spans="2:7" x14ac:dyDescent="0.3">
      <c r="B33" t="str">
        <v>CALDERON BUSTAMANTE ALEXIS HIYAN</v>
      </c>
      <c r="F33" t="s">
        <v>233</v>
      </c>
      <c r="G33" t="s">
        <v>98</v>
      </c>
    </row>
    <row r="34" spans="2:7" x14ac:dyDescent="0.3">
      <c r="B34" t="str">
        <v>CAMARENA HIDALGO MARCO ANTONIO</v>
      </c>
      <c r="F34" t="s">
        <v>234</v>
      </c>
      <c r="G34" t="s">
        <v>101</v>
      </c>
    </row>
    <row r="35" spans="2:7" x14ac:dyDescent="0.3">
      <c r="B35" t="str">
        <v>CAMAVILCA ATAHUAMAN JULINHO MAGNO</v>
      </c>
      <c r="F35" t="s">
        <v>235</v>
      </c>
      <c r="G35" t="s">
        <v>101</v>
      </c>
    </row>
    <row r="36" spans="2:7" x14ac:dyDescent="0.3">
      <c r="B36" t="str">
        <v>CAMPOS ARZAPALO JORGE LUIS MAYCO</v>
      </c>
      <c r="F36" t="s">
        <v>236</v>
      </c>
      <c r="G36" t="s">
        <v>101</v>
      </c>
    </row>
    <row r="37" spans="2:7" x14ac:dyDescent="0.3">
      <c r="B37" t="str">
        <v>CAÑARI PEREZ JHOJAN BERNARDO</v>
      </c>
      <c r="F37" t="s">
        <v>237</v>
      </c>
      <c r="G37" t="s">
        <v>101</v>
      </c>
    </row>
    <row r="38" spans="2:7" x14ac:dyDescent="0.3">
      <c r="B38" t="str">
        <v>CAÑARI PEREZ JHON JAIRO</v>
      </c>
      <c r="F38" t="s">
        <v>238</v>
      </c>
      <c r="G38" t="s">
        <v>103</v>
      </c>
    </row>
    <row r="39" spans="2:7" x14ac:dyDescent="0.3">
      <c r="B39" t="str">
        <v>CAPCHA PRUDENCIO VLADIMIR EDER</v>
      </c>
      <c r="F39" t="s">
        <v>239</v>
      </c>
      <c r="G39" t="s">
        <v>103</v>
      </c>
    </row>
    <row r="40" spans="2:7" x14ac:dyDescent="0.3">
      <c r="B40" t="str">
        <v>CARHUAMACA DIAZ BREITHSLANDER ERICK JAMES</v>
      </c>
      <c r="F40" t="s">
        <v>240</v>
      </c>
      <c r="G40" t="s">
        <v>103</v>
      </c>
    </row>
    <row r="41" spans="2:7" x14ac:dyDescent="0.3">
      <c r="B41" t="str">
        <v>CASIMIRO ROJAS SOCIMO MARCELO</v>
      </c>
      <c r="F41" t="s">
        <v>241</v>
      </c>
      <c r="G41" t="s">
        <v>103</v>
      </c>
    </row>
    <row r="42" spans="2:7" x14ac:dyDescent="0.3">
      <c r="B42" t="str">
        <v>CASTAÑEDA COZ ANDRES</v>
      </c>
      <c r="F42" t="s">
        <v>242</v>
      </c>
      <c r="G42" t="s">
        <v>105</v>
      </c>
    </row>
    <row r="43" spans="2:7" x14ac:dyDescent="0.3">
      <c r="B43" t="str">
        <v>CASTILLO RODRIGUEZ JOSUE JUAN PABLO</v>
      </c>
      <c r="F43" t="s">
        <v>243</v>
      </c>
      <c r="G43" t="s">
        <v>105</v>
      </c>
    </row>
    <row r="44" spans="2:7" x14ac:dyDescent="0.3">
      <c r="B44" t="str">
        <v>CASTRO CABRERA JOHAN LEEBNITS</v>
      </c>
      <c r="F44" t="s">
        <v>244</v>
      </c>
      <c r="G44" t="s">
        <v>105</v>
      </c>
    </row>
    <row r="45" spans="2:7" x14ac:dyDescent="0.3">
      <c r="B45" t="str">
        <v>CELESTINO PARIONA JULIO CESAR</v>
      </c>
      <c r="F45" t="s">
        <v>245</v>
      </c>
      <c r="G45" t="s">
        <v>105</v>
      </c>
    </row>
    <row r="46" spans="2:7" x14ac:dyDescent="0.3">
      <c r="B46" t="str">
        <v>CELIS NATIVIDAD JOSE FERNANDO</v>
      </c>
      <c r="F46" t="s">
        <v>246</v>
      </c>
      <c r="G46" t="s">
        <v>105</v>
      </c>
    </row>
    <row r="47" spans="2:7" x14ac:dyDescent="0.3">
      <c r="B47" t="str">
        <v>CEOPA SABOYA LUIS FELIPE</v>
      </c>
    </row>
    <row r="48" spans="2:7" x14ac:dyDescent="0.3">
      <c r="B48" t="str">
        <v>CESPEDES QUISPE EDWIN</v>
      </c>
    </row>
    <row r="49" spans="2:2" x14ac:dyDescent="0.3">
      <c r="B49" t="str">
        <v>CHANCASANAMPA BARRETO DIEGO ARMANDO</v>
      </c>
    </row>
    <row r="50" spans="2:2" x14ac:dyDescent="0.3">
      <c r="B50" t="str">
        <v>CHAMORRO YAÑAC DANIEL HECTOR</v>
      </c>
    </row>
    <row r="51" spans="2:2" x14ac:dyDescent="0.3">
      <c r="B51" t="str">
        <v>CHAVEZ CASTILLO MANUEL MARCELO</v>
      </c>
    </row>
    <row r="52" spans="2:2" x14ac:dyDescent="0.3">
      <c r="B52" t="str">
        <v>CHAVEZ PELAEZ ALEXANDER</v>
      </c>
    </row>
    <row r="53" spans="2:2" x14ac:dyDescent="0.3">
      <c r="B53" t="str">
        <v>CHAVEZ SILVA JHOSTIN STEFANO</v>
      </c>
    </row>
    <row r="54" spans="2:2" x14ac:dyDescent="0.3">
      <c r="B54" t="str">
        <v>CHUCHON CHANCO ANTHONY PIERRE</v>
      </c>
    </row>
    <row r="55" spans="2:2" x14ac:dyDescent="0.3">
      <c r="B55" t="str">
        <v>CIPRIANO JANAMPA KEVIN RONALDO</v>
      </c>
    </row>
    <row r="56" spans="2:2" x14ac:dyDescent="0.3">
      <c r="B56" t="str">
        <v>CISNEROS QUISPE JORGE ESTEFFANO</v>
      </c>
    </row>
    <row r="57" spans="2:2" x14ac:dyDescent="0.3">
      <c r="B57" t="str">
        <v>COLLAHUASI MENESES CARLOS ALBERTO</v>
      </c>
    </row>
    <row r="58" spans="2:2" x14ac:dyDescent="0.3">
      <c r="B58" t="str">
        <v>CONDOR GOMERO MAURICIO MANUEL</v>
      </c>
    </row>
    <row r="59" spans="2:2" x14ac:dyDescent="0.3">
      <c r="B59" t="str">
        <v>CONTRERAS SIMON JHOJAN POOL</v>
      </c>
    </row>
    <row r="60" spans="2:2" x14ac:dyDescent="0.3">
      <c r="B60" t="str">
        <v>CORDOVA TARDILLO JEFFERSON AUGUSTO</v>
      </c>
    </row>
    <row r="61" spans="2:2" x14ac:dyDescent="0.3">
      <c r="B61" t="str">
        <v>CORONEL MUÑOZ JORGE ALESSANDRO</v>
      </c>
    </row>
    <row r="62" spans="2:2" x14ac:dyDescent="0.3">
      <c r="B62" t="str">
        <v>CORTEZ CHUCHON CRISTHIAN ISAIAS</v>
      </c>
    </row>
    <row r="63" spans="2:2" x14ac:dyDescent="0.3">
      <c r="B63" t="str">
        <v>CORTEZ CHUCHON LUIS ENRIQUE</v>
      </c>
    </row>
    <row r="64" spans="2:2" x14ac:dyDescent="0.3">
      <c r="B64" t="str">
        <v>CRIOLLO ROJAS ALEXIS IMANOL</v>
      </c>
    </row>
    <row r="65" spans="2:2" x14ac:dyDescent="0.3">
      <c r="B65" t="str">
        <v>CUSTODIO RAMIREZ ANDRES MANUEL</v>
      </c>
    </row>
    <row r="66" spans="2:2" x14ac:dyDescent="0.3">
      <c r="B66" t="str">
        <v>DAMIANO GUTIERREZ DIEGO ARMANDO</v>
      </c>
    </row>
    <row r="67" spans="2:2" x14ac:dyDescent="0.3">
      <c r="B67" t="str">
        <v>DE LA CRUZ GABRIEL MARCO ANTONIO</v>
      </c>
    </row>
    <row r="68" spans="2:2" x14ac:dyDescent="0.3">
      <c r="B68" t="str">
        <v>DIANDERAS ARI LUIS PABLO</v>
      </c>
    </row>
    <row r="69" spans="2:2" x14ac:dyDescent="0.3">
      <c r="B69" t="str">
        <v>DIANDERAS CHIPANA FREDY</v>
      </c>
    </row>
    <row r="70" spans="2:2" x14ac:dyDescent="0.3">
      <c r="B70" t="str">
        <v>DIAZ FLORES RONALDO DEMETRIO</v>
      </c>
    </row>
    <row r="71" spans="2:2" x14ac:dyDescent="0.3">
      <c r="B71" t="str">
        <v>DIAZ RODRIGUEZ RUBEN HECTOR</v>
      </c>
    </row>
    <row r="72" spans="2:2" x14ac:dyDescent="0.3">
      <c r="B72" t="str">
        <v>DURAN TARRAGA CRISTHIAN</v>
      </c>
    </row>
    <row r="73" spans="2:2" x14ac:dyDescent="0.3">
      <c r="B73" t="str">
        <v>ESPINOZA AGUILAR DAVID JOEL</v>
      </c>
    </row>
    <row r="74" spans="2:2" x14ac:dyDescent="0.3">
      <c r="B74" t="str">
        <v>ESPINOZA GUERRERO YOSBEL KEVIN</v>
      </c>
    </row>
    <row r="75" spans="2:2" x14ac:dyDescent="0.3">
      <c r="B75" t="str">
        <v>ESTEBAN VELA ROBINSON OSCAR</v>
      </c>
    </row>
    <row r="76" spans="2:2" x14ac:dyDescent="0.3">
      <c r="B76" t="str">
        <v>FELIX CHAVEZ FABIAN JESUS</v>
      </c>
    </row>
    <row r="77" spans="2:2" x14ac:dyDescent="0.3">
      <c r="B77" t="str">
        <v>FELIX PACHAS JUAN JOSE</v>
      </c>
    </row>
    <row r="78" spans="2:2" x14ac:dyDescent="0.3">
      <c r="B78" t="str">
        <v>FERNANDEZ BENITO MAX JHERSON</v>
      </c>
    </row>
    <row r="79" spans="2:2" x14ac:dyDescent="0.3">
      <c r="B79" t="str">
        <v>FERNANDEZ VASQUEZ JUAN DAVID</v>
      </c>
    </row>
    <row r="80" spans="2:2" x14ac:dyDescent="0.3">
      <c r="B80" t="str">
        <v>FERREL ROJAS PERCY</v>
      </c>
    </row>
    <row r="81" spans="2:2" x14ac:dyDescent="0.3">
      <c r="B81" t="str">
        <v>FLORES CARRION RUSSBEL ANTONIO</v>
      </c>
    </row>
    <row r="82" spans="2:2" x14ac:dyDescent="0.3">
      <c r="B82" t="str">
        <v>FUNES NUNURA ANGEL OMAR</v>
      </c>
    </row>
    <row r="83" spans="2:2" x14ac:dyDescent="0.3">
      <c r="B83" t="str">
        <v>GALVEZ CCELLCCASCCA ABNER</v>
      </c>
    </row>
    <row r="84" spans="2:2" x14ac:dyDescent="0.3">
      <c r="B84" t="str">
        <v>GARCIA ECHEVARRIA JOSE MARIA</v>
      </c>
    </row>
    <row r="85" spans="2:2" x14ac:dyDescent="0.3">
      <c r="B85" t="str">
        <v>GIANINO MACASSI JONATHAN ALDO</v>
      </c>
    </row>
    <row r="86" spans="2:2" x14ac:dyDescent="0.3">
      <c r="B86" t="str">
        <v>GODOY ANTICONA PEDRO VICENTE</v>
      </c>
    </row>
    <row r="87" spans="2:2" x14ac:dyDescent="0.3">
      <c r="B87" t="str">
        <v>GONZALES REYES HEVER DAVID</v>
      </c>
    </row>
    <row r="88" spans="2:2" x14ac:dyDescent="0.3">
      <c r="B88" t="str">
        <v>GONZALO MONTOYA NANDITO</v>
      </c>
    </row>
    <row r="89" spans="2:2" x14ac:dyDescent="0.3">
      <c r="B89" t="str">
        <v>GONZALO MONTOYA NELSON</v>
      </c>
    </row>
    <row r="90" spans="2:2" x14ac:dyDescent="0.3">
      <c r="B90" t="str">
        <v>GUIDOTTI EGOAVIL GUINET JENNIFER</v>
      </c>
    </row>
    <row r="91" spans="2:2" x14ac:dyDescent="0.3">
      <c r="B91" t="str">
        <v>GUZMAN OBREGON JUAN JESUS</v>
      </c>
    </row>
    <row r="92" spans="2:2" x14ac:dyDescent="0.3">
      <c r="B92" t="str">
        <v>HERRERA RAMOS FERNANDO JOSE</v>
      </c>
    </row>
    <row r="93" spans="2:2" x14ac:dyDescent="0.3">
      <c r="B93" t="str">
        <v>HERRERA YNGA DEYNER OMAR</v>
      </c>
    </row>
    <row r="94" spans="2:2" x14ac:dyDescent="0.3">
      <c r="B94" t="str">
        <v>HERRERA YNGA JHENRY</v>
      </c>
    </row>
    <row r="95" spans="2:2" x14ac:dyDescent="0.3">
      <c r="B95" t="str">
        <v>GUTIERREZ GUTIERREZ KEVIN BERNARDO</v>
      </c>
    </row>
    <row r="96" spans="2:2" x14ac:dyDescent="0.3">
      <c r="B96" t="str">
        <v>HERRERA YNGA GITLER</v>
      </c>
    </row>
    <row r="97" spans="2:2" x14ac:dyDescent="0.3">
      <c r="B97" t="str">
        <v>HINOSTROZA MARCELO JOAQUIN ALEXANDRO</v>
      </c>
    </row>
    <row r="98" spans="2:2" x14ac:dyDescent="0.3">
      <c r="B98" t="str">
        <v>HUACLES ROJAS ALBERTO</v>
      </c>
    </row>
    <row r="99" spans="2:2" x14ac:dyDescent="0.3">
      <c r="B99" t="str">
        <v>HUACLES ROJAS RAUL</v>
      </c>
    </row>
    <row r="100" spans="2:2" x14ac:dyDescent="0.3">
      <c r="B100" t="str">
        <v>HUAITA ULLOA MIGUEL ANGEL EIICHI</v>
      </c>
    </row>
    <row r="101" spans="2:2" x14ac:dyDescent="0.3">
      <c r="B101" t="str">
        <v>HUAMAN ENRIQUEZ JOSE LUIS RIBALDO</v>
      </c>
    </row>
    <row r="102" spans="2:2" x14ac:dyDescent="0.3">
      <c r="B102" t="str">
        <v>HUAMAN PANIAGUA DANIEL ANGEL</v>
      </c>
    </row>
    <row r="103" spans="2:2" x14ac:dyDescent="0.3">
      <c r="B103" t="str">
        <v>HUAMAN QUISPE KEVIN ALEXANDER</v>
      </c>
    </row>
    <row r="104" spans="2:2" x14ac:dyDescent="0.3">
      <c r="B104" t="str">
        <v>HUAMAN ZANABRIA EBEL ANGEL</v>
      </c>
    </row>
    <row r="105" spans="2:2" x14ac:dyDescent="0.3">
      <c r="B105" t="str">
        <v>HUAMANI MENDIBIL FERNANDO</v>
      </c>
    </row>
    <row r="106" spans="2:2" x14ac:dyDescent="0.3">
      <c r="B106" t="str">
        <v>HUAYNATE PEÑA GREGORY</v>
      </c>
    </row>
    <row r="107" spans="2:2" x14ac:dyDescent="0.3">
      <c r="B107" t="str">
        <v>HUAYHUA SOTO MARCO ANTONIO</v>
      </c>
    </row>
    <row r="108" spans="2:2" x14ac:dyDescent="0.3">
      <c r="B108" t="str">
        <v>HUERTA SANCHEZ RUTH MARIA</v>
      </c>
    </row>
    <row r="109" spans="2:2" x14ac:dyDescent="0.3">
      <c r="B109" t="str">
        <v>ISUIZA SALAS JANS CLINTON</v>
      </c>
    </row>
    <row r="110" spans="2:2" x14ac:dyDescent="0.3">
      <c r="B110" t="str">
        <v>JAMJACHI ORELLANA JHONATAN BRAYAN</v>
      </c>
    </row>
    <row r="111" spans="2:2" x14ac:dyDescent="0.3">
      <c r="B111" t="str">
        <v>JIHUAÑA ALVA EDINSON WILLY</v>
      </c>
    </row>
    <row r="112" spans="2:2" x14ac:dyDescent="0.3">
      <c r="B112" t="str">
        <v>JIMENEZ PACHAS JESUS ANTONIO</v>
      </c>
    </row>
    <row r="113" spans="2:2" x14ac:dyDescent="0.3">
      <c r="B113" t="str">
        <v>JOYO PRADO CRISTHIAN DIEGO</v>
      </c>
    </row>
    <row r="114" spans="2:2" x14ac:dyDescent="0.3">
      <c r="B114" t="str">
        <v>LECCA ALARCON BRIANN SWIDINN</v>
      </c>
    </row>
    <row r="115" spans="2:2" x14ac:dyDescent="0.3">
      <c r="B115" t="str">
        <v>LEON AYQUIPA ERICK HUGO</v>
      </c>
    </row>
    <row r="116" spans="2:2" x14ac:dyDescent="0.3">
      <c r="B116" t="str">
        <v>LEON CALZADO CESAR AUGUSTO</v>
      </c>
    </row>
    <row r="117" spans="2:2" x14ac:dyDescent="0.3">
      <c r="B117" t="str">
        <v>LEON MARTINEZ JORGE LUIS</v>
      </c>
    </row>
    <row r="118" spans="2:2" x14ac:dyDescent="0.3">
      <c r="B118" t="str">
        <v>LEON MARTINEZ LUIS EDUARDO</v>
      </c>
    </row>
    <row r="119" spans="2:2" x14ac:dyDescent="0.3">
      <c r="B119" t="str">
        <v>LEON ORTIZ RUBEN JUAN</v>
      </c>
    </row>
    <row r="120" spans="2:2" x14ac:dyDescent="0.3">
      <c r="B120" t="str">
        <v>LEON RAMIREZ CRISTIAN LUIS</v>
      </c>
    </row>
    <row r="121" spans="2:2" x14ac:dyDescent="0.3">
      <c r="B121" t="str">
        <v>LEZAMA QUISPE RAID YAFET</v>
      </c>
    </row>
    <row r="122" spans="2:2" x14ac:dyDescent="0.3">
      <c r="B122" t="str">
        <v>LOPEZ OCHAVANO MAYER SLIN</v>
      </c>
    </row>
    <row r="123" spans="2:2" x14ac:dyDescent="0.3">
      <c r="B123" t="str">
        <v>LOPEZ QUISPE BRAYAN JEFERSON</v>
      </c>
    </row>
    <row r="124" spans="2:2" x14ac:dyDescent="0.3">
      <c r="B124" t="str">
        <v>LOVERA PAREDES ANJELO</v>
      </c>
    </row>
    <row r="125" spans="2:2" x14ac:dyDescent="0.3">
      <c r="B125" t="str">
        <v>LOZANO RENGIFO FLAVIO JHONATHAN</v>
      </c>
    </row>
    <row r="126" spans="2:2" x14ac:dyDescent="0.3">
      <c r="B126" t="str">
        <v>LUCERO VASQUEZ MICHAEL</v>
      </c>
    </row>
    <row r="127" spans="2:2" x14ac:dyDescent="0.3">
      <c r="B127" t="str">
        <v>MACHADO BALTAZAR CLIZMAN YOHAO</v>
      </c>
    </row>
    <row r="128" spans="2:2" x14ac:dyDescent="0.3">
      <c r="B128" t="str">
        <v>MACHADO BALTAZAR VEXLER JOHAN</v>
      </c>
    </row>
    <row r="129" spans="2:2" x14ac:dyDescent="0.3">
      <c r="B129" t="str">
        <v>MAGAN SINCHE PIERO ALEXANDER</v>
      </c>
    </row>
    <row r="130" spans="2:2" x14ac:dyDescent="0.3">
      <c r="B130" t="str">
        <v>MAGUIÑA GAMARRA PATRICK YAMIL</v>
      </c>
    </row>
    <row r="131" spans="2:2" x14ac:dyDescent="0.3">
      <c r="B131" t="str">
        <v>MANAYAY VILCABANA DAVID EDILSON</v>
      </c>
    </row>
    <row r="132" spans="2:2" x14ac:dyDescent="0.3">
      <c r="B132" t="str">
        <v>MANDUJANO CONDORI JERSSON MANUEL</v>
      </c>
    </row>
    <row r="133" spans="2:2" x14ac:dyDescent="0.3">
      <c r="B133" t="str">
        <v>MARIAN ROGER ELISEO</v>
      </c>
    </row>
    <row r="134" spans="2:2" x14ac:dyDescent="0.3">
      <c r="B134" t="str">
        <v>MARQUINA YANCE TOMAS</v>
      </c>
    </row>
    <row r="135" spans="2:2" x14ac:dyDescent="0.3">
      <c r="B135" t="str">
        <v>MARTINEZ PAZ SHAMIR ALDAIR</v>
      </c>
    </row>
    <row r="136" spans="2:2" x14ac:dyDescent="0.3">
      <c r="B136" t="str">
        <v>MAYLLE HICHCAS MARCO ANTONIO</v>
      </c>
    </row>
    <row r="137" spans="2:2" x14ac:dyDescent="0.3">
      <c r="B137" t="str">
        <v>MAYTAHUARI DEL AGUILA GIMBLER</v>
      </c>
    </row>
    <row r="138" spans="2:2" x14ac:dyDescent="0.3">
      <c r="B138" t="str">
        <v>MEDINA CARRASCO ANGELO ALBERTO</v>
      </c>
    </row>
    <row r="139" spans="2:2" x14ac:dyDescent="0.3">
      <c r="B139" t="str">
        <v>MEDINA MANCO OMAR SAMIR</v>
      </c>
    </row>
    <row r="140" spans="2:2" x14ac:dyDescent="0.3">
      <c r="B140" t="str">
        <v>MELGAR SILVA JOSE ARMANDO</v>
      </c>
    </row>
    <row r="141" spans="2:2" x14ac:dyDescent="0.3">
      <c r="B141" t="str">
        <v>MENDOZA HUAMANI MARCO ANTONIO</v>
      </c>
    </row>
    <row r="142" spans="2:2" x14ac:dyDescent="0.3">
      <c r="B142" t="str">
        <v>MERMA VALCAZAR LUIS FERNANDO</v>
      </c>
    </row>
    <row r="143" spans="2:2" x14ac:dyDescent="0.3">
      <c r="B143" t="str">
        <v>MEZA QUISPE JHON CARLOS</v>
      </c>
    </row>
    <row r="144" spans="2:2" x14ac:dyDescent="0.3">
      <c r="B144" t="str">
        <v>MITMA RAMIREZ DIEGO EDUARDO</v>
      </c>
    </row>
    <row r="145" spans="2:2" x14ac:dyDescent="0.3">
      <c r="B145" t="str">
        <v>MITTANI ANCCO DAYRON</v>
      </c>
    </row>
    <row r="146" spans="2:2" x14ac:dyDescent="0.3">
      <c r="B146" t="str">
        <v>MONAGO DEL AGUILA EDDY RICARDO</v>
      </c>
    </row>
    <row r="147" spans="2:2" x14ac:dyDescent="0.3">
      <c r="B147" t="str">
        <v>MONTERO NUNURA HILADIO MAXIMO</v>
      </c>
    </row>
    <row r="148" spans="2:2" x14ac:dyDescent="0.3">
      <c r="B148" t="str">
        <v>MONTES ESPINOZA RAFAEL JUNIOR</v>
      </c>
    </row>
    <row r="149" spans="2:2" x14ac:dyDescent="0.3">
      <c r="B149" t="str">
        <v>MOZOMBITE RENGIFO JORGE MARCOS</v>
      </c>
    </row>
    <row r="150" spans="2:2" x14ac:dyDescent="0.3">
      <c r="B150" t="str">
        <v>MUNDO CHUCHON ERICK JHOEL</v>
      </c>
    </row>
    <row r="151" spans="2:2" x14ac:dyDescent="0.3">
      <c r="B151" t="str">
        <v>MUÑOZ COICA CRISTIAN ENRIQUE</v>
      </c>
    </row>
    <row r="152" spans="2:2" x14ac:dyDescent="0.3">
      <c r="B152" t="str">
        <v>MUSIA RAMIREZ MARCO ANTONIO</v>
      </c>
    </row>
    <row r="153" spans="2:2" x14ac:dyDescent="0.3">
      <c r="B153" t="str">
        <v>NANCHIJAM TIWIP ELAM</v>
      </c>
    </row>
    <row r="154" spans="2:2" x14ac:dyDescent="0.3">
      <c r="B154" t="str">
        <v>NASHNATE SINARAHUA ALEXANDER</v>
      </c>
    </row>
    <row r="155" spans="2:2" x14ac:dyDescent="0.3">
      <c r="B155" t="str">
        <v>NAYRA ALBERCA RAUL ELIGIO</v>
      </c>
    </row>
    <row r="156" spans="2:2" x14ac:dyDescent="0.3">
      <c r="B156" t="str">
        <v>NESTARES JERI OSWALDO MANUEL</v>
      </c>
    </row>
    <row r="157" spans="2:2" x14ac:dyDescent="0.3">
      <c r="B157" t="str">
        <v>OCHOA ZARATE JOSE FERNANDO</v>
      </c>
    </row>
    <row r="158" spans="2:2" x14ac:dyDescent="0.3">
      <c r="B158" t="str">
        <v>OJANAMA CACHIQUE GINO</v>
      </c>
    </row>
    <row r="159" spans="2:2" x14ac:dyDescent="0.3">
      <c r="B159" t="str">
        <v>OJANAMA RAMIREZ CHRISTIAN</v>
      </c>
    </row>
    <row r="160" spans="2:2" x14ac:dyDescent="0.3">
      <c r="B160" t="str">
        <v>OPORTO SANTAMARIA JOSE ARMANDO ZACARIAS</v>
      </c>
    </row>
    <row r="161" spans="2:2" x14ac:dyDescent="0.3">
      <c r="B161" t="str">
        <v>ORDOÑEZ RICSE EDGAR RAUL</v>
      </c>
    </row>
    <row r="162" spans="2:2" x14ac:dyDescent="0.3">
      <c r="B162" t="str">
        <v>ORE FERNANDEZ WERNER OSCAR</v>
      </c>
    </row>
    <row r="163" spans="2:2" x14ac:dyDescent="0.3">
      <c r="B163" t="str">
        <v>ORTIZ BLANCAS AMILCAR AGUSTIN JUNNIOR</v>
      </c>
    </row>
    <row r="164" spans="2:2" x14ac:dyDescent="0.3">
      <c r="B164" t="str">
        <v>OSORIO GUIDOTTI DARLING STEFANI</v>
      </c>
    </row>
    <row r="165" spans="2:2" x14ac:dyDescent="0.3">
      <c r="B165" t="str">
        <v>PADILLA VARGAS ANTHONY</v>
      </c>
    </row>
    <row r="166" spans="2:2" x14ac:dyDescent="0.3">
      <c r="B166" t="str">
        <v>PADUA LEON JESUS ABRAHAM</v>
      </c>
    </row>
    <row r="167" spans="2:2" x14ac:dyDescent="0.3">
      <c r="B167" t="str">
        <v>PAJITA BERNACHEA KEMBERLYN JHAN FRANCO</v>
      </c>
    </row>
    <row r="168" spans="2:2" x14ac:dyDescent="0.3">
      <c r="B168" t="str">
        <v>PAJITA PAREDES CESAR AUGUSTO</v>
      </c>
    </row>
    <row r="169" spans="2:2" x14ac:dyDescent="0.3">
      <c r="B169" t="str">
        <v>PALACIOS TICSIHUA YONATAN TEODORO</v>
      </c>
    </row>
    <row r="170" spans="2:2" x14ac:dyDescent="0.3">
      <c r="B170" t="str">
        <v>PALOMINO CHOQUEHUACCHA DENYS EDUARDO</v>
      </c>
    </row>
    <row r="171" spans="2:2" x14ac:dyDescent="0.3">
      <c r="B171" t="str">
        <v>PALOMINO QUISPE LUIS VICENTE</v>
      </c>
    </row>
    <row r="172" spans="2:2" x14ac:dyDescent="0.3">
      <c r="B172" t="str">
        <v>PAREDES HERRERA MARLENE BEATRIZ</v>
      </c>
    </row>
    <row r="173" spans="2:2" x14ac:dyDescent="0.3">
      <c r="B173" t="str">
        <v>PAREDES MACEDO SEGUNDO</v>
      </c>
    </row>
    <row r="174" spans="2:2" x14ac:dyDescent="0.3">
      <c r="B174" t="str">
        <v>PAREJA CAJAHUAMAN JEFERSON JEAN PIERRE</v>
      </c>
    </row>
    <row r="175" spans="2:2" x14ac:dyDescent="0.3">
      <c r="B175" t="str">
        <v>PARRAGA LUCAS JULIO CESAR</v>
      </c>
    </row>
    <row r="176" spans="2:2" x14ac:dyDescent="0.3">
      <c r="B176" t="str">
        <v>PAULINO PAJITA ABEL FIDEL</v>
      </c>
    </row>
    <row r="177" spans="2:2" x14ac:dyDescent="0.3">
      <c r="B177" t="str">
        <v>PAULINO PAJITA ALDAHIR ENRIQUE</v>
      </c>
    </row>
    <row r="178" spans="2:2" x14ac:dyDescent="0.3">
      <c r="B178" t="str">
        <v>PECHO VILLALVA JOSE MIGUEL</v>
      </c>
    </row>
    <row r="179" spans="2:2" x14ac:dyDescent="0.3">
      <c r="B179" t="str">
        <v>PECHE RENDON JOSE LUIS</v>
      </c>
    </row>
    <row r="180" spans="2:2" x14ac:dyDescent="0.3">
      <c r="B180" t="str">
        <v>PEREA ROJAS DAVID PAUL MANUEL</v>
      </c>
    </row>
    <row r="181" spans="2:2" x14ac:dyDescent="0.3">
      <c r="B181" t="str">
        <v>PEREZ ROCA JOSE LUIS</v>
      </c>
    </row>
    <row r="182" spans="2:2" x14ac:dyDescent="0.3">
      <c r="B182" t="str">
        <v>PILCO FASANANDO HENRY</v>
      </c>
    </row>
    <row r="183" spans="2:2" x14ac:dyDescent="0.3">
      <c r="B183" t="str">
        <v>PILCO QUISPE RICARDO ANTONIO</v>
      </c>
    </row>
    <row r="184" spans="2:2" x14ac:dyDescent="0.3">
      <c r="B184" t="str">
        <v>PINEDO ACOSTA JULL ALEXANDER</v>
      </c>
    </row>
    <row r="185" spans="2:2" x14ac:dyDescent="0.3">
      <c r="B185" t="str">
        <v>PINTADO SANTOYO ERIKA PAOLA</v>
      </c>
    </row>
    <row r="186" spans="2:2" x14ac:dyDescent="0.3">
      <c r="B186" t="str">
        <v>PIZARRO LAZO SAMUEL</v>
      </c>
    </row>
    <row r="187" spans="2:2" x14ac:dyDescent="0.3">
      <c r="B187" t="str">
        <v>PORRAS QUICO FRANCISCO EDUARDO</v>
      </c>
    </row>
    <row r="188" spans="2:2" x14ac:dyDescent="0.3">
      <c r="B188" t="str">
        <v>PRUDENCIO ANTIALON RONALD EDWIN</v>
      </c>
    </row>
    <row r="189" spans="2:2" x14ac:dyDescent="0.3">
      <c r="B189" t="str">
        <v>PUCUHUARANGA TORRES ANGEL</v>
      </c>
    </row>
    <row r="190" spans="2:2" x14ac:dyDescent="0.3">
      <c r="B190" t="str">
        <v>PUCUHUARANGA TORRES JOEL ELMER</v>
      </c>
    </row>
    <row r="191" spans="2:2" x14ac:dyDescent="0.3">
      <c r="B191" t="str">
        <v>QUISPE ARCCE RODOLFO</v>
      </c>
    </row>
    <row r="192" spans="2:2" x14ac:dyDescent="0.3">
      <c r="B192" t="str">
        <v>QUISPE BERROSPI MAX CHRISTIAN</v>
      </c>
    </row>
    <row r="193" spans="2:2" x14ac:dyDescent="0.3">
      <c r="B193" t="str">
        <v>QUISPE CABANILLAS JEAN MANUEL</v>
      </c>
    </row>
    <row r="194" spans="2:2" x14ac:dyDescent="0.3">
      <c r="B194" t="str">
        <v>QUISPE CABEZAS HECTOR DAVID</v>
      </c>
    </row>
    <row r="195" spans="2:2" x14ac:dyDescent="0.3">
      <c r="B195" t="str">
        <v>QUISPE NAVARRO JENIFER</v>
      </c>
    </row>
    <row r="196" spans="2:2" x14ac:dyDescent="0.3">
      <c r="B196" t="str">
        <v>QUISPIALAYA LOPEZ RAUL MOISES</v>
      </c>
    </row>
    <row r="197" spans="2:2" x14ac:dyDescent="0.3">
      <c r="B197" t="str">
        <v>RAMIREZ TAYPE EDSON</v>
      </c>
    </row>
    <row r="198" spans="2:2" x14ac:dyDescent="0.3">
      <c r="B198" t="str">
        <v>RELICARIO VILA JEREMY HILDER</v>
      </c>
    </row>
    <row r="199" spans="2:2" x14ac:dyDescent="0.3">
      <c r="B199" t="str">
        <v>RIVERA TAPULLIMA IVERSON</v>
      </c>
    </row>
    <row r="200" spans="2:2" x14ac:dyDescent="0.3">
      <c r="B200" t="str">
        <v>RODRIGUEZ FLORES SANTOS</v>
      </c>
    </row>
    <row r="201" spans="2:2" x14ac:dyDescent="0.3">
      <c r="B201" t="str">
        <v>RODRIGUEZ SANCHEZ GUILLERMO JUNIOR</v>
      </c>
    </row>
    <row r="202" spans="2:2" x14ac:dyDescent="0.3">
      <c r="B202" t="str">
        <v>ROMERO ROQUE FREDY</v>
      </c>
    </row>
    <row r="203" spans="2:2" x14ac:dyDescent="0.3">
      <c r="B203" t="str">
        <v>ROSAS COMPALLE GUSTAVO MOISES</v>
      </c>
    </row>
    <row r="204" spans="2:2" x14ac:dyDescent="0.3">
      <c r="B204" t="str">
        <v>SALCEDO TUCTO FRANCIS PIEROL</v>
      </c>
    </row>
    <row r="205" spans="2:2" x14ac:dyDescent="0.3">
      <c r="B205" t="str">
        <v>SANCHEZ PECHE LUIS DAVID</v>
      </c>
    </row>
    <row r="206" spans="2:2" x14ac:dyDescent="0.3">
      <c r="B206" t="str">
        <v>SANCHEZ VILLANUEVA LUIS</v>
      </c>
    </row>
    <row r="207" spans="2:2" x14ac:dyDescent="0.3">
      <c r="B207" t="str">
        <v>SERAS GALVAN EDGAR</v>
      </c>
    </row>
    <row r="208" spans="2:2" x14ac:dyDescent="0.3">
      <c r="B208" t="str">
        <v>SEVILLANO QUISPE BENJAMIN</v>
      </c>
    </row>
    <row r="209" spans="2:2" x14ac:dyDescent="0.3">
      <c r="B209" t="str">
        <v>SILVANO TAPAYURI JHON FARITH</v>
      </c>
    </row>
    <row r="210" spans="2:2" x14ac:dyDescent="0.3">
      <c r="B210" t="str">
        <v>SILVANO TAPAYURI KISSEL SMITH</v>
      </c>
    </row>
    <row r="211" spans="2:2" x14ac:dyDescent="0.3">
      <c r="B211" t="str">
        <v>SOLIS PEREZ CARLOS ALCIDES</v>
      </c>
    </row>
    <row r="212" spans="2:2" x14ac:dyDescent="0.3">
      <c r="B212" t="str">
        <v>SOTO SANCHEZ LUIS ANGEL</v>
      </c>
    </row>
    <row r="213" spans="2:2" x14ac:dyDescent="0.3">
      <c r="B213" t="str">
        <v>SUAREZ MONTOYA JOSE AUGUSTO</v>
      </c>
    </row>
    <row r="214" spans="2:2" x14ac:dyDescent="0.3">
      <c r="B214" t="str">
        <v>SULCA ARIAS LUIS ANGEL</v>
      </c>
    </row>
    <row r="215" spans="2:2" x14ac:dyDescent="0.3">
      <c r="B215" t="str">
        <v>TAIPE VARGAS ESAU EDISON</v>
      </c>
    </row>
    <row r="216" spans="2:2" x14ac:dyDescent="0.3">
      <c r="B216" t="str">
        <v>TALAVERA VILLANUEVA VICTOR</v>
      </c>
    </row>
    <row r="217" spans="2:2" x14ac:dyDescent="0.3">
      <c r="B217" t="str">
        <v>TANGOA MAJIPO LUIS ENRIQUE</v>
      </c>
    </row>
    <row r="218" spans="2:2" x14ac:dyDescent="0.3">
      <c r="B218" t="str">
        <v>TAPULLIMA SIMON PERCY</v>
      </c>
    </row>
    <row r="219" spans="2:2" x14ac:dyDescent="0.3">
      <c r="B219" t="str">
        <v>TENORIO CAJO GONZALO</v>
      </c>
    </row>
    <row r="220" spans="2:2" x14ac:dyDescent="0.3">
      <c r="B220" t="str">
        <v>TORIBIO YUPANQUI DALBERG DAVID</v>
      </c>
    </row>
    <row r="221" spans="2:2" x14ac:dyDescent="0.3">
      <c r="B221" t="str">
        <v>TORRES MEJIA ISAIAS BENJAMIN</v>
      </c>
    </row>
    <row r="222" spans="2:2" x14ac:dyDescent="0.3">
      <c r="B222" t="str">
        <v>USCAMAYTA FIERRO EDWIN FUCER</v>
      </c>
    </row>
    <row r="223" spans="2:2" x14ac:dyDescent="0.3">
      <c r="B223" t="str">
        <v>VACA VARGAS JULIO CESAR</v>
      </c>
    </row>
    <row r="224" spans="2:2" x14ac:dyDescent="0.3">
      <c r="B224" t="str">
        <v>VALDEZ PEÑA MARIA LUISA</v>
      </c>
    </row>
    <row r="225" spans="2:2" x14ac:dyDescent="0.3">
      <c r="B225" t="str">
        <v>VALLEJOS LEANDRO HEDWER BRAYAN</v>
      </c>
    </row>
    <row r="226" spans="2:2" x14ac:dyDescent="0.3">
      <c r="B226" t="str">
        <v>VARGAS HUAMAN MARIO</v>
      </c>
    </row>
    <row r="227" spans="2:2" x14ac:dyDescent="0.3">
      <c r="B227" t="str">
        <v>VALDIVIA ORTEGA JEFFERSON IVAN</v>
      </c>
    </row>
    <row r="228" spans="2:2" x14ac:dyDescent="0.3">
      <c r="B228" t="str">
        <v>VASQUEZ HUAMAN BRYAN</v>
      </c>
    </row>
    <row r="229" spans="2:2" x14ac:dyDescent="0.3">
      <c r="B229" t="str">
        <v>VASQUEZ PORTOCARRERO EDGAR EDUARDO</v>
      </c>
    </row>
    <row r="230" spans="2:2" x14ac:dyDescent="0.3">
      <c r="B230" t="str">
        <v>VEGA ASCENCIO DARWIN LUIS</v>
      </c>
    </row>
    <row r="231" spans="2:2" x14ac:dyDescent="0.3">
      <c r="B231" t="str">
        <v>VENTOCILLA CONDORI FRANCYS ALEXANDER</v>
      </c>
    </row>
    <row r="232" spans="2:2" x14ac:dyDescent="0.3">
      <c r="B232" t="str">
        <v>VILCHEZ PEREZ DEYVIS ABEL</v>
      </c>
    </row>
    <row r="233" spans="2:2" x14ac:dyDescent="0.3">
      <c r="B233" t="str">
        <v>VILLALOBOS VASQUEZ ESTEBAN</v>
      </c>
    </row>
    <row r="234" spans="2:2" x14ac:dyDescent="0.3">
      <c r="B234" t="str">
        <v>VILLANUEVA TAFUR HOLMER YOSVEL</v>
      </c>
    </row>
    <row r="235" spans="2:2" x14ac:dyDescent="0.3">
      <c r="B235" t="str">
        <v>VILLANUEVA TORO FLAVIO FERNANDO</v>
      </c>
    </row>
    <row r="236" spans="2:2" x14ac:dyDescent="0.3">
      <c r="B236" t="str">
        <v>YACHA CAPCHA DENIS ANGEL</v>
      </c>
    </row>
    <row r="237" spans="2:2" x14ac:dyDescent="0.3">
      <c r="B237" t="str">
        <v>YANGALI HUAMAN HUMBERTO</v>
      </c>
    </row>
    <row r="238" spans="2:2" x14ac:dyDescent="0.3">
      <c r="B238" t="str">
        <v>YAURI INOCENTE WILFREDO</v>
      </c>
    </row>
    <row r="239" spans="2:2" x14ac:dyDescent="0.3">
      <c r="B239" t="str">
        <v>YAMPIS YUU RICHARD</v>
      </c>
    </row>
    <row r="240" spans="2:2" x14ac:dyDescent="0.3">
      <c r="B240" t="str">
        <v>YATACO RAMOS EDU JOAQUIN</v>
      </c>
    </row>
    <row r="241" spans="2:2" x14ac:dyDescent="0.3">
      <c r="B241" t="str">
        <v>ZAMUDIO BUSTILLOS EDDI DEMETRIO</v>
      </c>
    </row>
    <row r="242" spans="2:2" x14ac:dyDescent="0.3">
      <c r="B242" t="str">
        <v>ZAPATA SOTO LUIS MOISES</v>
      </c>
    </row>
    <row r="243" spans="2:2" x14ac:dyDescent="0.3">
      <c r="B243" t="str">
        <v>ZAVALA MANTARI DIEGO MANUEL</v>
      </c>
    </row>
    <row r="244" spans="2:2" x14ac:dyDescent="0.3">
      <c r="B244" t="str">
        <v>ZEVALLOS FERRY RUSBEL NOE</v>
      </c>
    </row>
    <row r="245" spans="2:2" x14ac:dyDescent="0.3">
      <c r="B245" t="str">
        <v>VILLA SOTO JHOANS RAUL</v>
      </c>
    </row>
    <row r="246" spans="2:2" x14ac:dyDescent="0.3">
      <c r="B246" t="str">
        <v>ZEVALLOS LEON GILVER FELIX</v>
      </c>
    </row>
    <row r="247" spans="2:2" x14ac:dyDescent="0.3">
      <c r="B247" t="str">
        <v>HUAYTALLA PORRAS CHRISTIAN LENIN</v>
      </c>
    </row>
    <row r="248" spans="2:2" x14ac:dyDescent="0.3">
      <c r="B248" t="str">
        <v>HUARCAYA GOMEZ ARTURO</v>
      </c>
    </row>
    <row r="249" spans="2:2" x14ac:dyDescent="0.3">
      <c r="B249" t="str">
        <v>HUAÑEC HUAÑEC FRANK DANIEL</v>
      </c>
    </row>
    <row r="250" spans="2:2" x14ac:dyDescent="0.3">
      <c r="B250" t="str">
        <v>JESUS MARTINEZ MARIA ANGGELINA</v>
      </c>
    </row>
    <row r="251" spans="2:2" x14ac:dyDescent="0.3">
      <c r="B251" t="str">
        <v>JURO ANGULO CARLOS ALBERTO</v>
      </c>
    </row>
    <row r="252" spans="2:2" x14ac:dyDescent="0.3">
      <c r="B252" t="str">
        <v>JUÑO FUENTES ELBA</v>
      </c>
    </row>
    <row r="253" spans="2:2" x14ac:dyDescent="0.3">
      <c r="B253" t="str">
        <v>JIMENEZ ALBURQUEQUE RUTH NOELIA</v>
      </c>
    </row>
    <row r="254" spans="2:2" x14ac:dyDescent="0.3">
      <c r="B254" t="str">
        <v>HUAMANI DELGADO STEVE</v>
      </c>
    </row>
    <row r="255" spans="2:2" x14ac:dyDescent="0.3">
      <c r="B255" t="str">
        <v>GUEVARA GUEVARA MARIA DALILA</v>
      </c>
    </row>
    <row r="256" spans="2:2" x14ac:dyDescent="0.3">
      <c r="B256" t="str">
        <v>HENRIQUEZ VALDEZ LUIS ANGEL</v>
      </c>
    </row>
    <row r="257" spans="2:2" x14ac:dyDescent="0.3">
      <c r="B257" t="str">
        <v>GUERRA PARRA DAIBY SAUL</v>
      </c>
    </row>
    <row r="258" spans="2:2" x14ac:dyDescent="0.3">
      <c r="B258" t="str">
        <v>GORDILLO CORREA JENIFER JEARIMA</v>
      </c>
    </row>
    <row r="259" spans="2:2" x14ac:dyDescent="0.3">
      <c r="B259" t="str">
        <v>HIDALGO RAMIREZ JORGE LUIS</v>
      </c>
    </row>
    <row r="260" spans="2:2" x14ac:dyDescent="0.3">
      <c r="B260" t="str">
        <v>MEDINA AYLAS DIEGO CORNELIO</v>
      </c>
    </row>
    <row r="261" spans="2:2" x14ac:dyDescent="0.3">
      <c r="B261" t="str">
        <v>MEDINA FLORES NAYELI MARIA JOSE</v>
      </c>
    </row>
    <row r="262" spans="2:2" x14ac:dyDescent="0.3">
      <c r="B262" t="str">
        <v>MARTINEZ MARTINEZ WILLIAM PAUL</v>
      </c>
    </row>
    <row r="263" spans="2:2" x14ac:dyDescent="0.3">
      <c r="B263" t="str">
        <v>MAYORCA PARRA SARA CAMILA</v>
      </c>
    </row>
    <row r="264" spans="2:2" x14ac:dyDescent="0.3">
      <c r="B264" t="str">
        <v>MARTINEZ PINGO JACQUELINE ZARA</v>
      </c>
    </row>
    <row r="265" spans="2:2" x14ac:dyDescent="0.3">
      <c r="B265" t="str">
        <v>MEDINA VARGAS ANITA MARIA</v>
      </c>
    </row>
    <row r="266" spans="2:2" x14ac:dyDescent="0.3">
      <c r="B266" t="str">
        <v>MEDRANO PALACIOS ELOISA  DEL PILAR</v>
      </c>
    </row>
    <row r="267" spans="2:2" x14ac:dyDescent="0.3">
      <c r="B267" t="str">
        <v>MILLA GOMERO YTALO LUIS</v>
      </c>
    </row>
    <row r="268" spans="2:2" x14ac:dyDescent="0.3">
      <c r="B268" t="str">
        <v>MENDOZA CASTILLO JHONY</v>
      </c>
    </row>
    <row r="269" spans="2:2" x14ac:dyDescent="0.3">
      <c r="B269" t="str">
        <v>MEJIA NOLAZCO VICTOR SANTIAGO</v>
      </c>
    </row>
    <row r="270" spans="2:2" x14ac:dyDescent="0.3">
      <c r="B270" t="str">
        <v>LOPEZ LIVIAPOMA JOEL FERNAN</v>
      </c>
    </row>
    <row r="271" spans="2:2" x14ac:dyDescent="0.3">
      <c r="B271" t="str">
        <v>LOAYZA HUAMAN JHONNATAN JESUS</v>
      </c>
    </row>
    <row r="272" spans="2:2" x14ac:dyDescent="0.3">
      <c r="B272" t="str">
        <v>LEON TORRES MICHAEL JORDAN</v>
      </c>
    </row>
    <row r="273" spans="2:2" x14ac:dyDescent="0.3">
      <c r="B273" t="str">
        <v>MARIN MENESES ALISON NICOLE</v>
      </c>
    </row>
    <row r="274" spans="2:2" x14ac:dyDescent="0.3">
      <c r="B274" t="str">
        <v>MARCATOMA TUHANAMA EZEQUIEL RICARDO</v>
      </c>
    </row>
    <row r="275" spans="2:2" x14ac:dyDescent="0.3">
      <c r="B275" t="str">
        <v>MANCO QUEZADA OLGA ESPERANZA</v>
      </c>
    </row>
    <row r="276" spans="2:2" x14ac:dyDescent="0.3">
      <c r="B276" t="str">
        <v>MALLMA CAMPOS ROY ROPER</v>
      </c>
    </row>
    <row r="277" spans="2:2" x14ac:dyDescent="0.3">
      <c r="B277" t="str">
        <v>CONDOR VALENCIA VICTOR STEVEN</v>
      </c>
    </row>
    <row r="278" spans="2:2" x14ac:dyDescent="0.3">
      <c r="B278" t="str">
        <v>CORDOVA DOMINGUEZ LELIS DALILA</v>
      </c>
    </row>
    <row r="279" spans="2:2" x14ac:dyDescent="0.3">
      <c r="B279" t="str">
        <v>COLOMA HUARCAYA PIERO</v>
      </c>
    </row>
    <row r="280" spans="2:2" x14ac:dyDescent="0.3">
      <c r="B280" t="str">
        <v>COLACHAHUA COSME JUDIT SANDRA</v>
      </c>
    </row>
    <row r="281" spans="2:2" x14ac:dyDescent="0.3">
      <c r="B281" t="str">
        <v>CORDOVA POMA HAYDE DORIS</v>
      </c>
    </row>
    <row r="282" spans="2:2" x14ac:dyDescent="0.3">
      <c r="B282" t="str">
        <v>CORONADO FERNANDEZ MARIA LORENA DEL ROSARIO</v>
      </c>
    </row>
    <row r="283" spans="2:2" x14ac:dyDescent="0.3">
      <c r="B283" t="str">
        <v>CRUCES ARRASCO EDWARD</v>
      </c>
    </row>
    <row r="284" spans="2:2" x14ac:dyDescent="0.3">
      <c r="B284" t="str">
        <v>CRISPIN ERAZO FREDDY HENER</v>
      </c>
    </row>
    <row r="285" spans="2:2" x14ac:dyDescent="0.3">
      <c r="B285" t="str">
        <v>COTRINA CALERO NICK JEFFERSON</v>
      </c>
    </row>
    <row r="286" spans="2:2" x14ac:dyDescent="0.3">
      <c r="B286" t="str">
        <v>CORREA SINARAHUA RAFAEL</v>
      </c>
    </row>
    <row r="287" spans="2:2" x14ac:dyDescent="0.3">
      <c r="B287" t="str">
        <v>GONZALES ESPINOZA BRAYHANN ALEXANDER</v>
      </c>
    </row>
    <row r="288" spans="2:2" x14ac:dyDescent="0.3">
      <c r="B288" t="str">
        <v>CHACON CIENFUEGOS LUIS EDUARDO</v>
      </c>
    </row>
    <row r="289" spans="2:2" x14ac:dyDescent="0.3">
      <c r="B289" t="str">
        <v>CHAMPI BONIFACIO DIAMELIT</v>
      </c>
    </row>
    <row r="290" spans="2:2" x14ac:dyDescent="0.3">
      <c r="B290" t="str">
        <v>CCENCHO FERNANDEZ JOVANA</v>
      </c>
    </row>
    <row r="291" spans="2:2" x14ac:dyDescent="0.3">
      <c r="B291" t="str">
        <v>CCAHUANA ALEGRIA JENNY ISABEL</v>
      </c>
    </row>
    <row r="292" spans="2:2" x14ac:dyDescent="0.3">
      <c r="B292" t="str">
        <v>CHANCAN FERNANDEZ NERIDA ELOISA</v>
      </c>
    </row>
    <row r="293" spans="2:2" x14ac:dyDescent="0.3">
      <c r="B293" t="str">
        <v>CHOQUE URBINA BRAYAN</v>
      </c>
    </row>
    <row r="294" spans="2:2" x14ac:dyDescent="0.3">
      <c r="B294" t="str">
        <v>CHANCASANA PEÑA JHAIR STEVENS</v>
      </c>
    </row>
    <row r="295" spans="2:2" x14ac:dyDescent="0.3">
      <c r="B295" t="str">
        <v>CHOCCE JULCA YESSENIA KATYUSCA</v>
      </c>
    </row>
    <row r="296" spans="2:2" x14ac:dyDescent="0.3">
      <c r="B296" t="str">
        <v>CHICLAYO RODRIGUEZ LUIS</v>
      </c>
    </row>
    <row r="297" spans="2:2" x14ac:dyDescent="0.3">
      <c r="B297" t="str">
        <v>CHAVEZ MANCISIDOR LUIS EDGARDO</v>
      </c>
    </row>
    <row r="298" spans="2:2" x14ac:dyDescent="0.3">
      <c r="B298" t="str">
        <v>CHAU CHAVEZ HUGO ENRICO</v>
      </c>
    </row>
    <row r="299" spans="2:2" x14ac:dyDescent="0.3">
      <c r="B299" t="str">
        <v>CRUZ DIOSES CLAUDIA CRISTINA</v>
      </c>
    </row>
    <row r="300" spans="2:2" x14ac:dyDescent="0.3">
      <c r="B300" t="str">
        <v>CUADROS CARRANZA KATHERINE NORMA</v>
      </c>
    </row>
    <row r="301" spans="2:2" x14ac:dyDescent="0.3">
      <c r="B301" t="str">
        <v>FLORES BENITES ARTURO TOBIAS</v>
      </c>
    </row>
    <row r="302" spans="2:2" x14ac:dyDescent="0.3">
      <c r="B302" t="str">
        <v>FERNANDEZ TRUJILLO LLOZMER</v>
      </c>
    </row>
    <row r="303" spans="2:2" x14ac:dyDescent="0.3">
      <c r="B303" t="str">
        <v>FLORES LA ROSA PAOLA NATALI</v>
      </c>
    </row>
    <row r="304" spans="2:2" x14ac:dyDescent="0.3">
      <c r="B304" t="str">
        <v>GALLEGOS MUNGUIA JOAQUIN ERNESTO</v>
      </c>
    </row>
    <row r="305" spans="2:2" x14ac:dyDescent="0.3">
      <c r="B305" t="str">
        <v>GASTELU TRIGUEROS RICARDO BERNABE</v>
      </c>
    </row>
    <row r="306" spans="2:2" x14ac:dyDescent="0.3">
      <c r="B306" t="str">
        <v>GARRO QUINTO LUIS FERNANDO</v>
      </c>
    </row>
    <row r="307" spans="2:2" x14ac:dyDescent="0.3">
      <c r="B307" t="str">
        <v>GARCIA VENANCINO ENITH EMPERATRIZ</v>
      </c>
    </row>
    <row r="308" spans="2:2" x14ac:dyDescent="0.3">
      <c r="B308" t="str">
        <v>GARCIA LOARDO ERICK JULIAN</v>
      </c>
    </row>
    <row r="309" spans="2:2" x14ac:dyDescent="0.3">
      <c r="B309" t="str">
        <v>ESTRELLA OCON VICTOR RAUL</v>
      </c>
    </row>
    <row r="310" spans="2:2" x14ac:dyDescent="0.3">
      <c r="B310" t="str">
        <v>ESPINOZA RICCE OSCAR MARCELO</v>
      </c>
    </row>
    <row r="311" spans="2:2" x14ac:dyDescent="0.3">
      <c r="B311" t="str">
        <v>DE LA CRUZ RAMOS ROXANA YOLANDA</v>
      </c>
    </row>
    <row r="312" spans="2:2" x14ac:dyDescent="0.3">
      <c r="B312" t="str">
        <v>DE LA CRUZ DE LA CRUZ ANDRES LEONARDO</v>
      </c>
    </row>
    <row r="313" spans="2:2" x14ac:dyDescent="0.3">
      <c r="B313" t="str">
        <v>DE LA CRUZ APUMAYTA EVA LUZ</v>
      </c>
    </row>
    <row r="314" spans="2:2" x14ac:dyDescent="0.3">
      <c r="B314" t="str">
        <v>DAMIAN SUTIZAL JASMELYN ROXANA</v>
      </c>
    </row>
    <row r="315" spans="2:2" x14ac:dyDescent="0.3">
      <c r="B315" t="str">
        <v>DIAZ QUISPE JACKELIN ELIZABETH</v>
      </c>
    </row>
    <row r="316" spans="2:2" x14ac:dyDescent="0.3">
      <c r="B316" t="str">
        <v>EGUSQUIZA MORENO ALISSON GABRIELA</v>
      </c>
    </row>
    <row r="317" spans="2:2" x14ac:dyDescent="0.3">
      <c r="B317" t="str">
        <v>ENRIQUEZ SAUCEDO JUAN CARLOS</v>
      </c>
    </row>
    <row r="318" spans="2:2" x14ac:dyDescent="0.3">
      <c r="B318" t="str">
        <v>DOÑEZ MURAYARI DIONICIO JHUNIOR</v>
      </c>
    </row>
    <row r="319" spans="2:2" x14ac:dyDescent="0.3">
      <c r="B319" t="str">
        <v>DONAYRE BUITRON JULIO GONZALO</v>
      </c>
    </row>
    <row r="320" spans="2:2" x14ac:dyDescent="0.3">
      <c r="B320" t="str">
        <v>DIBURGA QUISPE JUAN RENATO</v>
      </c>
    </row>
    <row r="321" spans="2:2" x14ac:dyDescent="0.3">
      <c r="B321" t="str">
        <v>DIBURGA QUISPE CLAUDIA LUZ</v>
      </c>
    </row>
    <row r="322" spans="2:2" x14ac:dyDescent="0.3">
      <c r="B322" t="str">
        <v>SORIA SIMA DARWIN WILLIAM</v>
      </c>
    </row>
    <row r="323" spans="2:2" x14ac:dyDescent="0.3">
      <c r="B323" t="str">
        <v>TASAYCO LAZO CARMEN ROSA</v>
      </c>
    </row>
    <row r="324" spans="2:2" x14ac:dyDescent="0.3">
      <c r="B324" t="str">
        <v>SEMINARIO PICON ADRIAN CARLO</v>
      </c>
    </row>
    <row r="325" spans="2:2" x14ac:dyDescent="0.3">
      <c r="B325" t="str">
        <v>SOTELO HUAYHUAS EDWIN SANTIAGO</v>
      </c>
    </row>
    <row r="326" spans="2:2" x14ac:dyDescent="0.3">
      <c r="B326" t="str">
        <v>SUYO ROMAN JESUS ELOY</v>
      </c>
    </row>
    <row r="327" spans="2:2" x14ac:dyDescent="0.3">
      <c r="B327" t="str">
        <v>SUCLUPE MORE JULIO CESAR</v>
      </c>
    </row>
    <row r="328" spans="2:2" x14ac:dyDescent="0.3">
      <c r="B328" t="str">
        <v>SUCLUPE LOPEZ LIZETH YANIRE</v>
      </c>
    </row>
    <row r="329" spans="2:2" x14ac:dyDescent="0.3">
      <c r="B329" t="str">
        <v>ROJAS CARDENAS JOEL BORIS</v>
      </c>
    </row>
    <row r="330" spans="2:2" x14ac:dyDescent="0.3">
      <c r="B330" t="str">
        <v>ROJAS VILCHEZ HAROLD JOEL</v>
      </c>
    </row>
    <row r="331" spans="2:2" x14ac:dyDescent="0.3">
      <c r="B331" t="str">
        <v>ROJAS RISALVE ELIZABETH FORTUNATA</v>
      </c>
    </row>
    <row r="332" spans="2:2" x14ac:dyDescent="0.3">
      <c r="B332" t="str">
        <v>ROMERO SALAZAR JORGE LUIS</v>
      </c>
    </row>
    <row r="333" spans="2:2" x14ac:dyDescent="0.3">
      <c r="B333" t="str">
        <v>RODRIGUEZ MONROY ADA ROXANA</v>
      </c>
    </row>
    <row r="334" spans="2:2" x14ac:dyDescent="0.3">
      <c r="B334" t="str">
        <v>RODRIGUEZ CHIARA CARMEN MILAGROS</v>
      </c>
    </row>
    <row r="335" spans="2:2" x14ac:dyDescent="0.3">
      <c r="B335" t="str">
        <v>SALVADOR AYALA WENDY MILAGROS</v>
      </c>
    </row>
    <row r="336" spans="2:2" x14ac:dyDescent="0.3">
      <c r="B336" t="str">
        <v>ROSAS PEÑA CESAR JAVIER</v>
      </c>
    </row>
    <row r="337" spans="2:2" x14ac:dyDescent="0.3">
      <c r="B337" t="str">
        <v>SALAZAR TTITO NOEMI SHAYLLA</v>
      </c>
    </row>
    <row r="338" spans="2:2" x14ac:dyDescent="0.3">
      <c r="B338" t="str">
        <v>SALAZAR TTITO JOSUE JONATHAN</v>
      </c>
    </row>
    <row r="339" spans="2:2" x14ac:dyDescent="0.3">
      <c r="B339" t="str">
        <v>SALAS RUIZ MAYRA YOMIRA</v>
      </c>
    </row>
    <row r="340" spans="2:2" x14ac:dyDescent="0.3">
      <c r="B340" t="str">
        <v>SAL Y ROSAS CARMEN DIEGO PAOLO</v>
      </c>
    </row>
    <row r="341" spans="2:2" x14ac:dyDescent="0.3">
      <c r="B341" t="str">
        <v>SAENZ MORON RAYZA TAMARA</v>
      </c>
    </row>
    <row r="342" spans="2:2" x14ac:dyDescent="0.3">
      <c r="B342" t="str">
        <v>RUJEL GARCIA IRIS LYLYANA</v>
      </c>
    </row>
    <row r="343" spans="2:2" x14ac:dyDescent="0.3">
      <c r="B343" t="str">
        <v>RUCOBA SALAS MARC ANTONY</v>
      </c>
    </row>
    <row r="344" spans="2:2" x14ac:dyDescent="0.3">
      <c r="B344" t="str">
        <v>TARAZONA RUIZ ELVIS JONATHAN</v>
      </c>
    </row>
    <row r="345" spans="2:2" x14ac:dyDescent="0.3">
      <c r="B345" t="str">
        <v>ROCA ALMAIDA FERNANDO LUIS</v>
      </c>
    </row>
    <row r="346" spans="2:2" x14ac:dyDescent="0.3">
      <c r="B346" t="str">
        <v>YANAC DANCOURT MARIA DEL CARMEN ANGELICA</v>
      </c>
    </row>
    <row r="347" spans="2:2" x14ac:dyDescent="0.3">
      <c r="B347" t="str">
        <v>VITE ARANDA CHRISTIAN ANDRES</v>
      </c>
    </row>
    <row r="348" spans="2:2" x14ac:dyDescent="0.3">
      <c r="B348" t="str">
        <v>YEPEZ GARCIA VALERY</v>
      </c>
    </row>
    <row r="349" spans="2:2" x14ac:dyDescent="0.3">
      <c r="B349" t="str">
        <v>ZEVALLOS MAXIMILIANO MERCEDES ADELAIDA</v>
      </c>
    </row>
    <row r="350" spans="2:2" x14ac:dyDescent="0.3">
      <c r="B350" t="str">
        <v>ZEVALLOS MAXIMILIANO EDWIN</v>
      </c>
    </row>
    <row r="351" spans="2:2" x14ac:dyDescent="0.3">
      <c r="B351" t="str">
        <v>ZEVALLOS ARCE ISMAEL WILMER</v>
      </c>
    </row>
    <row r="352" spans="2:2" x14ac:dyDescent="0.3">
      <c r="B352" t="str">
        <v>ZAPATA TORRES RAFHAEL</v>
      </c>
    </row>
    <row r="353" spans="2:2" x14ac:dyDescent="0.3">
      <c r="B353" t="str">
        <v>URRACA ATENCIO NELLY CRISTINA</v>
      </c>
    </row>
    <row r="354" spans="2:2" x14ac:dyDescent="0.3">
      <c r="B354" t="str">
        <v>URBAY ROLDAN GEOVANNY GABRIEL</v>
      </c>
    </row>
    <row r="355" spans="2:2" x14ac:dyDescent="0.3">
      <c r="B355" t="str">
        <v>VALDIVIA CONTRERAS KEIMER WILFREDO</v>
      </c>
    </row>
    <row r="356" spans="2:2" x14ac:dyDescent="0.3">
      <c r="B356" t="str">
        <v>URBANO YANAYACO GUILLERMO EDUARDO</v>
      </c>
    </row>
    <row r="357" spans="2:2" x14ac:dyDescent="0.3">
      <c r="B357" t="str">
        <v>TORRES RIVAS GUIDO</v>
      </c>
    </row>
    <row r="358" spans="2:2" x14ac:dyDescent="0.3">
      <c r="B358" t="str">
        <v>VELASQUEZ SANCHEZ RENZO JESUS</v>
      </c>
    </row>
    <row r="359" spans="2:2" x14ac:dyDescent="0.3">
      <c r="B359" t="str">
        <v>VALENCIA MENDOZA JAQUELIN YOSHIRA</v>
      </c>
    </row>
    <row r="360" spans="2:2" x14ac:dyDescent="0.3">
      <c r="B360" t="str">
        <v>VELASQUEZ COCHACHIN JESUS ANGEL</v>
      </c>
    </row>
    <row r="361" spans="2:2" x14ac:dyDescent="0.3">
      <c r="B361" t="str">
        <v>VEGA PEÑA CESAR MOISES</v>
      </c>
    </row>
    <row r="362" spans="2:2" x14ac:dyDescent="0.3">
      <c r="B362" t="str">
        <v>VALLES BELLIDO ANTHONY JESUS</v>
      </c>
    </row>
    <row r="363" spans="2:2" x14ac:dyDescent="0.3">
      <c r="B363" t="str">
        <v>RODAS MAYAK MARDIOLIN EDITH</v>
      </c>
    </row>
    <row r="364" spans="2:2" x14ac:dyDescent="0.3">
      <c r="B364" t="str">
        <v>MONTAÑO VELASQUEZ RUTH DEL PILAR</v>
      </c>
    </row>
    <row r="365" spans="2:2" x14ac:dyDescent="0.3">
      <c r="B365" t="str">
        <v>ORTIZ ALCANTARA JUAN MIGUEL</v>
      </c>
    </row>
    <row r="366" spans="2:2" x14ac:dyDescent="0.3">
      <c r="B366" t="str">
        <v>ORE ARROYO ALEJANDRO FELIPE</v>
      </c>
    </row>
    <row r="367" spans="2:2" x14ac:dyDescent="0.3">
      <c r="B367" t="str">
        <v>PACHECO VILLANUEVA LEONARDO JESUS</v>
      </c>
    </row>
    <row r="368" spans="2:2" x14ac:dyDescent="0.3">
      <c r="B368" t="str">
        <v>PADILLA AREVALO GARY DAVID</v>
      </c>
    </row>
    <row r="369" spans="2:2" x14ac:dyDescent="0.3">
      <c r="B369" t="str">
        <v>PALACIOS SALDAÑA CYNTIA JHERALDIN</v>
      </c>
    </row>
    <row r="370" spans="2:2" x14ac:dyDescent="0.3">
      <c r="B370" t="str">
        <v>PALACIOS RUIZ CHRISTIAM ALBERTO</v>
      </c>
    </row>
    <row r="371" spans="2:2" x14ac:dyDescent="0.3">
      <c r="B371" t="str">
        <v>RIOS SANCHEZ ANGEL ORLANDO</v>
      </c>
    </row>
    <row r="372" spans="2:2" x14ac:dyDescent="0.3">
      <c r="B372" t="str">
        <v>MORALES DAHUA ROSARIO DEL PILAR</v>
      </c>
    </row>
    <row r="373" spans="2:2" x14ac:dyDescent="0.3">
      <c r="B373" t="str">
        <v>MORENO MURRUGARRA KRISTEL FIORELLA</v>
      </c>
    </row>
    <row r="374" spans="2:2" x14ac:dyDescent="0.3">
      <c r="B374" t="str">
        <v>MORENO MURRUGARRA ANGIE</v>
      </c>
    </row>
    <row r="375" spans="2:2" x14ac:dyDescent="0.3">
      <c r="B375" t="str">
        <v>MONTERO HUAMANTTICA KELY ALEXANDRA</v>
      </c>
    </row>
    <row r="376" spans="2:2" x14ac:dyDescent="0.3">
      <c r="B376" t="str">
        <v>MONTEJO PRUDENCIO VERONICA</v>
      </c>
    </row>
    <row r="377" spans="2:2" x14ac:dyDescent="0.3">
      <c r="B377" t="str">
        <v>MUNGUIA ROMERO JHONATAN SMITH</v>
      </c>
    </row>
    <row r="378" spans="2:2" x14ac:dyDescent="0.3">
      <c r="B378" t="str">
        <v>OCHAVANO MUÑOZ ANTONIO</v>
      </c>
    </row>
    <row r="379" spans="2:2" x14ac:dyDescent="0.3">
      <c r="B379" t="str">
        <v>NAVARRO TAPULLIMA GINNA MERCI</v>
      </c>
    </row>
    <row r="380" spans="2:2" x14ac:dyDescent="0.3">
      <c r="B380" t="str">
        <v>NAVARRO SIFUENTES DIANA CAROLINA</v>
      </c>
    </row>
    <row r="381" spans="2:2" x14ac:dyDescent="0.3">
      <c r="B381" t="str">
        <v>MUÑOZ VILLA LUIS ANTHONY</v>
      </c>
    </row>
    <row r="382" spans="2:2" x14ac:dyDescent="0.3">
      <c r="B382" t="str">
        <v>PAREDES FUSTER MIGUEL EDUARDO</v>
      </c>
    </row>
    <row r="383" spans="2:2" x14ac:dyDescent="0.3">
      <c r="B383" t="str">
        <v>QUISPE ESCUDERO LUCIA ESTHER</v>
      </c>
    </row>
    <row r="384" spans="2:2" x14ac:dyDescent="0.3">
      <c r="B384" t="str">
        <v>QUISPE LOPEZ PETER ESTEBAN</v>
      </c>
    </row>
    <row r="385" spans="2:2" x14ac:dyDescent="0.3">
      <c r="B385" t="str">
        <v>QUISPE TORIBIO ROBERTO CARLOS</v>
      </c>
    </row>
    <row r="386" spans="2:2" x14ac:dyDescent="0.3">
      <c r="B386" t="str">
        <v>QUISPE TAYPE JACK ANTHONY</v>
      </c>
    </row>
    <row r="387" spans="2:2" x14ac:dyDescent="0.3">
      <c r="B387" t="str">
        <v>QUISPE VALENCIA DAYANA MARIA</v>
      </c>
    </row>
    <row r="388" spans="2:2" x14ac:dyDescent="0.3">
      <c r="B388" t="str">
        <v>PAREDES LAREDO AMARIN KIOKO</v>
      </c>
    </row>
    <row r="389" spans="2:2" x14ac:dyDescent="0.3">
      <c r="B389" t="str">
        <v>QUISPE YAURIVILCA ELSA HELEN</v>
      </c>
    </row>
    <row r="390" spans="2:2" x14ac:dyDescent="0.3">
      <c r="B390" t="str">
        <v>RIOS CHACCACANTA JOSE ALEXANDER</v>
      </c>
    </row>
    <row r="391" spans="2:2" x14ac:dyDescent="0.3">
      <c r="B391" t="str">
        <v>RIMACHI JESUS BRUCE YORMAN</v>
      </c>
    </row>
    <row r="392" spans="2:2" x14ac:dyDescent="0.3">
      <c r="B392" t="str">
        <v>REYES BARDALES JAIME EDWAR</v>
      </c>
    </row>
    <row r="393" spans="2:2" x14ac:dyDescent="0.3">
      <c r="B393" t="str">
        <v>RAMOS PAUCAR JESSICA SOLEDAD</v>
      </c>
    </row>
    <row r="394" spans="2:2" x14ac:dyDescent="0.3">
      <c r="B394" t="str">
        <v>RAMIREZ TORRES WENDY NAYELI</v>
      </c>
    </row>
    <row r="395" spans="2:2" x14ac:dyDescent="0.3">
      <c r="B395" t="str">
        <v>RAFAEL ANCHELIA SHEYLA MILAGROS</v>
      </c>
    </row>
    <row r="396" spans="2:2" x14ac:dyDescent="0.3">
      <c r="B396" t="str">
        <v>QUIROZ ROSARIO CARLOS</v>
      </c>
    </row>
    <row r="397" spans="2:2" x14ac:dyDescent="0.3">
      <c r="B397" t="str">
        <v>PULACHE SILVA JOEL</v>
      </c>
    </row>
    <row r="398" spans="2:2" x14ac:dyDescent="0.3">
      <c r="B398" t="str">
        <v>PEREZ HUAROTO YURI PAMELA</v>
      </c>
    </row>
    <row r="399" spans="2:2" x14ac:dyDescent="0.3">
      <c r="B399" t="str">
        <v>PERALTA YSIDRO HECTOR NAZARENO</v>
      </c>
    </row>
    <row r="400" spans="2:2" x14ac:dyDescent="0.3">
      <c r="B400" t="str">
        <v>PORRAS TENICELA RUTH</v>
      </c>
    </row>
    <row r="401" spans="2:2" x14ac:dyDescent="0.3">
      <c r="B401" t="str">
        <v>PRADO TAMAYO JULIO ANTONIO</v>
      </c>
    </row>
    <row r="402" spans="2:2" x14ac:dyDescent="0.3">
      <c r="B402" t="str">
        <v>PORRAS LEON GISSELA BEATRIZ</v>
      </c>
    </row>
    <row r="403" spans="2:2" x14ac:dyDescent="0.3">
      <c r="B403" t="str">
        <v>CASTILLO HUAMANI DIEGO SEBASTIAN</v>
      </c>
    </row>
    <row r="404" spans="2:2" x14ac:dyDescent="0.3">
      <c r="B404" t="str">
        <v>BERNUY MARIANO DEYSI ELIZABETH</v>
      </c>
    </row>
    <row r="405" spans="2:2" x14ac:dyDescent="0.3">
      <c r="B405" t="str">
        <v>BLACUD HUAMANI BARDO</v>
      </c>
    </row>
    <row r="406" spans="2:2" x14ac:dyDescent="0.3">
      <c r="B406" t="str">
        <v>BLAS HIJUELA LUIS ENRIQUE</v>
      </c>
    </row>
    <row r="407" spans="2:2" x14ac:dyDescent="0.3">
      <c r="B407" t="str">
        <v>BOCANEGRA PALACIOS JOEL HANS</v>
      </c>
    </row>
    <row r="408" spans="2:2" x14ac:dyDescent="0.3">
      <c r="B408" t="str">
        <v>BERMUDES BARAZORDA PABLO SMITH</v>
      </c>
    </row>
    <row r="409" spans="2:2" x14ac:dyDescent="0.3">
      <c r="B409" t="str">
        <v>BARRIENTOS VALLADOLID MICHAEL ALEX</v>
      </c>
    </row>
    <row r="410" spans="2:2" x14ac:dyDescent="0.3">
      <c r="B410" t="str">
        <v>BAUTISTA CASTILLO CHARLY NILTON</v>
      </c>
    </row>
    <row r="411" spans="2:2" x14ac:dyDescent="0.3">
      <c r="B411" t="str">
        <v>BELTRAN CHICLAYO GIAN CARLOS MANUEL</v>
      </c>
    </row>
    <row r="412" spans="2:2" x14ac:dyDescent="0.3">
      <c r="B412" t="str">
        <v>BENAVENTE RICHARD CYNTHIA KAREN</v>
      </c>
    </row>
    <row r="413" spans="2:2" x14ac:dyDescent="0.3">
      <c r="B413" t="str">
        <v>BENDEZU SANTOS IVAN JHON</v>
      </c>
    </row>
    <row r="414" spans="2:2" x14ac:dyDescent="0.3">
      <c r="B414" t="str">
        <v>BRAVO GOYZUETA JANET SOFIA</v>
      </c>
    </row>
    <row r="415" spans="2:2" x14ac:dyDescent="0.3">
      <c r="B415" t="str">
        <v>BUJAICO MENDEZ EMERSON EVER</v>
      </c>
    </row>
    <row r="416" spans="2:2" x14ac:dyDescent="0.3">
      <c r="B416" t="str">
        <v>CARRERA CHAMBA SANTOS ADALBERTO</v>
      </c>
    </row>
    <row r="417" spans="2:2" x14ac:dyDescent="0.3">
      <c r="B417" t="str">
        <v>CANCHAYA FLORES HECTOR ANDERSON</v>
      </c>
    </row>
    <row r="418" spans="2:2" x14ac:dyDescent="0.3">
      <c r="B418" t="str">
        <v>CAPCHA PRUDENCIO JORDAN ALVARO</v>
      </c>
    </row>
    <row r="419" spans="2:2" x14ac:dyDescent="0.3">
      <c r="B419" t="str">
        <v>CAPCHA PRUDENCIO MILENA JANETH</v>
      </c>
    </row>
    <row r="420" spans="2:2" x14ac:dyDescent="0.3">
      <c r="B420" t="str">
        <v>CAPRISTANO CHAVEZ HERIEN YOEL</v>
      </c>
    </row>
    <row r="421" spans="2:2" x14ac:dyDescent="0.3">
      <c r="B421" t="str">
        <v>CARHUACHIN ZEVALLOS JULIO CESAR</v>
      </c>
    </row>
    <row r="422" spans="2:2" x14ac:dyDescent="0.3">
      <c r="B422" t="str">
        <v>CANALES AGURTO MARIA FRANCISCA</v>
      </c>
    </row>
    <row r="423" spans="2:2" x14ac:dyDescent="0.3">
      <c r="B423" t="str">
        <v>CABALLERO RODRIGUEZ GIANELLA NICOLE</v>
      </c>
    </row>
    <row r="424" spans="2:2" x14ac:dyDescent="0.3">
      <c r="B424" t="str">
        <v>CAMPOS HUAYTA ERIKA ROSARIO</v>
      </c>
    </row>
    <row r="425" spans="2:2" x14ac:dyDescent="0.3">
      <c r="B425" t="str">
        <v>CAMPO ROSALES SINDY GEMINIS</v>
      </c>
    </row>
    <row r="426" spans="2:2" x14ac:dyDescent="0.3">
      <c r="B426" t="str">
        <v>CAMPOS HUAMAN SUSANA</v>
      </c>
    </row>
    <row r="427" spans="2:2" x14ac:dyDescent="0.3">
      <c r="B427" t="str">
        <v>ALCARRAZ HUAMAN JADHIRA ARIEL</v>
      </c>
    </row>
    <row r="428" spans="2:2" x14ac:dyDescent="0.3">
      <c r="B428" t="str">
        <v>ALTAMIRANO ROSAS CINTHYA PAMELA</v>
      </c>
    </row>
    <row r="429" spans="2:2" x14ac:dyDescent="0.3">
      <c r="B429" t="str">
        <v>ALVAREZ ACHAMISO LUIS ISMAEL</v>
      </c>
    </row>
    <row r="430" spans="2:2" x14ac:dyDescent="0.3">
      <c r="B430" t="str">
        <v>AMES MEDRANO GIGI FRANCHESCA</v>
      </c>
    </row>
    <row r="431" spans="2:2" x14ac:dyDescent="0.3">
      <c r="B431" t="str">
        <v>ALEJO VALVERDE JUAN DE DIOS</v>
      </c>
    </row>
    <row r="432" spans="2:2" x14ac:dyDescent="0.3">
      <c r="B432" t="str">
        <v>CASTILLO HUAMANI CYNTHIA NATALY</v>
      </c>
    </row>
    <row r="433" spans="2:2" x14ac:dyDescent="0.3">
      <c r="B433" t="str">
        <v>AGREDA MELGAREJO EVA CLEMENTINA</v>
      </c>
    </row>
    <row r="434" spans="2:2" x14ac:dyDescent="0.3">
      <c r="B434" t="str">
        <v>ADANAQUE VILCHEZ YESSICA PAOLA</v>
      </c>
    </row>
    <row r="435" spans="2:2" x14ac:dyDescent="0.3">
      <c r="B435" t="str">
        <v>ALBERTO MEDINA JOSE MIGUEL</v>
      </c>
    </row>
    <row r="436" spans="2:2" x14ac:dyDescent="0.3">
      <c r="B436" t="str">
        <v>AGUIRRE AMARINGO GARY KENT</v>
      </c>
    </row>
    <row r="437" spans="2:2" x14ac:dyDescent="0.3">
      <c r="B437" t="str">
        <v>ANDAHUA DE LA CRUZ ISABEL</v>
      </c>
    </row>
    <row r="438" spans="2:2" x14ac:dyDescent="0.3">
      <c r="B438" t="str">
        <v>ANTAURCO MENESES NANCY</v>
      </c>
    </row>
    <row r="439" spans="2:2" x14ac:dyDescent="0.3">
      <c r="B439" t="str">
        <v>ANTON FIESTAS ALVA DANIELA VIRGINIA</v>
      </c>
    </row>
    <row r="440" spans="2:2" x14ac:dyDescent="0.3">
      <c r="B440" t="str">
        <v>AYMA HUAMAN JUAN RICARDO</v>
      </c>
    </row>
    <row r="441" spans="2:2" x14ac:dyDescent="0.3">
      <c r="B441" t="str">
        <v>ANTONIO SIGUEÑAS DAVID ELIAS</v>
      </c>
    </row>
    <row r="442" spans="2:2" x14ac:dyDescent="0.3">
      <c r="B442" t="str">
        <v>APAZA ZEVALLOS JESSICA GERALDIN</v>
      </c>
    </row>
    <row r="443" spans="2:2" x14ac:dyDescent="0.3">
      <c r="B443" t="str">
        <v>APOLINARIO MALARIN DIANA CAROLINA</v>
      </c>
    </row>
    <row r="444" spans="2:2" x14ac:dyDescent="0.3">
      <c r="B444" t="str">
        <v>AYQUIPA VENTURA HUMBERTO</v>
      </c>
    </row>
    <row r="445" spans="2:2" x14ac:dyDescent="0.3">
      <c r="B445" t="str">
        <v>CASIMIRO ROJAS YULY SANDRA</v>
      </c>
    </row>
    <row r="446" spans="2:2" x14ac:dyDescent="0.3">
      <c r="B446" t="str">
        <v>CARRERA CHAMBA SEGUNDO LINO</v>
      </c>
    </row>
    <row r="447" spans="2:2" x14ac:dyDescent="0.3">
      <c r="B447" t="str">
        <v>CASTELLO BARRENECHEA PATRICIA ALESSANDRA</v>
      </c>
    </row>
    <row r="448" spans="2:2" x14ac:dyDescent="0.3">
      <c r="B448" t="str">
        <v>GUZMAN ASUNCION JUSTIN ALEXANDER</v>
      </c>
    </row>
    <row r="449" spans="2:2" x14ac:dyDescent="0.3">
      <c r="B449" t="str">
        <v>MENDOZA VILLACRESIS EDUARDO</v>
      </c>
    </row>
  </sheetData>
  <phoneticPr fontId="8" type="noConversion"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</vt:i4>
      </vt:variant>
    </vt:vector>
  </HeadingPairs>
  <TitlesOfParts>
    <vt:vector size="17" baseType="lpstr">
      <vt:lpstr>Trabajadores</vt:lpstr>
      <vt:lpstr>Accidentes</vt:lpstr>
      <vt:lpstr>Atenciones</vt:lpstr>
      <vt:lpstr>Vacunaciones</vt:lpstr>
      <vt:lpstr>STATS</vt:lpstr>
      <vt:lpstr>DASHBOARD_ACCIDENTES</vt:lpstr>
      <vt:lpstr>DASHBOARD_TRABAJADORES</vt:lpstr>
      <vt:lpstr>Seguimiento_Accidentes</vt:lpstr>
      <vt:lpstr>Programaciones</vt:lpstr>
      <vt:lpstr>Historial_Trabajadores</vt:lpstr>
      <vt:lpstr>Capacitaciones</vt:lpstr>
      <vt:lpstr>VMO_Seguimiento</vt:lpstr>
      <vt:lpstr>Registro EMO</vt:lpstr>
      <vt:lpstr>Descansos_Medicos</vt:lpstr>
      <vt:lpstr>Anuncios</vt:lpstr>
      <vt:lpstr>ListasAuxiliares</vt:lpstr>
      <vt:lpstr>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u202111660 (Melgar Puertas, Jose Guillermo)</cp:lastModifiedBy>
  <cp:revision/>
  <dcterms:created xsi:type="dcterms:W3CDTF">2025-12-20T03:49:52Z</dcterms:created>
  <dcterms:modified xsi:type="dcterms:W3CDTF">2026-03-13T01:52:17Z</dcterms:modified>
  <cp:category/>
  <cp:contentStatus/>
</cp:coreProperties>
</file>