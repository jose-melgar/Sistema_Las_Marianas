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C:\Users\Usuario\Desktop\Proyecto Estela\BASE DE DATOS ESTELA\BASES DE DATOS OFICIAL\"/>
    </mc:Choice>
  </mc:AlternateContent>
  <xr:revisionPtr revIDLastSave="0" documentId="13_ncr:1_{CE500E64-2B27-4B7F-8C96-1F4D14BA1621}" xr6:coauthVersionLast="47" xr6:coauthVersionMax="47" xr10:uidLastSave="{00000000-0000-0000-0000-000000000000}"/>
  <bookViews>
    <workbookView xWindow="-108" yWindow="-108" windowWidth="23256" windowHeight="12456" tabRatio="862" activeTab="4" xr2:uid="{00000000-000D-0000-FFFF-FFFF00000000}"/>
  </bookViews>
  <sheets>
    <sheet name="Trabajadores" sheetId="1" r:id="rId1"/>
    <sheet name="Accidentes" sheetId="2" r:id="rId2"/>
    <sheet name="Atenciones" sheetId="3" r:id="rId3"/>
    <sheet name="Vacunaciones" sheetId="6" r:id="rId4"/>
    <sheet name="STATS" sheetId="16" r:id="rId5"/>
    <sheet name="DASHBOARD_ACCIDENTES" sheetId="19" r:id="rId6"/>
    <sheet name="DASHBOARD_TRABAJADORES" sheetId="21" r:id="rId7"/>
    <sheet name="Seguimiento_Accidentes" sheetId="4" r:id="rId8"/>
    <sheet name="Programaciones" sheetId="8" r:id="rId9"/>
    <sheet name="Historial_Trabajadores" sheetId="18" r:id="rId10"/>
    <sheet name="Capacitaciones" sheetId="17" r:id="rId11"/>
    <sheet name="VMO_Seguimiento" sheetId="14" r:id="rId12"/>
    <sheet name="Registro EMO" sheetId="9" r:id="rId13"/>
    <sheet name="Descansos_Medicos" sheetId="11" r:id="rId14"/>
    <sheet name="Anuncios" sheetId="12" r:id="rId15"/>
    <sheet name="ListasAuxiliares" sheetId="13" r:id="rId16"/>
  </sheets>
  <definedNames>
    <definedName name="_xlnm._FilterDatabase" localSheetId="9" hidden="1">Historial_Trabajadores!$A$1:$G$1</definedName>
    <definedName name="_xlnm._FilterDatabase" localSheetId="15" hidden="1">ListasAuxiliares!$C$15:$C$19</definedName>
    <definedName name="_xlnm._FilterDatabase" localSheetId="12" hidden="1">'Registro EMO'!$A$13:$H$52</definedName>
    <definedName name="_xlpm.act" hidden="1" xlm="1">#NAME?</definedName>
    <definedName name="_xlpm.anio_sel" hidden="1" xlm="1">#NAME?</definedName>
    <definedName name="_xlpm.area" hidden="1" xlm="1">#NAME?</definedName>
    <definedName name="_xlpm.conteo" hidden="1" xlm="1">#NAME?</definedName>
    <definedName name="_xlpm.conteos" hidden="1" xlm="1">#NAME?</definedName>
    <definedName name="_xlpm.d" hidden="1" xlm="1">#NAME?</definedName>
    <definedName name="_xlpm.dicc_f" hidden="1" xlm="1">#NAME?</definedName>
    <definedName name="_xlpm.dicc_g" hidden="1" xlm="1">#NAME?</definedName>
    <definedName name="_xlpm.dn" hidden="1" xlm="1">#NAME?</definedName>
    <definedName name="_xlpm.dni_acc" hidden="1" xlm="1">#NAME?</definedName>
    <definedName name="_xlpm.fil" hidden="1" xlm="1">#NAME?</definedName>
    <definedName name="_xlpm.id_h" hidden="1" xlm="1">#NAME?</definedName>
    <definedName name="_xlpm.list" hidden="1" xlm="1">#NAME?</definedName>
    <definedName name="_xlpm.lista" hidden="1" xlm="1">#NAME?</definedName>
    <definedName name="_xlpm.lista_areas" hidden="1" xlm="1">#NAME?</definedName>
    <definedName name="_xlpm.lista_descripciones" hidden="1" xlm="1">#NAME?</definedName>
    <definedName name="_xlpm.lista_dni" hidden="1" xlm="1">#NAME?</definedName>
    <definedName name="_xlpm.lista_mapeada" hidden="1" xlm="1">#NAME?</definedName>
    <definedName name="_xlpm.lista_perfiles" hidden="1" xlm="1">#NAME?</definedName>
    <definedName name="_xlpm.m" hidden="1" xlm="1">#NAME?</definedName>
    <definedName name="_xlpm.mes_num" hidden="1" xlm="1">#NAME?</definedName>
    <definedName name="_xlpm.o" hidden="1" xlm="1">#NAME?</definedName>
    <definedName name="_xlpm.obra_sel" hidden="1" xlm="1">#NAME?</definedName>
    <definedName name="_xlpm.p" hidden="1" xlm="1">#NAME?</definedName>
    <definedName name="_xlpm.perfiles_unicos" hidden="1" xlm="1">#NAME?</definedName>
    <definedName name="_xlpm.resultado" hidden="1" xlm="1">#NAME?</definedName>
    <definedName name="_xlpm.t" hidden="1" xlm="1">#NAME?</definedName>
    <definedName name="_xlpm.tp" hidden="1" xlm="1">#NAME?</definedName>
    <definedName name="_xlpm.u" hidden="1" xlm="1">#NAME?</definedName>
    <definedName name="_xlpm.ultima_fecha" hidden="1" xlm="1">#NAME?</definedName>
    <definedName name="_xlpm.ut" hidden="1" xlm="1">#NAME?</definedName>
    <definedName name="_xlpm.x" hidden="1" xlm="1">#NAME?</definedName>
    <definedName name="MES">ListasAuxiliares!$C:$C</definedName>
    <definedName name="SegmentaciónDeDatos_AÑO">#N/A</definedName>
    <definedName name="SegmentaciónDeDatos_MES">#N/A</definedName>
    <definedName name="SegmentaciónDeDatos_OBRA1">#N/A</definedName>
  </definedNames>
  <calcPr calcId="191028"/>
  <pivotCaches>
    <pivotCache cacheId="0" r:id="rId17"/>
    <pivotCache cacheId="1" r:id="rId18"/>
    <pivotCache cacheId="2"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7" i="16" l="1" a="1"/>
  <c r="J7" i="16" s="1"/>
  <c r="L7" i="16" a="1"/>
  <c r="L7" i="16" s="1"/>
  <c r="A14" i="9" l="1"/>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35" i="1"/>
  <c r="A36" i="1"/>
  <c r="A37" i="1"/>
  <c r="A38" i="1"/>
  <c r="A39" i="1"/>
  <c r="A40" i="1"/>
  <c r="A41" i="1"/>
  <c r="E35" i="1"/>
  <c r="E36" i="1"/>
  <c r="E37" i="1"/>
  <c r="E38" i="1"/>
  <c r="E39" i="1"/>
  <c r="E40" i="1"/>
  <c r="E41" i="1"/>
  <c r="M35" i="1" a="1"/>
  <c r="M35" i="1" s="1"/>
  <c r="Q35" i="1" s="1"/>
  <c r="M36" i="1" a="1"/>
  <c r="M36" i="1" s="1"/>
  <c r="Q36" i="1" s="1"/>
  <c r="M37" i="1" a="1"/>
  <c r="M37" i="1" s="1"/>
  <c r="Q37" i="1" s="1"/>
  <c r="M38" i="1" a="1"/>
  <c r="M38" i="1" s="1"/>
  <c r="Q38" i="1" s="1"/>
  <c r="M39" i="1" a="1"/>
  <c r="M39" i="1" s="1"/>
  <c r="Q39" i="1" s="1"/>
  <c r="M40" i="1" a="1"/>
  <c r="M40" i="1" s="1"/>
  <c r="Q40" i="1" s="1"/>
  <c r="M41" i="1" a="1"/>
  <c r="M41" i="1" s="1"/>
  <c r="Q41" i="1" s="1"/>
  <c r="N35" i="1" a="1"/>
  <c r="N35" i="1" s="1"/>
  <c r="N36" i="1" a="1"/>
  <c r="N36" i="1" s="1"/>
  <c r="N37" i="1" a="1"/>
  <c r="N37" i="1" s="1"/>
  <c r="N38" i="1" a="1"/>
  <c r="N38" i="1" s="1"/>
  <c r="N39" i="1" a="1"/>
  <c r="N39" i="1" s="1"/>
  <c r="N40" i="1" a="1"/>
  <c r="N40" i="1" s="1"/>
  <c r="N41" i="1" a="1"/>
  <c r="N41" i="1" s="1"/>
  <c r="P35" i="1" a="1"/>
  <c r="P35" i="1" s="1"/>
  <c r="O35" i="1" s="1"/>
  <c r="P36" i="1" a="1"/>
  <c r="P36" i="1" s="1"/>
  <c r="O36" i="1" s="1"/>
  <c r="P37" i="1" a="1"/>
  <c r="P37" i="1" s="1"/>
  <c r="O37" i="1" s="1"/>
  <c r="P38" i="1" a="1"/>
  <c r="P38" i="1" s="1"/>
  <c r="O38" i="1" s="1"/>
  <c r="P39" i="1" a="1"/>
  <c r="P39" i="1" s="1"/>
  <c r="O39" i="1" s="1"/>
  <c r="P40" i="1" a="1"/>
  <c r="P40" i="1" s="1"/>
  <c r="O40" i="1" s="1"/>
  <c r="P41" i="1" a="1"/>
  <c r="P41" i="1" s="1"/>
  <c r="O41" i="1" s="1"/>
  <c r="T35" i="1"/>
  <c r="T36" i="1"/>
  <c r="T37" i="1"/>
  <c r="T38" i="1"/>
  <c r="T39" i="1"/>
  <c r="T40" i="1"/>
  <c r="T41" i="1"/>
  <c r="A27" i="1" l="1"/>
  <c r="A28" i="1"/>
  <c r="A29" i="1"/>
  <c r="A30" i="1"/>
  <c r="A31" i="1"/>
  <c r="A32" i="1"/>
  <c r="A33" i="1"/>
  <c r="A34" i="1"/>
  <c r="E27" i="1"/>
  <c r="E28" i="1"/>
  <c r="E29" i="1"/>
  <c r="E30" i="1"/>
  <c r="E31" i="1"/>
  <c r="E32" i="1"/>
  <c r="E33" i="1"/>
  <c r="E34" i="1"/>
  <c r="M27" i="1" a="1"/>
  <c r="M27" i="1" s="1"/>
  <c r="Q27" i="1" s="1"/>
  <c r="M28" i="1" a="1"/>
  <c r="M28" i="1" s="1"/>
  <c r="Q28" i="1" s="1"/>
  <c r="M29" i="1" a="1"/>
  <c r="M29" i="1" s="1"/>
  <c r="Q29" i="1" s="1"/>
  <c r="M30" i="1" a="1"/>
  <c r="M30" i="1" s="1"/>
  <c r="Q30" i="1" s="1"/>
  <c r="M31" i="1" a="1"/>
  <c r="M31" i="1" s="1"/>
  <c r="Q31" i="1" s="1"/>
  <c r="M32" i="1" a="1"/>
  <c r="M32" i="1" s="1"/>
  <c r="Q32" i="1" s="1"/>
  <c r="M33" i="1" a="1"/>
  <c r="M33" i="1" s="1"/>
  <c r="Q33" i="1" s="1"/>
  <c r="M34" i="1" a="1"/>
  <c r="M34" i="1" s="1"/>
  <c r="Q34" i="1" s="1"/>
  <c r="N27" i="1" a="1"/>
  <c r="N27" i="1" s="1"/>
  <c r="N28" i="1" a="1"/>
  <c r="N28" i="1" s="1"/>
  <c r="N29" i="1" a="1"/>
  <c r="N29" i="1" s="1"/>
  <c r="N30" i="1" a="1"/>
  <c r="N30" i="1" s="1"/>
  <c r="N31" i="1" a="1"/>
  <c r="N31" i="1" s="1"/>
  <c r="N32" i="1" a="1"/>
  <c r="N32" i="1" s="1"/>
  <c r="N33" i="1" a="1"/>
  <c r="N33" i="1" s="1"/>
  <c r="N34" i="1" a="1"/>
  <c r="N34" i="1" s="1"/>
  <c r="P27" i="1" a="1"/>
  <c r="P27" i="1" s="1"/>
  <c r="O27" i="1" s="1"/>
  <c r="P28" i="1" a="1"/>
  <c r="P28" i="1" s="1"/>
  <c r="O28" i="1" s="1"/>
  <c r="P29" i="1" a="1"/>
  <c r="P29" i="1" s="1"/>
  <c r="O29" i="1" s="1"/>
  <c r="P30" i="1" a="1"/>
  <c r="P30" i="1" s="1"/>
  <c r="O30" i="1" s="1"/>
  <c r="P31" i="1" a="1"/>
  <c r="P31" i="1" s="1"/>
  <c r="O31" i="1" s="1"/>
  <c r="P32" i="1" a="1"/>
  <c r="P32" i="1" s="1"/>
  <c r="O32" i="1" s="1"/>
  <c r="P33" i="1" a="1"/>
  <c r="P33" i="1" s="1"/>
  <c r="O33" i="1" s="1"/>
  <c r="P34" i="1" a="1"/>
  <c r="P34" i="1" s="1"/>
  <c r="O34" i="1" s="1"/>
  <c r="T27" i="1"/>
  <c r="T28" i="1"/>
  <c r="T29" i="1"/>
  <c r="T30" i="1"/>
  <c r="T31" i="1"/>
  <c r="T32" i="1"/>
  <c r="T33" i="1"/>
  <c r="T34" i="1"/>
  <c r="A3" i="1"/>
  <c r="A4" i="1"/>
  <c r="A5" i="1"/>
  <c r="A6" i="1"/>
  <c r="A7" i="1"/>
  <c r="A8" i="1"/>
  <c r="A9" i="1"/>
  <c r="A10" i="1"/>
  <c r="A11" i="1"/>
  <c r="A12" i="1"/>
  <c r="A13" i="1"/>
  <c r="A14" i="1"/>
  <c r="A15" i="1"/>
  <c r="A16" i="1"/>
  <c r="A17" i="1"/>
  <c r="A18" i="1"/>
  <c r="A19" i="1"/>
  <c r="A20" i="1"/>
  <c r="A21" i="1"/>
  <c r="A22" i="1"/>
  <c r="A23" i="1"/>
  <c r="A24" i="1"/>
  <c r="A25" i="1"/>
  <c r="A26" i="1"/>
  <c r="E3" i="1"/>
  <c r="E4" i="1"/>
  <c r="E5" i="1"/>
  <c r="E6" i="1"/>
  <c r="E7" i="1"/>
  <c r="E8" i="1"/>
  <c r="E9" i="1"/>
  <c r="E10" i="1"/>
  <c r="E11" i="1"/>
  <c r="E12" i="1"/>
  <c r="E13" i="1"/>
  <c r="E14" i="1"/>
  <c r="E15" i="1"/>
  <c r="E16" i="1"/>
  <c r="E17" i="1"/>
  <c r="E18" i="1"/>
  <c r="E19" i="1"/>
  <c r="E20" i="1"/>
  <c r="E21" i="1"/>
  <c r="E22" i="1"/>
  <c r="E23" i="1"/>
  <c r="E24" i="1"/>
  <c r="E25" i="1"/>
  <c r="E26" i="1"/>
  <c r="M3" i="1" a="1"/>
  <c r="M3" i="1" s="1"/>
  <c r="Q3" i="1" s="1"/>
  <c r="M4" i="1" a="1"/>
  <c r="M4" i="1" s="1"/>
  <c r="Q4" i="1" s="1"/>
  <c r="M5" i="1" a="1"/>
  <c r="M5" i="1" s="1"/>
  <c r="Q5" i="1" s="1"/>
  <c r="M6" i="1" a="1"/>
  <c r="M6" i="1" s="1"/>
  <c r="Q6" i="1" s="1"/>
  <c r="M7" i="1" a="1"/>
  <c r="M7" i="1" s="1"/>
  <c r="Q7" i="1" s="1"/>
  <c r="M8" i="1" a="1"/>
  <c r="M8" i="1" s="1"/>
  <c r="Q8" i="1" s="1"/>
  <c r="M9" i="1" a="1"/>
  <c r="M9" i="1" s="1"/>
  <c r="Q9" i="1" s="1"/>
  <c r="M10" i="1" a="1"/>
  <c r="M10" i="1" s="1"/>
  <c r="Q10" i="1" s="1"/>
  <c r="M11" i="1" a="1"/>
  <c r="M11" i="1" s="1"/>
  <c r="Q11" i="1" s="1"/>
  <c r="M12" i="1" a="1"/>
  <c r="M12" i="1" s="1"/>
  <c r="Q12" i="1" s="1"/>
  <c r="M13" i="1" a="1"/>
  <c r="M13" i="1" s="1"/>
  <c r="Q13" i="1" s="1"/>
  <c r="M14" i="1" a="1"/>
  <c r="M14" i="1" s="1"/>
  <c r="Q14" i="1" s="1"/>
  <c r="M15" i="1" a="1"/>
  <c r="M15" i="1" s="1"/>
  <c r="Q15" i="1" s="1"/>
  <c r="M16" i="1" a="1"/>
  <c r="M16" i="1" s="1"/>
  <c r="Q16" i="1" s="1"/>
  <c r="M17" i="1" a="1"/>
  <c r="M17" i="1" s="1"/>
  <c r="Q17" i="1" s="1"/>
  <c r="M18" i="1" a="1"/>
  <c r="M18" i="1" s="1"/>
  <c r="Q18" i="1" s="1"/>
  <c r="M19" i="1" a="1"/>
  <c r="M19" i="1" s="1"/>
  <c r="Q19" i="1" s="1"/>
  <c r="M20" i="1" a="1"/>
  <c r="M20" i="1" s="1"/>
  <c r="Q20" i="1" s="1"/>
  <c r="M21" i="1" a="1"/>
  <c r="M21" i="1" s="1"/>
  <c r="Q21" i="1" s="1"/>
  <c r="M22" i="1" a="1"/>
  <c r="M22" i="1" s="1"/>
  <c r="Q22" i="1" s="1"/>
  <c r="M23" i="1" a="1"/>
  <c r="M23" i="1" s="1"/>
  <c r="Q23" i="1" s="1"/>
  <c r="M24" i="1" a="1"/>
  <c r="M24" i="1" s="1"/>
  <c r="Q24" i="1" s="1"/>
  <c r="M25" i="1" a="1"/>
  <c r="M25" i="1" s="1"/>
  <c r="Q25" i="1" s="1"/>
  <c r="M26" i="1" a="1"/>
  <c r="M26" i="1" s="1"/>
  <c r="Q26" i="1" s="1"/>
  <c r="N3" i="1" a="1"/>
  <c r="N3" i="1" s="1"/>
  <c r="N4" i="1" a="1"/>
  <c r="N4" i="1" s="1"/>
  <c r="N5" i="1" a="1"/>
  <c r="N5" i="1" s="1"/>
  <c r="N6" i="1" a="1"/>
  <c r="N6"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22" i="1" a="1"/>
  <c r="N22" i="1" s="1"/>
  <c r="N23" i="1" a="1"/>
  <c r="N23" i="1" s="1"/>
  <c r="N24" i="1" a="1"/>
  <c r="N24" i="1" s="1"/>
  <c r="N25" i="1" a="1"/>
  <c r="N25" i="1" s="1"/>
  <c r="N26" i="1" a="1"/>
  <c r="N26" i="1" s="1"/>
  <c r="P3" i="1" a="1"/>
  <c r="P3" i="1" s="1"/>
  <c r="O3" i="1" s="1"/>
  <c r="P4" i="1" a="1"/>
  <c r="P4" i="1" s="1"/>
  <c r="O4" i="1" s="1"/>
  <c r="P5" i="1" a="1"/>
  <c r="P5" i="1" s="1"/>
  <c r="O5" i="1" s="1"/>
  <c r="P6" i="1" a="1"/>
  <c r="P6" i="1" s="1"/>
  <c r="O6" i="1" s="1"/>
  <c r="P7" i="1" a="1"/>
  <c r="P7" i="1" s="1"/>
  <c r="O7" i="1" s="1"/>
  <c r="P8" i="1" a="1"/>
  <c r="P8" i="1" s="1"/>
  <c r="O8" i="1" s="1"/>
  <c r="P9" i="1" a="1"/>
  <c r="P9" i="1" s="1"/>
  <c r="O9" i="1" s="1"/>
  <c r="P10" i="1" a="1"/>
  <c r="P10" i="1" s="1"/>
  <c r="O10" i="1" s="1"/>
  <c r="P11" i="1" a="1"/>
  <c r="P11" i="1" s="1"/>
  <c r="O11" i="1" s="1"/>
  <c r="P12" i="1" a="1"/>
  <c r="P12" i="1" s="1"/>
  <c r="O12" i="1" s="1"/>
  <c r="P13" i="1" a="1"/>
  <c r="P13" i="1" s="1"/>
  <c r="O13" i="1" s="1"/>
  <c r="P14" i="1" a="1"/>
  <c r="P14" i="1" s="1"/>
  <c r="O14" i="1" s="1"/>
  <c r="P15" i="1" a="1"/>
  <c r="P15" i="1" s="1"/>
  <c r="O15" i="1" s="1"/>
  <c r="P16" i="1" a="1"/>
  <c r="P16" i="1" s="1"/>
  <c r="O16" i="1" s="1"/>
  <c r="P17" i="1" a="1"/>
  <c r="P17" i="1" s="1"/>
  <c r="O17" i="1" s="1"/>
  <c r="P18" i="1" a="1"/>
  <c r="P18" i="1" s="1"/>
  <c r="O18" i="1" s="1"/>
  <c r="P19" i="1" a="1"/>
  <c r="P19" i="1" s="1"/>
  <c r="O19" i="1" s="1"/>
  <c r="P20" i="1" a="1"/>
  <c r="P20" i="1" s="1"/>
  <c r="O20" i="1" s="1"/>
  <c r="P21" i="1" a="1"/>
  <c r="P21" i="1" s="1"/>
  <c r="O21" i="1" s="1"/>
  <c r="P22" i="1" a="1"/>
  <c r="P22" i="1" s="1"/>
  <c r="O22" i="1" s="1"/>
  <c r="P23" i="1" a="1"/>
  <c r="P23" i="1" s="1"/>
  <c r="O23" i="1" s="1"/>
  <c r="P24" i="1" a="1"/>
  <c r="P24" i="1" s="1"/>
  <c r="O24" i="1" s="1"/>
  <c r="P25" i="1" a="1"/>
  <c r="P25" i="1" s="1"/>
  <c r="O25" i="1" s="1"/>
  <c r="P26" i="1" a="1"/>
  <c r="P26" i="1" s="1"/>
  <c r="O26" i="1" s="1"/>
  <c r="T3" i="1"/>
  <c r="T4" i="1"/>
  <c r="T5" i="1"/>
  <c r="T6" i="1"/>
  <c r="T7" i="1"/>
  <c r="T8" i="1"/>
  <c r="T9" i="1"/>
  <c r="T10" i="1"/>
  <c r="T11" i="1"/>
  <c r="T12" i="1"/>
  <c r="T13" i="1"/>
  <c r="T14" i="1"/>
  <c r="T15" i="1"/>
  <c r="T16" i="1"/>
  <c r="T17" i="1"/>
  <c r="T18" i="1"/>
  <c r="T19" i="1"/>
  <c r="T20" i="1"/>
  <c r="T21" i="1"/>
  <c r="T22" i="1"/>
  <c r="T23" i="1"/>
  <c r="T24" i="1"/>
  <c r="T25" i="1"/>
  <c r="T26" i="1"/>
  <c r="E2" i="1"/>
  <c r="A4" i="2" l="1"/>
  <c r="A3" i="2"/>
  <c r="G8" i="16"/>
  <c r="P2" i="1" l="1" a="1"/>
  <c r="P2" i="1" s="1"/>
  <c r="T2" i="1" l="1"/>
  <c r="A13" i="9"/>
  <c r="O2" i="1" l="1"/>
  <c r="A2" i="1"/>
  <c r="F11" i="16" l="1" a="1"/>
  <c r="F11" i="16" s="1"/>
  <c r="F8" i="16" a="1"/>
  <c r="F8" i="16" s="1"/>
  <c r="F10" i="16" a="1"/>
  <c r="F10" i="16" s="1"/>
  <c r="F9" i="16" a="1"/>
  <c r="F9" i="16" s="1"/>
  <c r="F7" i="16" a="1"/>
  <c r="F7" i="16" s="1"/>
  <c r="F14" i="16" a="1"/>
  <c r="F14" i="16" s="1"/>
  <c r="F16" i="16" a="1"/>
  <c r="F16" i="16" s="1"/>
  <c r="F15" i="16" a="1"/>
  <c r="F15" i="16" s="1"/>
  <c r="F6" i="16" a="1"/>
  <c r="F6" i="16" s="1"/>
  <c r="F13" i="16" a="1"/>
  <c r="F13" i="16" s="1"/>
  <c r="F5" i="16" a="1"/>
  <c r="F5" i="16" s="1"/>
  <c r="F12" i="16" a="1"/>
  <c r="F12" i="16" s="1"/>
  <c r="I2" i="11"/>
  <c r="M2" i="1" l="1" a="1"/>
  <c r="M2" i="1" s="1"/>
  <c r="N2" i="1" a="1"/>
  <c r="N2" i="1" s="1"/>
  <c r="K7" i="16" l="1"/>
  <c r="I7" i="16" a="1"/>
  <c r="I7" i="16" s="1"/>
  <c r="D15" i="16" a="1"/>
  <c r="D15" i="16" s="1"/>
  <c r="D7" i="16" a="1"/>
  <c r="D7" i="16" s="1"/>
  <c r="D14" i="16" a="1"/>
  <c r="D14" i="16" s="1"/>
  <c r="D6" i="16" a="1"/>
  <c r="D6" i="16" s="1"/>
  <c r="D13" i="16" a="1"/>
  <c r="D13" i="16" s="1"/>
  <c r="D12" i="16" a="1"/>
  <c r="D12" i="16" s="1"/>
  <c r="D8" i="16" a="1"/>
  <c r="D8" i="16" s="1"/>
  <c r="D11" i="16" a="1"/>
  <c r="D11" i="16" s="1"/>
  <c r="D10" i="16" a="1"/>
  <c r="D10" i="16" s="1"/>
  <c r="D9" i="16" a="1"/>
  <c r="D9" i="16" s="1"/>
  <c r="Q2" i="1"/>
  <c r="H8" i="16"/>
  <c r="I1" i="13" a="1"/>
  <c r="I1" i="13" s="1"/>
  <c r="A1" i="16"/>
  <c r="E1" i="13" a="1"/>
  <c r="E1" i="13" s="1"/>
  <c r="J11" i="16" l="1" a="1"/>
  <c r="J11" i="16" s="1"/>
  <c r="C14" i="16" a="1"/>
  <c r="C14" i="16" s="1"/>
  <c r="E14" i="16" s="1"/>
  <c r="C6" i="16" a="1"/>
  <c r="C6" i="16" s="1"/>
  <c r="E6" i="16" s="1"/>
  <c r="C13" i="16" a="1"/>
  <c r="C13" i="16" s="1"/>
  <c r="E13" i="16" s="1"/>
  <c r="B75" i="16" a="1"/>
  <c r="B75" i="16" s="1"/>
  <c r="C12" i="16" a="1"/>
  <c r="C12" i="16" s="1"/>
  <c r="E12" i="16" s="1"/>
  <c r="B16" i="16" a="1"/>
  <c r="B16" i="16" s="1"/>
  <c r="B8" i="16" a="1"/>
  <c r="B8" i="16" s="1"/>
  <c r="C72" i="16" a="1"/>
  <c r="C72" i="16" s="1"/>
  <c r="C11" i="16" a="1"/>
  <c r="C11" i="16" s="1"/>
  <c r="E11" i="16" s="1"/>
  <c r="B15" i="16" a="1"/>
  <c r="B15" i="16" s="1"/>
  <c r="B7" i="16" a="1"/>
  <c r="B7" i="16" s="1"/>
  <c r="B11" i="16" a="1"/>
  <c r="B11" i="16" s="1"/>
  <c r="C5" i="16" a="1"/>
  <c r="C5" i="16" s="1"/>
  <c r="C10" i="16" a="1"/>
  <c r="C10" i="16" s="1"/>
  <c r="E10" i="16" s="1"/>
  <c r="B14" i="16" a="1"/>
  <c r="B14" i="16" s="1"/>
  <c r="B6" i="16" a="1"/>
  <c r="B6" i="16" s="1"/>
  <c r="B9" i="16" a="1"/>
  <c r="B9" i="16" s="1"/>
  <c r="B5" i="16" a="1"/>
  <c r="B5" i="16" s="1"/>
  <c r="C9" i="16" a="1"/>
  <c r="C9" i="16" s="1"/>
  <c r="E9" i="16" s="1"/>
  <c r="B13" i="16" a="1"/>
  <c r="B13" i="16" s="1"/>
  <c r="C16" i="16" a="1"/>
  <c r="C16" i="16" s="1"/>
  <c r="C17" i="16" s="1"/>
  <c r="C8" i="16" a="1"/>
  <c r="C8" i="16" s="1"/>
  <c r="E8" i="16" s="1"/>
  <c r="B12" i="16" a="1"/>
  <c r="B12" i="16" s="1"/>
  <c r="C15" i="16" a="1"/>
  <c r="C15" i="16" s="1"/>
  <c r="E15" i="16" s="1"/>
  <c r="C7" i="16" a="1"/>
  <c r="C7" i="16" s="1"/>
  <c r="E7" i="16" s="1"/>
  <c r="B10" i="16" a="1"/>
  <c r="B10" i="16" s="1"/>
  <c r="D5" i="16" a="1"/>
  <c r="D5" i="16" s="1"/>
  <c r="D16" i="16" a="1"/>
  <c r="D16" i="16" s="1"/>
  <c r="C48" i="16" a="1"/>
  <c r="C48" i="16" s="1"/>
  <c r="G7" i="16" a="1"/>
  <c r="G7" i="16" s="1"/>
  <c r="B48" i="16" a="1"/>
  <c r="B48" i="16" s="1"/>
  <c r="B22" i="16" a="1"/>
  <c r="B22" i="16" s="1"/>
  <c r="B21" i="16" a="1"/>
  <c r="B21" i="16" s="1"/>
  <c r="I9" i="16" a="1"/>
  <c r="I9" i="16" s="1"/>
  <c r="C49" i="16" a="1"/>
  <c r="C49" i="16" s="1"/>
  <c r="H7" i="16" a="1"/>
  <c r="H7" i="16" s="1"/>
  <c r="B49" i="16" a="1"/>
  <c r="B49" i="16" s="1"/>
  <c r="K14" i="16" a="1"/>
  <c r="K14" i="16" s="1"/>
  <c r="B32" i="16" a="1"/>
  <c r="B32" i="16" s="1"/>
  <c r="C32" i="16" a="1"/>
  <c r="C32" i="16" s="1"/>
  <c r="B31" i="16" a="1"/>
  <c r="B31" i="16" s="1"/>
  <c r="C31" i="16" a="1"/>
  <c r="C31" i="16" s="1"/>
  <c r="B30" i="16" a="1"/>
  <c r="B30" i="16" s="1"/>
  <c r="C30" i="16" a="1"/>
  <c r="C30" i="16" s="1"/>
  <c r="B29" i="16" a="1"/>
  <c r="B29" i="16" s="1"/>
  <c r="C29" i="16" a="1"/>
  <c r="C29" i="16" s="1"/>
  <c r="B28" i="16" a="1"/>
  <c r="B28" i="16" s="1"/>
  <c r="C28" i="16" a="1"/>
  <c r="C28" i="16" s="1"/>
  <c r="B27" i="16" a="1"/>
  <c r="B27" i="16" s="1"/>
  <c r="C27" i="16" a="1"/>
  <c r="C27" i="16" s="1"/>
  <c r="D21" i="16" a="1"/>
  <c r="D21" i="16" s="1"/>
  <c r="D22" i="16" a="1"/>
  <c r="D22" i="16" s="1"/>
  <c r="L11" i="16" a="1"/>
  <c r="L11" i="16" s="1"/>
  <c r="K11" i="16" a="1"/>
  <c r="K11" i="16" s="1"/>
  <c r="J39" i="16" a="1"/>
  <c r="J39" i="16" s="1"/>
  <c r="I39" i="16" a="1"/>
  <c r="I39" i="16" s="1"/>
  <c r="C39" i="16" a="1"/>
  <c r="C39" i="16" s="1"/>
  <c r="H39" i="16" a="1"/>
  <c r="H39" i="16" s="1"/>
  <c r="G39" i="16" a="1"/>
  <c r="G39" i="16" s="1"/>
  <c r="B39" i="16" a="1"/>
  <c r="B39" i="16" s="1"/>
  <c r="E39" i="16" a="1"/>
  <c r="E39" i="16" s="1"/>
  <c r="D39" i="16" a="1"/>
  <c r="D39" i="16" s="1"/>
  <c r="K17" i="16" a="1"/>
  <c r="K17" i="16" s="1"/>
  <c r="M11" i="16" a="1"/>
  <c r="M11" i="16" s="1"/>
  <c r="I11" i="16" a="1"/>
  <c r="I11" i="16" s="1"/>
  <c r="M9" i="16" a="1"/>
  <c r="M9" i="16" s="1"/>
  <c r="O9" i="16" a="1"/>
  <c r="O9" i="16" s="1"/>
  <c r="T6" i="16" a="1"/>
  <c r="T6" i="16" s="1"/>
  <c r="J9" i="16" a="1"/>
  <c r="J9" i="16" s="1"/>
  <c r="Q9" i="16" a="1"/>
  <c r="Q9" i="16" s="1"/>
  <c r="D17" i="16" l="1"/>
  <c r="E16" i="16"/>
  <c r="E5" i="16"/>
  <c r="D23" i="16"/>
  <c r="X7" i="16"/>
  <c r="X15" i="16"/>
  <c r="X12" i="16"/>
  <c r="X13" i="16"/>
  <c r="X14" i="16"/>
  <c r="X8" i="16"/>
  <c r="X9" i="16"/>
  <c r="X10" i="16"/>
  <c r="X11" i="16"/>
  <c r="N9" i="16"/>
  <c r="B17" i="16"/>
  <c r="A2" i="8"/>
  <c r="A2" i="12"/>
  <c r="A2" i="3"/>
  <c r="B1" i="13" a="1"/>
  <c r="B1" i="13" s="1"/>
  <c r="K39" i="16" l="1"/>
  <c r="F39" i="16"/>
  <c r="F21" i="16" a="1"/>
  <c r="F21" i="16" s="1"/>
  <c r="A2" i="17"/>
  <c r="G8" i="9"/>
  <c r="F63" i="16" l="1" a="1"/>
  <c r="F63" i="16" s="1"/>
  <c r="E66" i="16" a="1"/>
  <c r="E66" i="16" s="1"/>
  <c r="E58" i="16" a="1"/>
  <c r="E58" i="16" s="1"/>
  <c r="D61" i="16" a="1"/>
  <c r="D61" i="16" s="1"/>
  <c r="C64" i="16" a="1"/>
  <c r="C64" i="16" s="1"/>
  <c r="B61" i="16" a="1"/>
  <c r="B61" i="16" s="1"/>
  <c r="B65" i="16" a="1"/>
  <c r="B65" i="16" s="1"/>
  <c r="B80" i="16" a="1"/>
  <c r="B80" i="16" s="1"/>
  <c r="F62" i="16" a="1"/>
  <c r="F62" i="16" s="1"/>
  <c r="E65" i="16" a="1"/>
  <c r="E65" i="16" s="1"/>
  <c r="D68" i="16" a="1"/>
  <c r="D68" i="16" s="1"/>
  <c r="D60" i="16" a="1"/>
  <c r="D60" i="16" s="1"/>
  <c r="C63" i="16" a="1"/>
  <c r="C63" i="16" s="1"/>
  <c r="E57" i="16" a="1"/>
  <c r="E57" i="16" s="1"/>
  <c r="B64" i="16" a="1"/>
  <c r="B64" i="16" s="1"/>
  <c r="B79" i="16" a="1"/>
  <c r="B79" i="16" s="1"/>
  <c r="F61" i="16" a="1"/>
  <c r="F61" i="16" s="1"/>
  <c r="E64" i="16" a="1"/>
  <c r="E64" i="16" s="1"/>
  <c r="D67" i="16" a="1"/>
  <c r="D67" i="16" s="1"/>
  <c r="D59" i="16" a="1"/>
  <c r="D59" i="16" s="1"/>
  <c r="C62" i="16" a="1"/>
  <c r="C62" i="16" s="1"/>
  <c r="F57" i="16" a="1"/>
  <c r="F57" i="16" s="1"/>
  <c r="B63" i="16" a="1"/>
  <c r="B63" i="16" s="1"/>
  <c r="B78" i="16" a="1"/>
  <c r="B78" i="16" s="1"/>
  <c r="F68" i="16" a="1"/>
  <c r="F68" i="16" s="1"/>
  <c r="F60" i="16" a="1"/>
  <c r="F60" i="16" s="1"/>
  <c r="E63" i="16" a="1"/>
  <c r="E63" i="16" s="1"/>
  <c r="D66" i="16" a="1"/>
  <c r="D66" i="16" s="1"/>
  <c r="D58" i="16" a="1"/>
  <c r="D58" i="16" s="1"/>
  <c r="C61" i="16" a="1"/>
  <c r="C61" i="16" s="1"/>
  <c r="D57" i="16" a="1"/>
  <c r="D57" i="16" s="1"/>
  <c r="B62" i="16" a="1"/>
  <c r="B62" i="16" s="1"/>
  <c r="B77" i="16" a="1"/>
  <c r="B77" i="16" s="1"/>
  <c r="F67" i="16" a="1"/>
  <c r="F67" i="16" s="1"/>
  <c r="F59" i="16" a="1"/>
  <c r="F59" i="16" s="1"/>
  <c r="E62" i="16" a="1"/>
  <c r="E62" i="16" s="1"/>
  <c r="D65" i="16" a="1"/>
  <c r="D65" i="16" s="1"/>
  <c r="C68" i="16" a="1"/>
  <c r="C68" i="16" s="1"/>
  <c r="C60" i="16" a="1"/>
  <c r="C60" i="16" s="1"/>
  <c r="C57" i="16" a="1"/>
  <c r="C57" i="16" s="1"/>
  <c r="B60" i="16" a="1"/>
  <c r="B60" i="16" s="1"/>
  <c r="B76" i="16" a="1"/>
  <c r="B76" i="16" s="1"/>
  <c r="F66" i="16" a="1"/>
  <c r="F66" i="16" s="1"/>
  <c r="F58" i="16" a="1"/>
  <c r="F58" i="16" s="1"/>
  <c r="E61" i="16" a="1"/>
  <c r="E61" i="16" s="1"/>
  <c r="D64" i="16" a="1"/>
  <c r="D64" i="16" s="1"/>
  <c r="C67" i="16" a="1"/>
  <c r="C67" i="16" s="1"/>
  <c r="C59" i="16" a="1"/>
  <c r="C59" i="16" s="1"/>
  <c r="B68" i="16" a="1"/>
  <c r="B68" i="16" s="1"/>
  <c r="B59" i="16" a="1"/>
  <c r="B59" i="16" s="1"/>
  <c r="F65" i="16" a="1"/>
  <c r="F65" i="16" s="1"/>
  <c r="E68" i="16" a="1"/>
  <c r="E68" i="16" s="1"/>
  <c r="E60" i="16" a="1"/>
  <c r="E60" i="16" s="1"/>
  <c r="D63" i="16" a="1"/>
  <c r="D63" i="16" s="1"/>
  <c r="C66" i="16" a="1"/>
  <c r="C66" i="16" s="1"/>
  <c r="C58" i="16" a="1"/>
  <c r="C58" i="16" s="1"/>
  <c r="B67" i="16" a="1"/>
  <c r="B67" i="16" s="1"/>
  <c r="B58" i="16" a="1"/>
  <c r="B58" i="16" s="1"/>
  <c r="F64" i="16" a="1"/>
  <c r="F64" i="16" s="1"/>
  <c r="E67" i="16" a="1"/>
  <c r="E67" i="16" s="1"/>
  <c r="E59" i="16" a="1"/>
  <c r="E59" i="16" s="1"/>
  <c r="D62" i="16" a="1"/>
  <c r="D62" i="16" s="1"/>
  <c r="C65" i="16" a="1"/>
  <c r="C65" i="16" s="1"/>
  <c r="C71" i="16"/>
  <c r="B66" i="16" a="1"/>
  <c r="B66" i="16" s="1"/>
  <c r="B57" i="16" a="1"/>
  <c r="B57" i="16" s="1"/>
  <c r="D49" i="16"/>
  <c r="B50" i="16"/>
  <c r="D48" i="16"/>
  <c r="C50" i="16"/>
  <c r="B23" i="16"/>
  <c r="C21" i="16" l="1"/>
  <c r="C22" i="16"/>
  <c r="B69" i="16"/>
  <c r="C69" i="16"/>
  <c r="D69" i="16"/>
  <c r="F69" i="16"/>
  <c r="E69" i="16"/>
  <c r="B81" i="16"/>
  <c r="D50" i="16"/>
  <c r="C23" i="16" l="1"/>
  <c r="C73" i="16"/>
  <c r="C2" i="14"/>
  <c r="A2" i="14"/>
  <c r="D86" i="16" l="1"/>
  <c r="E86" i="16"/>
  <c r="B86" i="16"/>
  <c r="C86" i="16"/>
  <c r="A2" i="11"/>
  <c r="C2" i="6"/>
  <c r="A2" i="6"/>
  <c r="A2" i="4"/>
  <c r="A2" i="2"/>
  <c r="L9" i="16" l="1" a="1"/>
  <c r="L9" i="16" s="1"/>
  <c r="K9" i="16" a="1"/>
  <c r="K9" i="16" s="1"/>
  <c r="A1" i="13" a="1"/>
  <c r="A1" i="13" s="1"/>
  <c r="I18" i="16" a="1"/>
  <c r="I18" i="16" s="1"/>
  <c r="I14" i="16" a="1"/>
  <c r="I14" i="16" s="1"/>
  <c r="I25" i="16" a="1"/>
  <c r="I25" i="16" s="1"/>
  <c r="I17" i="16" a="1"/>
  <c r="I17" i="16" s="1"/>
  <c r="I24" i="16" a="1"/>
  <c r="I24" i="16" s="1"/>
  <c r="I16" i="16" a="1"/>
  <c r="I16" i="16" s="1"/>
  <c r="I23" i="16" a="1"/>
  <c r="I23" i="16" s="1"/>
  <c r="I22" i="16" a="1"/>
  <c r="I22" i="16" s="1"/>
  <c r="I21" i="16" a="1"/>
  <c r="I21" i="16" s="1"/>
  <c r="I20" i="16" a="1"/>
  <c r="I20" i="16" s="1"/>
  <c r="I15" i="16" a="1"/>
  <c r="I15" i="16" s="1"/>
  <c r="I19" i="16" a="1"/>
  <c r="I19" i="16" s="1"/>
  <c r="H5" i="16"/>
  <c r="F86" i="16"/>
  <c r="C33" i="16"/>
  <c r="B33" i="16"/>
  <c r="D31" i="16" l="1"/>
  <c r="D32" i="16"/>
  <c r="D30" i="16"/>
  <c r="D29" i="16"/>
  <c r="D28" i="16"/>
  <c r="D27" i="16"/>
  <c r="G5" i="16" a="1"/>
  <c r="G5" i="16" s="1"/>
  <c r="K5" i="16"/>
  <c r="D33" i="16" l="1"/>
  <c r="E17" i="16"/>
  <c r="J5" i="16"/>
  <c r="I5" i="16"/>
  <c r="X6" i="16"/>
  <c r="H1" i="13" a="1"/>
  <c r="H1" i="1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<sst xmlns="http://schemas.openxmlformats.org/spreadsheetml/2006/main" count="1135" uniqueCount="402">
  <si>
    <t>WorkerID</t>
  </si>
  <si>
    <t>DNI</t>
  </si>
  <si>
    <t>Nombre</t>
  </si>
  <si>
    <t>FechaNacimiento</t>
  </si>
  <si>
    <t>Edad</t>
  </si>
  <si>
    <t>Sexo</t>
  </si>
  <si>
    <t>Obra</t>
  </si>
  <si>
    <t>Área</t>
  </si>
  <si>
    <t>Cargo</t>
  </si>
  <si>
    <t>LugarProyecto</t>
  </si>
  <si>
    <t>Perfil</t>
  </si>
  <si>
    <t>FechaIngreso</t>
  </si>
  <si>
    <t>Ultimo EMO</t>
  </si>
  <si>
    <t>Tipo de EMO</t>
  </si>
  <si>
    <t>EMO Entregado</t>
  </si>
  <si>
    <t>Fecha de EMO Entregado</t>
  </si>
  <si>
    <t>Vigencia</t>
  </si>
  <si>
    <t>Fecha_EMO</t>
  </si>
  <si>
    <t>Tipo_EMO</t>
  </si>
  <si>
    <t>Entregado</t>
  </si>
  <si>
    <t>Fecha de Entrega</t>
  </si>
  <si>
    <t>APTITUD</t>
  </si>
  <si>
    <t>Observaciones</t>
  </si>
  <si>
    <t>Restricciones Generales</t>
  </si>
  <si>
    <t>Programa</t>
  </si>
  <si>
    <t>Advertencia</t>
  </si>
  <si>
    <t>Diagnostico</t>
  </si>
  <si>
    <t>Recomendaciones adicionales</t>
  </si>
  <si>
    <t>Conclusiones M.O</t>
  </si>
  <si>
    <t>Tipo Capacitación</t>
  </si>
  <si>
    <t>Fecha Capacitación</t>
  </si>
  <si>
    <t>Validación</t>
  </si>
  <si>
    <t>M</t>
  </si>
  <si>
    <t>NO</t>
  </si>
  <si>
    <t>F</t>
  </si>
  <si>
    <t>AccidenteID</t>
  </si>
  <si>
    <t>Fecha</t>
  </si>
  <si>
    <t>ParteCuerpo</t>
  </si>
  <si>
    <t>Agente</t>
  </si>
  <si>
    <t>Diagnóstico</t>
  </si>
  <si>
    <t>Médico Tratante</t>
  </si>
  <si>
    <t>Requiere Cirugía</t>
  </si>
  <si>
    <t>Clínica</t>
  </si>
  <si>
    <t>Declaración_Accidentado</t>
  </si>
  <si>
    <t>Tipo Ausencia</t>
  </si>
  <si>
    <t>Fecha_Inicio</t>
  </si>
  <si>
    <t>Días perdidos</t>
  </si>
  <si>
    <t>Aptitud de Reincorporación</t>
  </si>
  <si>
    <t>AtencionID</t>
  </si>
  <si>
    <t>Motivo de Atención</t>
  </si>
  <si>
    <t>Tratamiento</t>
  </si>
  <si>
    <t>Cirugía</t>
  </si>
  <si>
    <t>Diagnóstico Accidente</t>
  </si>
  <si>
    <t>Clinica</t>
  </si>
  <si>
    <t>Fecha Inicio</t>
  </si>
  <si>
    <t>VacunacionID</t>
  </si>
  <si>
    <t>Vacuna</t>
  </si>
  <si>
    <t>MES</t>
  </si>
  <si>
    <t>TRABAJADORES INGRESADOS</t>
  </si>
  <si>
    <t>TRABAJADORES ACTIVOS</t>
  </si>
  <si>
    <t>EMOS
REALIZADOS</t>
  </si>
  <si>
    <t>% EMO</t>
  </si>
  <si>
    <t>EMOS
ENTREGADOS</t>
  </si>
  <si>
    <t>EMOS PENDIENTE REALIZACIÓN</t>
  </si>
  <si>
    <t>EMOS ENTREGA PENDIENTE</t>
  </si>
  <si>
    <t>EMOS VIGENTES</t>
  </si>
  <si>
    <t>EMOS VENCIDOS</t>
  </si>
  <si>
    <t>SIN EMO</t>
  </si>
  <si>
    <t>ENERO</t>
  </si>
  <si>
    <t>FEBRERO</t>
  </si>
  <si>
    <t>TOTAL TRABAJADORES INGRESADOS</t>
  </si>
  <si>
    <t>TOTAL TRABAJADORES ACTIVOS</t>
  </si>
  <si>
    <t>TOTAL EMOS REALIZADOS</t>
  </si>
  <si>
    <t>TOTAL EMOS ENTREGADOS</t>
  </si>
  <si>
    <t>% ENTREGAS EMOS</t>
  </si>
  <si>
    <t>Cabeza</t>
  </si>
  <si>
    <t>MARZO</t>
  </si>
  <si>
    <t>Torso Alto</t>
  </si>
  <si>
    <t>ABRIL</t>
  </si>
  <si>
    <t>TOTAL ACCIDENTES</t>
  </si>
  <si>
    <t>TOTAL ACCIDENTADOS</t>
  </si>
  <si>
    <t>ACCIDENTES LEVES</t>
  </si>
  <si>
    <t>ACCIDENTES GRAVES</t>
  </si>
  <si>
    <t>PORCENTAJE DE ACCIDENTADOS X MES</t>
  </si>
  <si>
    <t>PARTE DEL CUERPO LASTIMADA</t>
  </si>
  <si>
    <t>OBJETO QUE PROVOCÓ EL ACCIDENTE</t>
  </si>
  <si>
    <t>Torso Bajo</t>
  </si>
  <si>
    <t>MAYO</t>
  </si>
  <si>
    <t>CANTIDAD</t>
  </si>
  <si>
    <t>Brazos</t>
  </si>
  <si>
    <t>JUNIO</t>
  </si>
  <si>
    <t>ACCIDENTES CIRUGIA</t>
  </si>
  <si>
    <t>DIAS SIN ACCIDENTES</t>
  </si>
  <si>
    <t>ACCIDENTES HOMBRES</t>
  </si>
  <si>
    <t>ACCIDENTES MUJERES</t>
  </si>
  <si>
    <t>AREA DE TRABAJAO QUE SUFRIÓ DE MÁS DAÑO</t>
  </si>
  <si>
    <t>Codos</t>
  </si>
  <si>
    <t>JULIO</t>
  </si>
  <si>
    <t>Manos</t>
  </si>
  <si>
    <t>AGOSTO</t>
  </si>
  <si>
    <t>Muslos</t>
  </si>
  <si>
    <t>SEPTIEMBRE</t>
  </si>
  <si>
    <t>PERFIL DE TRABAJADOR QUE MÁS SUFRIÓ ACCIDENTES</t>
  </si>
  <si>
    <t>Rodillas</t>
  </si>
  <si>
    <t>OCTUBRE</t>
  </si>
  <si>
    <t>Pantorrilla</t>
  </si>
  <si>
    <t>NOVIEMBRE</t>
  </si>
  <si>
    <t>Pies</t>
  </si>
  <si>
    <t>DICIEMBRE</t>
  </si>
  <si>
    <t>AREAS DE TRABAJADORES INGRESADOS AL MES</t>
  </si>
  <si>
    <t>TOTAL</t>
  </si>
  <si>
    <t>SEXO</t>
  </si>
  <si>
    <t>%</t>
  </si>
  <si>
    <t>EDAD PROM</t>
  </si>
  <si>
    <t>CANTIDAD DE CAPACITADOS X CAPACITACIÓN HECHA</t>
  </si>
  <si>
    <t>HOMBRES</t>
  </si>
  <si>
    <t>MUJERES</t>
  </si>
  <si>
    <t>GRUPO ETARIO</t>
  </si>
  <si>
    <t>HOMBRE</t>
  </si>
  <si>
    <t>MUJER</t>
  </si>
  <si>
    <t>&lt;20</t>
  </si>
  <si>
    <t>20-29</t>
  </si>
  <si>
    <t>30-39</t>
  </si>
  <si>
    <t>40-49</t>
  </si>
  <si>
    <t>50-59</t>
  </si>
  <si>
    <r>
      <rPr>
        <b/>
        <sz val="11"/>
        <color theme="1"/>
        <rFont val="Calibri"/>
        <family val="2"/>
      </rPr>
      <t>≥</t>
    </r>
    <r>
      <rPr>
        <b/>
        <sz val="9"/>
        <color theme="1"/>
        <rFont val="Calibri"/>
        <family val="2"/>
      </rPr>
      <t>60</t>
    </r>
  </si>
  <si>
    <t>TOTAL HOMBRES</t>
  </si>
  <si>
    <t>TOTAL MUJERES</t>
  </si>
  <si>
    <t>APTO</t>
  </si>
  <si>
    <t>APTO CON RESTRICCIONES</t>
  </si>
  <si>
    <t>OBSERVADO</t>
  </si>
  <si>
    <t>NO APTO</t>
  </si>
  <si>
    <t>Hombres</t>
  </si>
  <si>
    <t>Mujeres</t>
  </si>
  <si>
    <t>Administrativo</t>
  </si>
  <si>
    <t>Operativo</t>
  </si>
  <si>
    <t>CAPACITACIONES</t>
  </si>
  <si>
    <t>GOLPE DE CALOR</t>
  </si>
  <si>
    <t>VIGILANCIA</t>
  </si>
  <si>
    <t>ERGONOMIA</t>
  </si>
  <si>
    <t>TME</t>
  </si>
  <si>
    <t>PSICOSOCIAL</t>
  </si>
  <si>
    <t>Total horas capacitacion</t>
  </si>
  <si>
    <t>Cantidad personas capacitadas</t>
  </si>
  <si>
    <t>Horas Promedio por Trabajador</t>
  </si>
  <si>
    <t>0 Capacitaciones</t>
  </si>
  <si>
    <t>1 Capacitacion</t>
  </si>
  <si>
    <t>2 Capacitaciones</t>
  </si>
  <si>
    <t>3 Capacitaciones</t>
  </si>
  <si>
    <t>4 Capacitaciones</t>
  </si>
  <si>
    <t>5 Capacitaciones</t>
  </si>
  <si>
    <t>Total</t>
  </si>
  <si>
    <t>INDICADOR</t>
  </si>
  <si>
    <t>No están en Programa Gestante</t>
  </si>
  <si>
    <t>Están en Programa Gestante</t>
  </si>
  <si>
    <t>Perfil Técnico</t>
  </si>
  <si>
    <t>Perfil Oficina</t>
  </si>
  <si>
    <t>Etiquetas de fila</t>
  </si>
  <si>
    <t>Total general</t>
  </si>
  <si>
    <t>SeguimientoID</t>
  </si>
  <si>
    <t>Parte_Cuerpo</t>
  </si>
  <si>
    <t>Medico Tratante</t>
  </si>
  <si>
    <t>DM</t>
  </si>
  <si>
    <t>Evidencia</t>
  </si>
  <si>
    <t>ProgramacionID</t>
  </si>
  <si>
    <t>Tipo_Programación</t>
  </si>
  <si>
    <t>Tipo_Examen</t>
  </si>
  <si>
    <t>ID_Referencia</t>
  </si>
  <si>
    <t>Estado</t>
  </si>
  <si>
    <t>Motivo Cancelación</t>
  </si>
  <si>
    <t>Enviado</t>
  </si>
  <si>
    <t>FechaSalida</t>
  </si>
  <si>
    <t>CapacitacionID</t>
  </si>
  <si>
    <t>Tipo de Capacitación</t>
  </si>
  <si>
    <t>VMO_ID</t>
  </si>
  <si>
    <t>DATOS DEL EMPLEADOR:</t>
  </si>
  <si>
    <t xml:space="preserve">1. RAZÓN SOCIAL O DENOMINACIÓN SOCIAL </t>
  </si>
  <si>
    <t>3. DOMICILIO 
(Dirección, distrito, departamento, provincia)</t>
  </si>
  <si>
    <t>4. TIPO DE ACTIVIDAD ECONÓMICA</t>
  </si>
  <si>
    <t>5. N° TRABAJADORES EN OBRA</t>
  </si>
  <si>
    <t>LA VENTUROSA S.A</t>
  </si>
  <si>
    <t>Jr. el Polo Nro. 401 Dpto. 201 (Centro Empresarial el Polo 401)</t>
  </si>
  <si>
    <t>Actividades Inmobiliarias
Construccion Edificios Completos.</t>
  </si>
  <si>
    <t>DATOS DE LOS TRABAJADORES:</t>
  </si>
  <si>
    <t>N</t>
  </si>
  <si>
    <t>NOMBRE</t>
  </si>
  <si>
    <t>OCUPACION ACTUAL</t>
  </si>
  <si>
    <t>TIPO DE EMO</t>
  </si>
  <si>
    <t>FECHA</t>
  </si>
  <si>
    <t>ENTREGADO</t>
  </si>
  <si>
    <t>FECHA ENTREGA</t>
  </si>
  <si>
    <t>DescansoID</t>
  </si>
  <si>
    <t>Tipo de Descanso</t>
  </si>
  <si>
    <t>Duracion_Dias</t>
  </si>
  <si>
    <t>FechaInicio</t>
  </si>
  <si>
    <t>FechaFin</t>
  </si>
  <si>
    <t>Aptitud_Reincorporación</t>
  </si>
  <si>
    <t>Anunciado</t>
  </si>
  <si>
    <t>AnuncioID</t>
  </si>
  <si>
    <t>TipoAlerta</t>
  </si>
  <si>
    <t>FechaObjetivo</t>
  </si>
  <si>
    <t>Mensaje</t>
  </si>
  <si>
    <t>OBRA</t>
  </si>
  <si>
    <t>cráneo</t>
  </si>
  <si>
    <t>cara</t>
  </si>
  <si>
    <t>ojos</t>
  </si>
  <si>
    <t>nariz</t>
  </si>
  <si>
    <t>mandíbula</t>
  </si>
  <si>
    <t>cabeza</t>
  </si>
  <si>
    <t>oreja</t>
  </si>
  <si>
    <t>pectoral</t>
  </si>
  <si>
    <t>clavícula</t>
  </si>
  <si>
    <t>hombro</t>
  </si>
  <si>
    <t>esternón</t>
  </si>
  <si>
    <t>omóplato</t>
  </si>
  <si>
    <t>abdominales</t>
  </si>
  <si>
    <t>lumbares</t>
  </si>
  <si>
    <t>pelvis</t>
  </si>
  <si>
    <t>ombligo</t>
  </si>
  <si>
    <t>cintura</t>
  </si>
  <si>
    <t>bíceps</t>
  </si>
  <si>
    <t>tríceps</t>
  </si>
  <si>
    <t>antebrazo</t>
  </si>
  <si>
    <t>húmero</t>
  </si>
  <si>
    <t>codo</t>
  </si>
  <si>
    <t>olécranon</t>
  </si>
  <si>
    <t>muñeca</t>
  </si>
  <si>
    <t>palma</t>
  </si>
  <si>
    <t>dedos de la mano</t>
  </si>
  <si>
    <t>mano</t>
  </si>
  <si>
    <t>metacarpo</t>
  </si>
  <si>
    <t>isquiotibiales</t>
  </si>
  <si>
    <t>cuádriceps</t>
  </si>
  <si>
    <t>fémur</t>
  </si>
  <si>
    <t>ingle</t>
  </si>
  <si>
    <t>glúteo</t>
  </si>
  <si>
    <t>rótula</t>
  </si>
  <si>
    <t>meniscos</t>
  </si>
  <si>
    <t>rodilla</t>
  </si>
  <si>
    <t>ligamentos cruzados</t>
  </si>
  <si>
    <t>Tibia</t>
  </si>
  <si>
    <t>peroné</t>
  </si>
  <si>
    <t>gemelos</t>
  </si>
  <si>
    <t>pantorrilla</t>
  </si>
  <si>
    <t>tobillo</t>
  </si>
  <si>
    <t>talón</t>
  </si>
  <si>
    <t>planta</t>
  </si>
  <si>
    <t>dedos del pie</t>
  </si>
  <si>
    <t>empeine</t>
  </si>
  <si>
    <t>Planta</t>
  </si>
  <si>
    <t>Diagnostico / INTERCONSULTA</t>
  </si>
  <si>
    <t>ACCIDENTES EN EL MES</t>
  </si>
  <si>
    <t>Diagnostico / INTERCONSULTA 2</t>
  </si>
  <si>
    <t>Diagnostico / INTERCONSULTA 3</t>
  </si>
  <si>
    <t>AÑO</t>
  </si>
  <si>
    <t>POCCO MACHACCA FREDE</t>
  </si>
  <si>
    <t>REYMUNDO REYNA GIANCARLOS</t>
  </si>
  <si>
    <t>ORTIZ NAVARRO HILLIAMS DAVID</t>
  </si>
  <si>
    <t>GUEVARA PANURA JORGE ALBERTO</t>
  </si>
  <si>
    <t>SALAZAR LUCAS LUIS SANTOS</t>
  </si>
  <si>
    <t>MARTINEZ SOTO LUIS FERNANDO</t>
  </si>
  <si>
    <t>RENGIFO PALOMINO CHRISTOPHER ALEXANDER</t>
  </si>
  <si>
    <t>ESTEBAN BERROSPI OLIVER HERNAN</t>
  </si>
  <si>
    <t>CAINAMARI TAMANI SEGUNDO ARTEMINO</t>
  </si>
  <si>
    <t>SULCA CHAVEZ JAVIER NICANOR</t>
  </si>
  <si>
    <t>VILLARREAL GOMEZ ALEXANDER</t>
  </si>
  <si>
    <t>VARGAS GUZMAN PAULO ENRIQUE</t>
  </si>
  <si>
    <t>FERNANDEZ ACUÑA EMILIANO</t>
  </si>
  <si>
    <t>LLANCARI DELGADO ADRIEL GUSMAN</t>
  </si>
  <si>
    <t>DELGADO RANGEL JAIR ALESSANDRO</t>
  </si>
  <si>
    <t>VILCA GUTIERREZ LORENA</t>
  </si>
  <si>
    <t>CALIXTO CORONEL IRIS NATALIA</t>
  </si>
  <si>
    <t>NAITO AQUINO SHAORI ZENAIDA</t>
  </si>
  <si>
    <t>LIGAS CHAVEZ NESTOR EFRAIN</t>
  </si>
  <si>
    <t>SAAVEDRA VALLEJOS PAOLA</t>
  </si>
  <si>
    <t>ALLCCAHUAMAN MISAICO MOISES</t>
  </si>
  <si>
    <t>LAUPA BUITRON MARTIN</t>
  </si>
  <si>
    <t>MOLLEDA CONZA BERTHA</t>
  </si>
  <si>
    <t>GUERRA TAPULLIMA TAYSON</t>
  </si>
  <si>
    <t>QUISPE GAVILAN ROBERT</t>
  </si>
  <si>
    <t>SANCHEZ ARGOMEDO YAMILETH FABIOLA</t>
  </si>
  <si>
    <t>SANTIAGO AVALOS EDGAR JUNIOR</t>
  </si>
  <si>
    <t>CORDOVA MARTEL PIERRE DARIO</t>
  </si>
  <si>
    <t>CRUZ HURCAYA, BRAYAN MARCOS</t>
  </si>
  <si>
    <t>CIELO NOREÑA YOEL</t>
  </si>
  <si>
    <t>SANCHEZ PIÑAS CHRISTIAN</t>
  </si>
  <si>
    <t>HUANACO MENDOZA DAVID</t>
  </si>
  <si>
    <t>CIENFUEGOS OBREGON EFRAIN TOMAS</t>
  </si>
  <si>
    <t>VILLALEGRE</t>
  </si>
  <si>
    <t>OFICIAL CARPINTERO</t>
  </si>
  <si>
    <t>OPERARIO CARPINTERO</t>
  </si>
  <si>
    <t>PEON</t>
  </si>
  <si>
    <t>OPERARIO DE LIMPIEZA</t>
  </si>
  <si>
    <t>OPERARIO - ALBAÑIL</t>
  </si>
  <si>
    <t>PEON PREVENCIONISTA</t>
  </si>
  <si>
    <t>AYUDANTE DE TOPOGRAFIA</t>
  </si>
  <si>
    <t>Apto con Restricción</t>
  </si>
  <si>
    <t>Apto</t>
  </si>
  <si>
    <t>Pre-Ocupacional</t>
  </si>
  <si>
    <t>Periódicos</t>
  </si>
  <si>
    <t>AMPUDIA CORDOVA JORGE LUIS</t>
  </si>
  <si>
    <t>BELLIDO CHUCHON FRANK CRISTIAN</t>
  </si>
  <si>
    <t>BOCANEGRA MAXIMO LUIS MIGUEL</t>
  </si>
  <si>
    <t>CASTAMAN CHIOTTI JESUS MIGUEL</t>
  </si>
  <si>
    <t>FLORES FLORES JEREMY CRISTHIAN</t>
  </si>
  <si>
    <t>FLORES MORI HOSMER JHIN</t>
  </si>
  <si>
    <t>GARCIA TORREJON TANIA PAOLA</t>
  </si>
  <si>
    <t>GOMEZ CHUCHON RUBEN</t>
  </si>
  <si>
    <t>MORENO NAVARRO JOSE FELIX</t>
  </si>
  <si>
    <t>QUIROZ GONZALES JOEL ADASS AARON</t>
  </si>
  <si>
    <t>ROSALES BREÑA YSAAC SAMUEL</t>
  </si>
  <si>
    <t>II.EE.- II.SS</t>
  </si>
  <si>
    <t>OPERARIO II.SS</t>
  </si>
  <si>
    <t>Técnico</t>
  </si>
  <si>
    <t>RESPONSABLE DE II.EE, II.SS</t>
  </si>
  <si>
    <t>TOPOGRAFO</t>
  </si>
  <si>
    <t>TOPOGRAFIA</t>
  </si>
  <si>
    <t>STAFF</t>
  </si>
  <si>
    <t>RESPONSABLE COSTOS</t>
  </si>
  <si>
    <t>Oficina</t>
  </si>
  <si>
    <t>CARPINTERO</t>
  </si>
  <si>
    <t>LIMPIEZA</t>
  </si>
  <si>
    <t>SINDICATO</t>
  </si>
  <si>
    <t>PEON DE II.EE</t>
  </si>
  <si>
    <t>RIGGER</t>
  </si>
  <si>
    <t>OPERARIO RIGGER</t>
  </si>
  <si>
    <t>PEON CARPINTERO</t>
  </si>
  <si>
    <t>OPERARIO (ASISTENTE DE PRODUCCION)</t>
  </si>
  <si>
    <t>SSOMA</t>
  </si>
  <si>
    <t>JEFE DE PREVENCION</t>
  </si>
  <si>
    <t>ARQUITECTA</t>
  </si>
  <si>
    <t>OPERARIO B (ASISTENTE DE CALIDAD)</t>
  </si>
  <si>
    <t>CAPINTERIA</t>
  </si>
  <si>
    <t>ALBAÑIL</t>
  </si>
  <si>
    <t>PEON TOPOGRAFO</t>
  </si>
  <si>
    <t>JEFE DE PRODUCCION</t>
  </si>
  <si>
    <t>AS</t>
  </si>
  <si>
    <t>RESPONSABLE PLANEAMIENTO</t>
  </si>
  <si>
    <t>PEON II.SS</t>
  </si>
  <si>
    <t>RESPONSABLE PLANILLAS</t>
  </si>
  <si>
    <t>ACERO</t>
  </si>
  <si>
    <t>OFICIAL EN ACERO</t>
  </si>
  <si>
    <t>PEON IIEE</t>
  </si>
  <si>
    <t>OPERARIO EN ACERO</t>
  </si>
  <si>
    <t>SI</t>
  </si>
  <si>
    <t>Observado</t>
  </si>
  <si>
    <t>OTRAS ALTERACIONES NO DEBIDAS A EXPOSICIÓN A RUIDO, OIDO IZQUIERDO</t>
  </si>
  <si>
    <t>PRESBICIA 
OBESIDAD TIPO 1</t>
  </si>
  <si>
    <t>AMETROPIA</t>
  </si>
  <si>
    <t>DEFICIENCIAS DE LA VISION CROMATICA (DISCROMATOPSIA
OBESIDAD TIPO 1</t>
  </si>
  <si>
    <t>AMETROPIA NO CORREGIDA
OTRAS ALTERACIONES NO DEBIDAS AL RUIDO,
SOBREPESO</t>
  </si>
  <si>
    <t>OBESIDAD TIPO II</t>
  </si>
  <si>
    <t>AMETROPIA
SOBREPESO</t>
  </si>
  <si>
    <t>NINGUNA</t>
  </si>
  <si>
    <t>SOBREPESO</t>
  </si>
  <si>
    <t>PRESBICIA PARCIALMENTE CORREGIDA AMETROPIA NO CORREGIDA
PTERIGION
HIPOACUSIA INDUCIDA POR RUIDO LEVE</t>
  </si>
  <si>
    <t>OBESIDAD TIPO 1</t>
  </si>
  <si>
    <t>AMETROPIA
ASMA
SOBREPESO</t>
  </si>
  <si>
    <t>ESTEREOPSIS ALTERADA, AMETROPIA NO CORREGIDA, SOBREPESO</t>
  </si>
  <si>
    <t>OBESIDAD TIPO I</t>
  </si>
  <si>
    <t>AMETROPIA NO CORREGIDA
PRESBICIA PARCIALMENTE CORREGIDA
PTERIGION
OTRAS ALTERACIONES NO DEBIDAS A EXPOSICIÓN A RUIDO, OIDO IZQUIERDO
SOBREPESO</t>
  </si>
  <si>
    <t>AMETROPIA CORREGIDA</t>
  </si>
  <si>
    <t>DISCROMATOPSIA
HIPOACUSIA INDUCIDA POR RUIDO LEVE</t>
  </si>
  <si>
    <t>OTRAS ALTERACIONES NO DEBIDAS A EXPOSICIÓN A RUIDO, BILATERAL</t>
  </si>
  <si>
    <t>AMETROPIA NO CORREGIDA
PTERIGION
SOBREPESO</t>
  </si>
  <si>
    <t>AMETROPIA,
PRESBICIA, SOBREPESO</t>
  </si>
  <si>
    <t>AMETROPIA NO CORREGIDA
ASMA
SOBREPESO</t>
  </si>
  <si>
    <t>AMETROPIA NO CORREGIDA
SOBREPESO</t>
  </si>
  <si>
    <t>AMETROPIA NO CORREGIDA
PRESBICIA NO CORREGIDA OBESIDAD TIPO I</t>
  </si>
  <si>
    <t>AMETROPIA PARCIALMENTE CORREGIDA</t>
  </si>
  <si>
    <t xml:space="preserve">AMETROPIA PARCIALMENTE CORREGIDA
BAJO PESO </t>
  </si>
  <si>
    <t>AMETROPIA NO CORREGIDA
ESTEREOPSIS ALTERADA SOBREPESO</t>
  </si>
  <si>
    <t>AMETROPIA NO CORREGIDA
OTRAS ALTERACIONES NO DEBIDAS AL RUIDO,</t>
  </si>
  <si>
    <t>AMETROPIA NO CORREGIDA
ESTEREOPSIS ALTERADA
SOBREPESO</t>
  </si>
  <si>
    <t>AMETROPIA PARCIALMENTE CORREGIDA OTRAS ALTERACIONES NO DEBIDAS AL RUIDO EN OIDO IZQUIERDO
SOBREPESO</t>
  </si>
  <si>
    <t>USO DE PROTECCIÓN AUDITIVA EN EL TRABAJO SI SE EXPONDRÁ A RUIDO MAYOR A 85 DB.</t>
  </si>
  <si>
    <t>USO DE LENTES CORRECTORES PERMANENTES PARA VISIÓN DE LEJOS
DIETA HIPOCALÓRICA E HIPOGRASA SUPERVISADA POR NUTRICIÓN,  REALIZAR ACTIVIDAD FÍSICA CONSTANTE DE INTENSIDAD MODERADA-VIGOROSA, AL MENOS 1 HORA DIARIA</t>
  </si>
  <si>
    <t>USO DE LENTES CORRECTORES PERMANENTES PARA VISIÓN DE LEJOS</t>
  </si>
  <si>
    <t>LENTES CORRECTORES
DIETA HIPOCALÓRICA E HIPOGRASA SUPERVISADA POR NUTRICIÓN,  REALIZAR ACTIVIDAD FÍSICA CONSTANTE DE INTENSIDAD MODERADA-VIGOROSA, AL MENOS 1 HORA DIARIAA</t>
  </si>
  <si>
    <t>USO DE LENTES CORRECTORES PERMANENTES PARA VISIÓN DE LEJOS.
USO DE PROTECCIÓN AUDITIVA EN EL TRABAJO SI SE EXPONDRÁ A RUIDO MAYOR A 85 DB. CONSEJERIA NUTRICIONAL Y CONTROL DE PESO</t>
  </si>
  <si>
    <t>DIETA HIPOCALÓRICA E HIPOGRASA SUPERVISADA POR NUTRICIÓN,</t>
  </si>
  <si>
    <t>REDUCIR EL CONSUMO DE CARNES CON ALTO CONTENIDO EN GRASA Y AZÚCARES PROCESADOS. EVITAR ALCOHOL. INCREMENTAR LA INGESTA DE FRUTAS, VERDURAS Y GRANOS ENTEROS. REALIZAR ACTIVIDAD FÍSICA POR 30 MINUTOS DIARIOS</t>
  </si>
  <si>
    <t>USO DE LENTES CORRECTORES PARA VISIÓN DE CERCA.
USO DE LENTES CORRECTORES PERMANENTES PARA VISIÓN DE LEJOS.
USO DE LENTES CON PROTECCIÓN UV. USO DE LUBRICANTE OCULAR
USO DE PROTECCIÓN AUDITIVA SI SE EXPONDRA A RUIDO MAYOR A 85 DB.</t>
  </si>
  <si>
    <t>DIETA HIPOCALÓRICA E HIPOGRASA SUPERVISADA POR NUTRICIÓN,  REALIZAR ACTIVIDAD FÍSICA CONSTANTE DE INTENSIDAD MODERADA-VIGOROSA, AL MENOS 1 HORA DIARIA</t>
  </si>
  <si>
    <t>USO DE LENTES CORRECTORES PARA VISIÓN DE CERCA.
USO DE LENTES CORRECTORES PERMANENTES PARA VISIÓN DE LEJOS.
USO DE LENTES CON PROTECCIÓN UV. USO DE LUBRICANTE OCULAR</t>
  </si>
  <si>
    <t>USO DE LENTES CORRECTORES PARA VISIÓN DE CERCA.
DIETA HIPOCALÓRICA E HIPOGRASA SUPERVISADA POR NUTRICIÓN,
EVALUACION PRO NEUMOLOGIA EN CASO CRISIS SEA REITERATIVA</t>
  </si>
  <si>
    <t>USO DE LENTES CORRECTORES PERMANENTES PARA VISIÓN DE LEJOS.
NO USO DE VEHÍCULOS MOTORIZADOS (BICIMOTOS, MOTOS, AUTOS, CAMIONETAS, ETC) NI ACTIVIDADES QUE IMPLIQUEN
BUENA VISIÓN ESTEREOSCÓPICA
CONTROLES AUDIOMÉTRICOS ANUALES DEPENDIENDO DE LA EXPOSICIÓN AL RUIDO
REDUCIR EL CONSUMO DE CARNES CON ALTO CONTENIDO EN GRASA Y AZÚCARES PROCESADOS</t>
  </si>
  <si>
    <t>USO DE LENTES CORRECTORES PERMANENTES PARA VISIÓN DE LEJOS.
USO DE LENTES CORRECTORES PARA VISIÓN DE CERCA.
USO DE LENTES CON PROTECCIÓN UV. USO DE LUBRICANTE OCULAR USO DE PROTECCIÓN AUDITIVA EN EL TRABAJO SI SE EXPONDRÁ A RUIDO MAYOR A 85 DB. REDUCIR EL CONSUMO DE CARNES CON ALTO CONTENIDO EN GRASA Y AZÚCARES PROCESADOS</t>
  </si>
  <si>
    <t>CONTROL ANUAL POR OFTALMOLOGIA
NO REALIZAR LABORES QUE REQUIERAN DISCRIMINACION DE COLORES
USO DE PROTECCIÓN AUDITIVA SI SE EXPONDRA A RUIDO MAYOR A 85 DB.</t>
  </si>
  <si>
    <t>USO DE LENTES CORRECTORES PERMANENTES PARA VISIÓN DE LEJOS.
USO DE LENTES CORRECTORES PARA VISION DE CERCA. REALIZAR REFRACCION
USO DE LENTES CON PROTECCIÓN UV. USO DE LUBRICANTE OCULAR USO DE PROTECCIÓN AUDITIVA EN EL TRABAJO SI SE EXPONDRÁ A RUIDO MAYOR A 85 DB.
5REDUCIR EL CONSUMO DE CARNES CON ALTO CONTENIDO EN GRASA Y AZÚCARES PROCESADOS</t>
  </si>
  <si>
    <t>USO DE PROTECCIÓN AUDITIVA EN EL TRABAJO SI SE EXPONDRÁ A RUIDO MAYOR A 85 DB.
CONTROLES AUDIOMÉTRICOS ANUALES DEPENDIENDO DE LA EXPOSICIÓN AL RUIDO</t>
  </si>
  <si>
    <t>USO DE LENTES CORRECTORES PERMANENTES PARA VISIÓN DE LEJOS.
USO DE LENTES CORRECTORES PARA VISION DE CERCA. REALIZAR REFRACCION
CONSEJERIA NUTRICIONAL Y CONTROL DE PESO</t>
  </si>
  <si>
    <t>USO DE LENTES CORRECTORES PERMANENTES PARA VISIÓN DE LEJOS.
EVITAR CONTACTO CON ALERGENOS, NO FUMAR Y MANTENERSE ALEJADO DE AMBIENTES CON HUMO. PRACTICAR EJERCICIOS RESPIRATORIOS QUE AYUDEN A CONTROLAR LA RESPIRACIÓN Y ANSIEDAD EN CASOS DE CRISIS, USAR
CORRECTAMENTE SU INHALADOR Y LLEVARLO CONSIGO PERMANENTEMENTE</t>
  </si>
  <si>
    <t>USO DE LENTES CORRECTORES PERMANENTES PARA VISIÓN DE LEJOS.
CONTROLES AUDIOMÉTRICOS ANUALES DEPENDIENDO DE LA EXPOSICIÓN AL RUIDO CONSEJERIA NUTRICIONAL Y CONTROL DE PESO</t>
  </si>
  <si>
    <t>USO DE LENTES CORRECTORES PERMANENTES PARA VISIÓN DE LEJOS.
USO DE LENTES CORRECTORES PARA VISION DE CERCA. REALIZAR REFRACCION CONTROLES AUDIOMÉTRICOS ANUALES DEPENDIENDO DE LA EXPOSICIÓN AL RUIDO
DIETA HIPOCALÓRICA E HIPOGRASA SUPERVISADA POR NUTRICIÓN</t>
  </si>
  <si>
    <t>USO DE LENTES CORRECTORES PERMANENTES PARA VISIÓN DE LEJOS.
 DIETA BALANCEADA SUPERVISADA POR NUTRICIÓN Y CONTROL POR MEDICINA INTERNA</t>
  </si>
  <si>
    <t>USO DE LENTES CORRECTORES PERMANENTES PARA VISIÓN DE LEJOS.
NO USO DE VEHÍCULOS MOTORIZADOS (BICIMOTOS, MOTOS, AUTOS, CAMIONETAS, ETC) NI ACTIVIDADES QUE IMPLIQUEN  BUENA VISIÓN ESTEREOSCÓPICA
 REDUCIR EL CONSUMO DE CARNES Y AZÚCARESS. LIMITAR EL CONSUMO DE
ALCOHOL. INCREMENTAR LA INGESTA DE FRUTAS, VERDURAS Y GRANOS ENTEROS. REALIZAR ACTIVIDAD FÍSICA CONSTANTE, AL MENOS 30 MINUTOS DIARIOS</t>
  </si>
  <si>
    <t>USO DE LENTES CORRECTORES PERMANENTES PARA VISIÓN DE LEJOS.
USO DE PROTECCIÓN AUDITIVA EN EL TRABAJO SI SE EXPONDRÁ A RUIDO MAYOR A 85 DB.</t>
  </si>
  <si>
    <t>USO DE LENTES CORRECTORES PERMANENTES PARA VISIÓN DE LEJOS. NO USO DE VEHÍCULOS MOTORIZADOS (BICIMOTOS, MOTOS, AUTOS, CAMIONETAS, ETC) NI ACTIVIDADES QUE IMPLIQUEN
BUENA VISIÓN ESTEREOSCÓPICA
CONTROLES AUDIOMÉTRICOS ANUALES DEPENDIENDO DE LA EXPOSICIÓN AL RUIDO REDUCIR EL CONSUMO DE CARNES CON ALTO CONTENIDO EN GRASA Y AZÚCARES PROCESADOS</t>
  </si>
  <si>
    <t>USO DE LENTES CORRECTORES PERMANENTES PARA VISIÓN DE LEJOS.
USO DE PROTECCIÓN AUDITIVA EN EL TRABAJO SI SE EXPONDRÁ A RUIDO MAYOR A 85 DB.
CONTROLES AUDIOMÉTRICOS ANUALES DEPENDIENDO DE LA EXPOSICIÓN AL RUIDO CONSEJERIA NUTRICIONAL Y CONTROL DE PESO</t>
  </si>
  <si>
    <t>Seguimiento neurológico por antecedente o periodo de ventana.</t>
  </si>
  <si>
    <t>AUDITIVO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</si>
</sst>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y\y"/>
    <numFmt numFmtId="165" formatCode="dd/mm/yyyy;@"/>
    <numFmt numFmtId="166" formatCode="00000000"/>
    <numFmt numFmtId="167" formatCode="d/m/yyyy"/>
    <numFmt numFmtId="168" formatCode="[$-10491]dd/mm/yyyy;@"/>
  </numFmts>
  <fonts count="19" x14ac:knownFonts="1">
    <font>
      <sz val="11"/>
      <color theme="1"/>
      <name val="Calibri"/>
      <family val="2"/>
      <scheme val="minor"/>
    </font>
    <font>
      <b/>
      <sz val="11"/>
      <name val="Calibri"/>
      <family val="2"/>
    </font>
    <font>
      <b/>
      <sz val="11"/>
      <name val="Calibri"/>
      <family val="2"/>
    </font>
    <font>
      <sz val="11"/>
      <name val="Calibri"/>
      <family val="2"/>
      <scheme val="minor"/>
    </font>
    <font>
      <sz val="11"/>
      <color theme="1"/>
      <name val="Calibri"/>
      <family val="2"/>
      <scheme val="minor"/>
    </font>
    <font>
      <b/>
      <sz val="12"/>
      <color theme="1"/>
      <name val="Calibri"/>
      <family val="2"/>
    </font>
    <font>
      <b/>
      <sz val="11"/>
      <color theme="1"/>
      <name val="Calibri"/>
      <family val="2"/>
    </font>
    <font>
      <sz val="11"/>
      <color theme="1"/>
      <name val="Calibri"/>
      <family val="2"/>
    </font>
    <font>
      <sz val="8"/>
      <name val="Calibri"/>
      <family val="2"/>
      <scheme val="minor"/>
    </font>
    <font>
      <sz val="11"/>
      <color theme="0"/>
      <name val="Calibri"/>
      <family val="2"/>
      <scheme val="minor"/>
    </font>
    <font>
      <b/>
      <sz val="11"/>
      <color theme="0"/>
      <name val="Calibri"/>
      <family val="2"/>
    </font>
    <font>
      <b/>
      <sz val="14"/>
      <color theme="1"/>
      <name val="Calibri"/>
      <family val="2"/>
    </font>
    <font>
      <b/>
      <sz val="9"/>
      <color theme="1"/>
      <name val="Calibri"/>
      <family val="2"/>
    </font>
    <font>
      <sz val="11"/>
      <color theme="1"/>
      <name val="Biome Light"/>
      <family val="2"/>
    </font>
    <font>
      <b/>
      <sz val="11"/>
      <color theme="0"/>
      <name val="Calibri"/>
      <family val="2"/>
      <scheme val="minor"/>
    </font>
    <font>
      <sz val="8"/>
      <color theme="8" tint="-0.499984740745262"/>
      <name val="Century Gothic"/>
      <family val="2"/>
    </font>
    <font>
      <sz val="11"/>
      <color rgb="FFFFFFFF"/>
      <name val="Calibri"/>
      <family val="2"/>
      <scheme val="minor"/>
    </font>
    <font>
      <sz val="11"/>
      <color rgb="FF000000"/>
      <name val="Calibri"/>
      <family val="2"/>
      <scheme val="minor"/>
    </font>
    <font>
      <b/>
      <sz val="11"/>
      <color rgb="FF000000"/>
      <name val="Calibri"/>
      <family val="2"/>
      <scheme val="minor"/>
    </font>
  </fonts>
  <fills count="16">
    <fill>
      <patternFill patternType="none"/>
    </fill>
    <fill>
      <patternFill patternType="gray125"/>
    </fill>
    <fill>
      <patternFill patternType="solid">
        <fgColor theme="4" tint="0.59999389629810485"/>
        <bgColor indexed="65"/>
      </patternFill>
    </fill>
    <fill>
      <patternFill patternType="solid">
        <fgColor rgb="FFC5C4C6"/>
        <bgColor rgb="FFC5C4C6"/>
      </patternFill>
    </fill>
    <fill>
      <patternFill patternType="solid">
        <fgColor theme="4"/>
      </patternFill>
    </fill>
    <fill>
      <patternFill patternType="solid">
        <fgColor theme="5" tint="0.39997558519241921"/>
        <bgColor indexed="65"/>
      </patternFill>
    </fill>
    <fill>
      <patternFill patternType="solid">
        <fgColor theme="3" tint="0.79998168889431442"/>
        <bgColor indexed="64"/>
      </patternFill>
    </fill>
    <fill>
      <patternFill patternType="solid">
        <fgColor theme="5"/>
      </patternFill>
    </fill>
    <fill>
      <patternFill patternType="solid">
        <fgColor theme="5" tint="0.59999389629810485"/>
        <bgColor indexed="65"/>
      </patternFill>
    </fill>
    <fill>
      <patternFill patternType="solid">
        <fgColor theme="7"/>
      </patternFill>
    </fill>
    <fill>
      <patternFill patternType="solid">
        <fgColor theme="7" tint="0.59999389629810485"/>
        <bgColor indexed="65"/>
      </patternFill>
    </fill>
    <fill>
      <patternFill patternType="solid">
        <fgColor theme="4" tint="0.39997558519241921"/>
        <bgColor indexed="65"/>
      </patternFill>
    </fill>
    <fill>
      <patternFill patternType="solid">
        <fgColor theme="4"/>
        <bgColor theme="4"/>
      </patternFill>
    </fill>
    <fill>
      <patternFill patternType="mediumGray">
        <fgColor theme="4" tint="-0.499984740745262"/>
        <bgColor theme="4" tint="-0.24994659260841701"/>
      </patternFill>
    </fill>
    <fill>
      <patternFill patternType="solid">
        <fgColor theme="5" tint="0.39997558519241921"/>
        <bgColor indexed="64"/>
      </patternFill>
    </fill>
    <fill>
      <patternFill patternType="solid">
        <fgColor rgb="FFFF0000"/>
        <bgColor indexed="64"/>
      </patternFill>
    </fill>
  </fills>
  <borders count="47">
    <border>
      <left/>
      <right/>
      <top/>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3" tint="0.39997558519241921"/>
      </top>
      <bottom/>
      <diagonal/>
    </border>
    <border>
      <left style="thin">
        <color theme="3" tint="0.39997558519241921"/>
      </left>
      <right style="thin">
        <color theme="3" tint="0.39997558519241921"/>
      </right>
      <top/>
      <bottom style="thin">
        <color theme="3" tint="0.39997558519241921"/>
      </bottom>
      <diagonal/>
    </border>
    <border>
      <left style="thin">
        <color theme="0"/>
      </left>
      <right style="thin">
        <color theme="0"/>
      </right>
      <top style="thin">
        <color theme="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indexed="64"/>
      </right>
      <top style="thin">
        <color rgb="FF000000"/>
      </top>
      <bottom/>
      <diagonal/>
    </border>
    <border>
      <left/>
      <right style="thin">
        <color indexed="64"/>
      </right>
      <top/>
      <bottom style="thin">
        <color rgb="FF000000"/>
      </bottom>
      <diagonal/>
    </border>
    <border>
      <left style="thin">
        <color rgb="FF000000"/>
      </left>
      <right style="thin">
        <color indexed="64"/>
      </right>
      <top style="thin">
        <color rgb="FF000000"/>
      </top>
      <bottom style="thin">
        <color rgb="FF000000"/>
      </bottom>
      <diagonal/>
    </border>
    <border>
      <left style="thin">
        <color rgb="FF000000"/>
      </left>
      <right/>
      <top/>
      <bottom/>
      <diagonal/>
    </border>
    <border>
      <left style="thin">
        <color indexed="64"/>
      </left>
      <right/>
      <top/>
      <bottom/>
      <diagonal/>
    </border>
    <border>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bottom/>
      <diagonal/>
    </border>
    <border>
      <left style="thin">
        <color rgb="FF000000"/>
      </left>
      <right/>
      <top/>
      <bottom style="thin">
        <color indexed="64"/>
      </bottom>
      <diagonal/>
    </border>
    <border>
      <left/>
      <right style="thin">
        <color indexed="64"/>
      </right>
      <top/>
      <bottom style="thin">
        <color indexed="64"/>
      </bottom>
      <diagonal/>
    </border>
    <border>
      <left/>
      <right style="thin">
        <color indexed="64"/>
      </right>
      <top style="thin">
        <color rgb="FF000000"/>
      </top>
      <bottom style="thin">
        <color indexed="64"/>
      </bottom>
      <diagonal/>
    </border>
    <border>
      <left/>
      <right/>
      <top style="thin">
        <color rgb="FF000000"/>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rgb="FF000000"/>
      </top>
      <bottom style="thin">
        <color rgb="FF000000"/>
      </bottom>
      <diagonal/>
    </border>
    <border>
      <left/>
      <right style="thin">
        <color rgb="FF000000"/>
      </right>
      <top style="thin">
        <color indexed="64"/>
      </top>
      <bottom/>
      <diagonal/>
    </border>
    <border>
      <left style="thin">
        <color rgb="FF000000"/>
      </left>
      <right/>
      <top style="thin">
        <color rgb="FF000000"/>
      </top>
      <bottom style="thin">
        <color indexed="64"/>
      </bottom>
      <diagonal/>
    </border>
    <border>
      <left style="thin">
        <color indexed="64"/>
      </left>
      <right/>
      <top style="thin">
        <color indexed="64"/>
      </top>
      <bottom/>
      <diagonal/>
    </border>
    <border>
      <left style="thin">
        <color rgb="FF000000"/>
      </left>
      <right style="thin">
        <color indexed="64"/>
      </right>
      <top/>
      <bottom/>
      <diagonal/>
    </border>
    <border>
      <left style="thin">
        <color rgb="FF000000"/>
      </left>
      <right style="thin">
        <color indexed="64"/>
      </right>
      <top style="thin">
        <color indexed="64"/>
      </top>
      <bottom/>
      <diagonal/>
    </border>
    <border>
      <left style="thin">
        <color rgb="FF000000"/>
      </left>
      <right style="thin">
        <color indexed="64"/>
      </right>
      <top/>
      <bottom style="thin">
        <color indexed="64"/>
      </bottom>
      <diagonal/>
    </border>
    <border>
      <left style="thin">
        <color rgb="FF000000"/>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rgb="FFFF5050"/>
      </bottom>
      <diagonal/>
    </border>
    <border>
      <left/>
      <right/>
      <top style="dashed">
        <color rgb="FFFF5050"/>
      </top>
      <bottom/>
      <diagonal/>
    </border>
  </borders>
  <cellStyleXfs count="11">
    <xf numFmtId="0" fontId="0" fillId="0" borderId="0"/>
    <xf numFmtId="0" fontId="4" fillId="2" borderId="0"/>
    <xf numFmtId="0" fontId="2" fillId="0" borderId="0">
      <alignment horizontal="center" vertical="top"/>
    </xf>
    <xf numFmtId="0" fontId="9" fillId="4" borderId="0" applyNumberFormat="0" applyBorder="0" applyAlignment="0" applyProtection="0"/>
    <xf numFmtId="0" fontId="4" fillId="5" borderId="0" applyNumberFormat="0" applyBorder="0" applyAlignment="0" applyProtection="0"/>
    <xf numFmtId="0" fontId="9" fillId="7" borderId="0" applyNumberFormat="0" applyBorder="0" applyAlignment="0" applyProtection="0"/>
    <xf numFmtId="0" fontId="4" fillId="8" borderId="0" applyNumberFormat="0" applyBorder="0" applyAlignment="0" applyProtection="0"/>
    <xf numFmtId="0" fontId="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9" fontId="4" fillId="0" borderId="0" applyFont="0" applyFill="0" applyBorder="0" applyAlignment="0" applyProtection="0"/>
  </cellStyleXfs>
  <cellXfs count="197">
    <xf numFmtId="0" fontId="0" fillId="0" borderId="0" xfId="0"/>
    <xf numFmtId="0" fontId="0" fillId="0" borderId="0" xfId="0"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14" fontId="0" fillId="0" borderId="0" xfId="0" applyNumberFormat="1" applyAlignment="1">
      <alignment horizontal="center" vertical="center"/>
    </xf>
    <xf numFmtId="49" fontId="0" fillId="0" borderId="0" xfId="0" applyNumberFormat="1" applyAlignment="1">
      <alignment vertical="center"/>
    </xf>
    <xf numFmtId="49" fontId="0" fillId="0" borderId="0" xfId="0" applyNumberFormat="1" applyAlignment="1">
      <alignment vertical="center" wrapText="1"/>
    </xf>
    <xf numFmtId="49" fontId="4" fillId="2" borderId="0" xfId="1" applyNumberFormat="1" applyAlignment="1">
      <alignment horizontal="center" vertical="center"/>
    </xf>
    <xf numFmtId="49" fontId="1" fillId="0" borderId="1" xfId="0" applyNumberFormat="1" applyFont="1" applyBorder="1" applyAlignment="1">
      <alignment horizontal="center" vertical="center"/>
    </xf>
    <xf numFmtId="0" fontId="1" fillId="0" borderId="1" xfId="0" applyFont="1" applyBorder="1" applyAlignment="1">
      <alignment horizontal="center" vertical="center"/>
    </xf>
    <xf numFmtId="49" fontId="1" fillId="0" borderId="1" xfId="0" applyNumberFormat="1" applyFont="1" applyBorder="1" applyAlignment="1">
      <alignment horizontal="center" vertical="center" wrapText="1"/>
    </xf>
    <xf numFmtId="0" fontId="4" fillId="2" borderId="0" xfId="1" applyAlignment="1">
      <alignment horizontal="center" vertical="center"/>
    </xf>
    <xf numFmtId="49" fontId="4" fillId="2" borderId="0" xfId="1" applyNumberFormat="1" applyAlignment="1">
      <alignment vertical="center"/>
    </xf>
    <xf numFmtId="0" fontId="4" fillId="2" borderId="2" xfId="1" applyBorder="1" applyAlignment="1">
      <alignment vertical="center" wrapText="1"/>
    </xf>
    <xf numFmtId="0" fontId="4" fillId="2" borderId="0" xfId="1" applyAlignment="1">
      <alignment vertical="center" wrapText="1"/>
    </xf>
    <xf numFmtId="0" fontId="0" fillId="0" borderId="0" xfId="0" applyAlignment="1">
      <alignment vertical="center" wrapText="1"/>
    </xf>
    <xf numFmtId="0" fontId="3" fillId="0" borderId="1" xfId="0" applyFont="1" applyBorder="1" applyAlignment="1">
      <alignment horizontal="center" vertical="center" wrapText="1"/>
    </xf>
    <xf numFmtId="0" fontId="4" fillId="2" borderId="2" xfId="1" applyBorder="1" applyAlignment="1">
      <alignment horizontal="center" vertical="center" wrapText="1"/>
    </xf>
    <xf numFmtId="0" fontId="0" fillId="0" borderId="0" xfId="0" applyAlignment="1">
      <alignment horizontal="center" vertical="center" wrapText="1"/>
    </xf>
    <xf numFmtId="0" fontId="3" fillId="0" borderId="3" xfId="0" applyFont="1" applyBorder="1" applyAlignment="1">
      <alignment horizontal="center" vertical="center" wrapText="1"/>
    </xf>
    <xf numFmtId="14" fontId="4" fillId="2" borderId="2" xfId="1" applyNumberFormat="1" applyBorder="1" applyAlignment="1">
      <alignment horizontal="left" vertical="center" wrapText="1"/>
    </xf>
    <xf numFmtId="0" fontId="0" fillId="0" borderId="0" xfId="0" applyAlignment="1">
      <alignment vertical="center"/>
    </xf>
    <xf numFmtId="0" fontId="4" fillId="2" borderId="2" xfId="1" applyBorder="1" applyAlignment="1">
      <alignment horizontal="center" vertical="center"/>
    </xf>
    <xf numFmtId="49" fontId="4" fillId="2" borderId="2" xfId="1" applyNumberFormat="1" applyBorder="1" applyAlignment="1">
      <alignment horizontal="center" vertical="center"/>
    </xf>
    <xf numFmtId="2"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center" wrapText="1"/>
    </xf>
    <xf numFmtId="14" fontId="0" fillId="0" borderId="0" xfId="0" applyNumberFormat="1" applyAlignment="1">
      <alignment horizontal="center"/>
    </xf>
    <xf numFmtId="14" fontId="0" fillId="0" borderId="0" xfId="0" applyNumberFormat="1" applyAlignment="1">
      <alignment horizontal="left" vertical="center" wrapText="1"/>
    </xf>
    <xf numFmtId="49" fontId="4" fillId="2" borderId="0" xfId="1" applyNumberFormat="1" applyAlignment="1">
      <alignment horizontal="center" vertical="center" wrapText="1"/>
    </xf>
    <xf numFmtId="0" fontId="0" fillId="6" borderId="0" xfId="0" applyFill="1"/>
    <xf numFmtId="0" fontId="0" fillId="6" borderId="0" xfId="0" applyFill="1" applyAlignment="1">
      <alignment horizontal="center" vertical="center"/>
    </xf>
    <xf numFmtId="0" fontId="0" fillId="6" borderId="0" xfId="0" applyFill="1" applyAlignment="1">
      <alignment horizontal="center"/>
    </xf>
    <xf numFmtId="0" fontId="1" fillId="0" borderId="1" xfId="0" applyFont="1" applyBorder="1" applyAlignment="1">
      <alignment horizontal="center" vertical="center" wrapText="1"/>
    </xf>
    <xf numFmtId="49" fontId="3" fillId="7" borderId="3" xfId="5" applyNumberFormat="1" applyFont="1" applyBorder="1" applyAlignment="1">
      <alignment horizontal="center" vertical="center" wrapText="1"/>
    </xf>
    <xf numFmtId="49" fontId="4" fillId="8" borderId="0" xfId="6" applyNumberFormat="1" applyAlignment="1">
      <alignment vertical="center"/>
    </xf>
    <xf numFmtId="49" fontId="0" fillId="0" borderId="0" xfId="0" applyNumberFormat="1" applyAlignment="1">
      <alignment horizontal="center" vertical="center" wrapText="1"/>
    </xf>
    <xf numFmtId="0" fontId="4" fillId="11" borderId="2" xfId="9" applyBorder="1" applyAlignment="1">
      <alignment vertical="center"/>
    </xf>
    <xf numFmtId="0" fontId="4" fillId="11" borderId="0" xfId="9" applyAlignment="1">
      <alignment vertical="center"/>
    </xf>
    <xf numFmtId="14" fontId="4" fillId="11" borderId="2" xfId="9" applyNumberFormat="1" applyBorder="1" applyAlignment="1">
      <alignment vertical="center"/>
    </xf>
    <xf numFmtId="14" fontId="0" fillId="0" borderId="0" xfId="0" applyNumberFormat="1" applyAlignment="1">
      <alignment vertical="center"/>
    </xf>
    <xf numFmtId="10" fontId="0" fillId="0" borderId="0" xfId="0" applyNumberFormat="1"/>
    <xf numFmtId="164" fontId="0" fillId="0" borderId="0" xfId="0" applyNumberFormat="1" applyAlignment="1">
      <alignment horizontal="center" vertical="center" wrapText="1"/>
    </xf>
    <xf numFmtId="0" fontId="4" fillId="11" borderId="0" xfId="9" applyAlignment="1">
      <alignment horizontal="center" vertical="center" wrapText="1"/>
    </xf>
    <xf numFmtId="49" fontId="9" fillId="7" borderId="1" xfId="5" applyNumberFormat="1" applyBorder="1" applyAlignment="1">
      <alignment horizontal="center" vertical="center" wrapText="1"/>
    </xf>
    <xf numFmtId="49" fontId="9" fillId="9" borderId="1" xfId="7" applyNumberFormat="1" applyBorder="1" applyAlignment="1">
      <alignment horizontal="center" vertical="center" wrapText="1"/>
    </xf>
    <xf numFmtId="49" fontId="4" fillId="10" borderId="4" xfId="8" applyNumberFormat="1" applyBorder="1" applyAlignment="1">
      <alignment horizontal="left" vertical="center"/>
    </xf>
    <xf numFmtId="49" fontId="4" fillId="8" borderId="0" xfId="6" applyNumberFormat="1" applyBorder="1" applyAlignment="1">
      <alignment horizontal="left" vertical="center"/>
    </xf>
    <xf numFmtId="0" fontId="4" fillId="11" borderId="2" xfId="9" applyNumberFormat="1" applyBorder="1" applyAlignment="1">
      <alignment horizontal="center" vertical="center"/>
    </xf>
    <xf numFmtId="0" fontId="4" fillId="11" borderId="0" xfId="9" applyBorder="1" applyAlignment="1">
      <alignment vertical="center"/>
    </xf>
    <xf numFmtId="49" fontId="1" fillId="0" borderId="3" xfId="0" applyNumberFormat="1" applyFont="1" applyBorder="1" applyAlignment="1">
      <alignment horizontal="center" vertical="center" wrapText="1"/>
    </xf>
    <xf numFmtId="0" fontId="6" fillId="3" borderId="11" xfId="0" applyFont="1" applyFill="1" applyBorder="1" applyAlignment="1">
      <alignment horizontal="center" vertical="center" wrapText="1"/>
    </xf>
    <xf numFmtId="0" fontId="0" fillId="0" borderId="27"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0" fillId="0" borderId="29"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0" fillId="0" borderId="29" xfId="0" applyBorder="1"/>
    <xf numFmtId="0" fontId="0" fillId="0" borderId="20" xfId="0" applyBorder="1" applyAlignment="1">
      <alignment horizontal="center" vertical="center"/>
    </xf>
    <xf numFmtId="0" fontId="0" fillId="0" borderId="24" xfId="0" applyBorder="1"/>
    <xf numFmtId="10" fontId="0" fillId="0" borderId="29" xfId="0" applyNumberFormat="1" applyBorder="1"/>
    <xf numFmtId="10" fontId="0" fillId="0" borderId="12" xfId="0" applyNumberFormat="1" applyBorder="1"/>
    <xf numFmtId="10" fontId="0" fillId="0" borderId="23" xfId="0" applyNumberFormat="1" applyBorder="1"/>
    <xf numFmtId="10" fontId="0" fillId="0" borderId="25" xfId="0" applyNumberFormat="1" applyBorder="1"/>
    <xf numFmtId="2" fontId="0" fillId="0" borderId="12" xfId="0" applyNumberFormat="1" applyBorder="1"/>
    <xf numFmtId="2" fontId="0" fillId="0" borderId="23" xfId="0" applyNumberFormat="1" applyBorder="1"/>
    <xf numFmtId="0" fontId="0" fillId="0" borderId="12"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2" xfId="0" applyBorder="1" applyAlignment="1">
      <alignment horizontal="center" vertical="center"/>
    </xf>
    <xf numFmtId="0" fontId="0" fillId="0" borderId="28" xfId="0" applyBorder="1" applyAlignment="1">
      <alignment horizontal="center" vertical="center"/>
    </xf>
    <xf numFmtId="14" fontId="1" fillId="0" borderId="1" xfId="0" applyNumberFormat="1" applyFont="1" applyBorder="1" applyAlignment="1">
      <alignment horizontal="center" vertical="center"/>
    </xf>
    <xf numFmtId="0" fontId="0" fillId="0" borderId="20" xfId="0" applyBorder="1"/>
    <xf numFmtId="0" fontId="0" fillId="0" borderId="39" xfId="0"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49" fontId="10" fillId="12" borderId="1" xfId="0" applyNumberFormat="1" applyFont="1" applyFill="1" applyBorder="1" applyAlignment="1">
      <alignment horizontal="center" vertical="center" wrapText="1"/>
    </xf>
    <xf numFmtId="0" fontId="10" fillId="12" borderId="1" xfId="0" applyFont="1" applyFill="1" applyBorder="1" applyAlignment="1">
      <alignment horizontal="center" vertical="center" wrapText="1"/>
    </xf>
    <xf numFmtId="14" fontId="0" fillId="0" borderId="0" xfId="0" applyNumberFormat="1"/>
    <xf numFmtId="14" fontId="10" fillId="12" borderId="1" xfId="0" applyNumberFormat="1" applyFont="1" applyFill="1" applyBorder="1" applyAlignment="1">
      <alignment horizontal="center" vertical="center" wrapText="1"/>
    </xf>
    <xf numFmtId="0" fontId="4" fillId="13" borderId="0" xfId="4" applyFill="1" applyAlignment="1">
      <alignment horizontal="center"/>
    </xf>
    <xf numFmtId="0" fontId="0" fillId="0" borderId="0" xfId="0" pivotButton="1"/>
    <xf numFmtId="0" fontId="0" fillId="0" borderId="0" xfId="0" applyAlignment="1">
      <alignment horizontal="left"/>
    </xf>
    <xf numFmtId="10" fontId="0" fillId="0" borderId="20" xfId="0" applyNumberFormat="1" applyBorder="1" applyAlignment="1">
      <alignment horizontal="center" vertical="center"/>
    </xf>
    <xf numFmtId="0" fontId="0" fillId="0" borderId="33" xfId="0" applyBorder="1"/>
    <xf numFmtId="0" fontId="0" fillId="0" borderId="16" xfId="0" applyBorder="1"/>
    <xf numFmtId="0" fontId="0" fillId="0" borderId="42" xfId="0" applyBorder="1"/>
    <xf numFmtId="0" fontId="0" fillId="0" borderId="28" xfId="0" applyBorder="1"/>
    <xf numFmtId="9" fontId="0" fillId="0" borderId="0" xfId="0" applyNumberFormat="1" applyAlignment="1">
      <alignment horizontal="center" vertical="center"/>
    </xf>
    <xf numFmtId="0" fontId="6" fillId="3" borderId="43" xfId="0" applyFont="1" applyFill="1" applyBorder="1" applyAlignment="1">
      <alignment horizontal="center" vertical="center" wrapText="1"/>
    </xf>
    <xf numFmtId="9" fontId="0" fillId="0" borderId="0" xfId="10" applyFont="1" applyAlignment="1">
      <alignment horizontal="center" vertical="center"/>
    </xf>
    <xf numFmtId="0" fontId="0" fillId="0" borderId="44" xfId="0" applyBorder="1" applyAlignment="1">
      <alignment horizontal="center" vertical="center"/>
    </xf>
    <xf numFmtId="14" fontId="4" fillId="2" borderId="0" xfId="1" applyNumberFormat="1" applyAlignment="1">
      <alignment horizontal="center" vertical="center"/>
    </xf>
    <xf numFmtId="14" fontId="0" fillId="6" borderId="0" xfId="0" applyNumberFormat="1" applyFill="1" applyAlignment="1">
      <alignment horizontal="center"/>
    </xf>
    <xf numFmtId="0" fontId="13" fillId="0" borderId="11" xfId="0" applyFont="1" applyBorder="1" applyAlignment="1">
      <alignment horizontal="center" vertical="center"/>
    </xf>
    <xf numFmtId="165" fontId="4" fillId="2" borderId="0" xfId="1" applyNumberFormat="1" applyAlignment="1">
      <alignment horizontal="center" vertical="center"/>
    </xf>
    <xf numFmtId="165" fontId="4" fillId="11" borderId="0" xfId="9" applyNumberFormat="1" applyAlignment="1">
      <alignment horizontal="center" vertical="center" wrapText="1"/>
    </xf>
    <xf numFmtId="165" fontId="0" fillId="0" borderId="0" xfId="0" applyNumberFormat="1"/>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31"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0" borderId="0" xfId="0" applyFont="1"/>
    <xf numFmtId="9" fontId="6" fillId="3" borderId="11" xfId="0" applyNumberFormat="1" applyFont="1" applyFill="1" applyBorder="1" applyAlignment="1">
      <alignment horizontal="center" vertical="center" wrapText="1"/>
    </xf>
    <xf numFmtId="0" fontId="6" fillId="3" borderId="26" xfId="0" applyFont="1" applyFill="1" applyBorder="1" applyAlignment="1">
      <alignment horizontal="center" vertical="center" wrapText="1"/>
    </xf>
    <xf numFmtId="9" fontId="7" fillId="0" borderId="0" xfId="0" applyNumberFormat="1" applyFont="1"/>
    <xf numFmtId="0" fontId="6" fillId="3" borderId="11" xfId="0" applyFont="1" applyFill="1" applyBorder="1" applyAlignment="1">
      <alignment horizontal="left" vertical="center"/>
    </xf>
    <xf numFmtId="14" fontId="6" fillId="0" borderId="0" xfId="0" applyNumberFormat="1" applyFont="1" applyAlignment="1">
      <alignment horizontal="center" vertical="center"/>
    </xf>
    <xf numFmtId="1" fontId="4" fillId="2" borderId="0" xfId="1" applyNumberFormat="1" applyAlignment="1">
      <alignment horizontal="center" vertical="center"/>
    </xf>
    <xf numFmtId="1" fontId="0" fillId="0" borderId="0" xfId="0" applyNumberFormat="1" applyAlignment="1">
      <alignment horizontal="center" vertical="center"/>
    </xf>
    <xf numFmtId="14" fontId="4" fillId="2" borderId="0" xfId="1" applyNumberFormat="1" applyAlignment="1">
      <alignment horizontal="left" vertical="center"/>
    </xf>
    <xf numFmtId="49" fontId="9" fillId="5" borderId="1" xfId="4" applyNumberFormat="1" applyFont="1" applyBorder="1" applyAlignment="1">
      <alignment horizontal="center" vertical="center"/>
    </xf>
    <xf numFmtId="2" fontId="14" fillId="0" borderId="1" xfId="0" applyNumberFormat="1" applyFont="1" applyBorder="1" applyAlignment="1">
      <alignment horizontal="center" vertical="center"/>
    </xf>
    <xf numFmtId="0" fontId="10" fillId="0" borderId="1" xfId="0" applyFont="1" applyBorder="1" applyAlignment="1">
      <alignment horizontal="center" vertical="center"/>
    </xf>
    <xf numFmtId="1" fontId="10" fillId="14" borderId="1" xfId="0" applyNumberFormat="1" applyFont="1" applyFill="1" applyBorder="1" applyAlignment="1">
      <alignment horizontal="center" vertical="center"/>
    </xf>
    <xf numFmtId="49" fontId="10" fillId="0" borderId="1" xfId="0" applyNumberFormat="1" applyFont="1" applyBorder="1" applyAlignment="1">
      <alignment horizontal="center" vertical="center"/>
    </xf>
    <xf numFmtId="0" fontId="9" fillId="5" borderId="3" xfId="4" applyFont="1" applyBorder="1" applyAlignment="1">
      <alignment horizontal="center" vertical="center"/>
    </xf>
    <xf numFmtId="0" fontId="9" fillId="5" borderId="3" xfId="4" applyNumberFormat="1" applyFont="1" applyBorder="1" applyAlignment="1">
      <alignment horizontal="center" vertical="center"/>
    </xf>
    <xf numFmtId="0" fontId="9" fillId="4" borderId="3" xfId="3" applyBorder="1" applyAlignment="1">
      <alignment horizontal="center" vertical="center"/>
    </xf>
    <xf numFmtId="0" fontId="9" fillId="4" borderId="1" xfId="3" applyBorder="1" applyAlignment="1">
      <alignment horizontal="center" vertical="center"/>
    </xf>
    <xf numFmtId="49" fontId="9" fillId="4" borderId="3" xfId="3" applyNumberFormat="1" applyBorder="1" applyAlignment="1">
      <alignment horizontal="center" vertical="center"/>
    </xf>
    <xf numFmtId="49" fontId="9" fillId="7" borderId="3" xfId="5" applyNumberFormat="1" applyBorder="1" applyAlignment="1">
      <alignment horizontal="center" vertical="center"/>
    </xf>
    <xf numFmtId="0" fontId="9" fillId="4" borderId="3" xfId="3" applyNumberFormat="1" applyBorder="1" applyAlignment="1">
      <alignment horizontal="center" vertical="center"/>
    </xf>
    <xf numFmtId="0" fontId="6" fillId="3" borderId="17" xfId="0" applyFont="1" applyFill="1" applyBorder="1" applyAlignment="1">
      <alignment horizontal="center" vertical="center" wrapText="1"/>
    </xf>
    <xf numFmtId="49" fontId="17" fillId="0" borderId="0" xfId="0" applyNumberFormat="1" applyFont="1" applyAlignment="1">
      <alignment horizontal="left" vertical="center"/>
    </xf>
    <xf numFmtId="10" fontId="0" fillId="0" borderId="44" xfId="0" applyNumberFormat="1" applyBorder="1" applyAlignment="1">
      <alignment horizontal="center" vertical="center"/>
    </xf>
    <xf numFmtId="0" fontId="0" fillId="6" borderId="0" xfId="0" applyFill="1" applyAlignment="1">
      <alignment horizontal="center" wrapText="1"/>
    </xf>
    <xf numFmtId="166" fontId="0" fillId="6" borderId="0" xfId="0" applyNumberFormat="1" applyFill="1" applyAlignment="1">
      <alignment horizontal="center"/>
    </xf>
    <xf numFmtId="166" fontId="3" fillId="0" borderId="45" xfId="0" applyNumberFormat="1" applyFont="1" applyBorder="1" applyAlignment="1">
      <alignment horizontal="center"/>
    </xf>
    <xf numFmtId="0" fontId="4" fillId="2" borderId="0" xfId="1" applyAlignment="1">
      <alignment horizontal="left" vertical="center" wrapText="1"/>
    </xf>
    <xf numFmtId="14" fontId="16" fillId="15" borderId="0" xfId="1" applyNumberFormat="1" applyFont="1" applyFill="1" applyAlignment="1">
      <alignment horizontal="center" vertical="center"/>
    </xf>
    <xf numFmtId="2" fontId="0" fillId="0" borderId="25" xfId="0" applyNumberFormat="1" applyBorder="1"/>
    <xf numFmtId="166" fontId="3" fillId="2" borderId="46" xfId="1" applyNumberFormat="1" applyFont="1" applyBorder="1" applyAlignment="1">
      <alignment horizontal="center"/>
    </xf>
    <xf numFmtId="167" fontId="17" fillId="0" borderId="45" xfId="1" applyNumberFormat="1" applyFont="1" applyFill="1" applyBorder="1" applyAlignment="1">
      <alignment horizontal="left" vertical="center"/>
    </xf>
    <xf numFmtId="167" fontId="4" fillId="2" borderId="0" xfId="1" applyNumberFormat="1" applyAlignment="1">
      <alignment horizontal="center" vertical="center"/>
    </xf>
    <xf numFmtId="167" fontId="15" fillId="2" borderId="45" xfId="1" applyNumberFormat="1" applyFont="1" applyBorder="1" applyAlignment="1">
      <alignment horizontal="left" vertical="center"/>
    </xf>
    <xf numFmtId="49" fontId="13" fillId="2" borderId="44" xfId="1" applyNumberFormat="1" applyFont="1" applyBorder="1" applyAlignment="1">
      <alignment horizontal="center" vertical="center"/>
    </xf>
    <xf numFmtId="0" fontId="17" fillId="0" borderId="3" xfId="4" applyNumberFormat="1" applyFont="1" applyFill="1" applyBorder="1" applyAlignment="1">
      <alignment horizontal="center" vertical="center"/>
    </xf>
    <xf numFmtId="167" fontId="17" fillId="0" borderId="0" xfId="1" applyNumberFormat="1" applyFont="1" applyFill="1" applyAlignment="1">
      <alignment horizontal="left" vertical="center"/>
    </xf>
    <xf numFmtId="167" fontId="15" fillId="2" borderId="0" xfId="1" applyNumberFormat="1" applyFont="1" applyAlignment="1">
      <alignment horizontal="left" vertical="center"/>
    </xf>
    <xf numFmtId="14" fontId="3" fillId="2" borderId="0" xfId="1" applyNumberFormat="1" applyFont="1" applyAlignment="1">
      <alignment horizontal="left" vertical="center"/>
    </xf>
    <xf numFmtId="167" fontId="3" fillId="2" borderId="45" xfId="1" applyNumberFormat="1" applyFont="1" applyBorder="1" applyAlignment="1">
      <alignment horizontal="left" vertical="center"/>
    </xf>
    <xf numFmtId="167" fontId="3" fillId="2" borderId="0" xfId="1" applyNumberFormat="1" applyFont="1" applyAlignment="1">
      <alignment horizontal="left" vertical="center"/>
    </xf>
    <xf numFmtId="49" fontId="18" fillId="0" borderId="1" xfId="0" applyNumberFormat="1" applyFont="1" applyBorder="1" applyAlignment="1">
      <alignment horizontal="left" vertical="center"/>
    </xf>
    <xf numFmtId="167" fontId="15" fillId="2" borderId="45" xfId="1" applyNumberFormat="1" applyFont="1" applyBorder="1" applyAlignment="1">
      <alignment horizontal="center" vertical="center"/>
    </xf>
    <xf numFmtId="168" fontId="0" fillId="6" borderId="0" xfId="0" applyNumberFormat="1" applyFill="1"/>
    <xf numFmtId="14" fontId="17" fillId="0" borderId="0" xfId="1" applyNumberFormat="1" applyFont="1" applyFill="1" applyAlignment="1">
      <alignment horizontal="center" vertical="center"/>
    </xf>
    <xf numFmtId="14" fontId="17" fillId="0" borderId="0" xfId="0" applyNumberFormat="1" applyFont="1" applyAlignment="1">
      <alignment horizontal="center" vertical="center"/>
    </xf>
    <xf numFmtId="0" fontId="16" fillId="15" borderId="45" xfId="0" applyFont="1" applyFill="1" applyBorder="1"/>
    <xf numFmtId="49" fontId="9" fillId="4" borderId="1" xfId="3" applyNumberFormat="1" applyBorder="1" applyAlignment="1">
      <alignment horizontal="center" vertical="center" wrapText="1"/>
    </xf>
    <xf numFmtId="49" fontId="9" fillId="4" borderId="3" xfId="3" applyNumberFormat="1" applyBorder="1" applyAlignment="1">
      <alignment horizontal="left" vertical="center" wrapText="1"/>
    </xf>
    <xf numFmtId="0" fontId="0" fillId="0" borderId="0" xfId="0" applyAlignment="1">
      <alignment horizontal="left" wrapText="1"/>
    </xf>
    <xf numFmtId="0" fontId="6" fillId="3" borderId="22" xfId="0" applyFont="1" applyFill="1" applyBorder="1" applyAlignment="1">
      <alignment horizontal="center" vertical="center" wrapText="1"/>
    </xf>
    <xf numFmtId="0" fontId="6" fillId="3" borderId="38" xfId="0" applyFont="1" applyFill="1" applyBorder="1" applyAlignment="1">
      <alignment horizontal="center" vertical="center" wrapText="1"/>
    </xf>
    <xf numFmtId="0" fontId="6" fillId="3" borderId="1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11" fillId="0" borderId="18"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6" fillId="3" borderId="30" xfId="0" applyFont="1" applyFill="1" applyBorder="1" applyAlignment="1">
      <alignment horizontal="center" vertical="center" wrapText="1"/>
    </xf>
    <xf numFmtId="14" fontId="5" fillId="3" borderId="15" xfId="0" applyNumberFormat="1" applyFont="1" applyFill="1" applyBorder="1" applyAlignment="1">
      <alignment horizontal="center" vertical="center"/>
    </xf>
    <xf numFmtId="14" fontId="5" fillId="3" borderId="0" xfId="0" applyNumberFormat="1" applyFont="1" applyFill="1" applyAlignment="1">
      <alignment horizontal="center" vertical="center"/>
    </xf>
    <xf numFmtId="49" fontId="7" fillId="0" borderId="16" xfId="0" applyNumberFormat="1" applyFont="1" applyBorder="1" applyAlignment="1">
      <alignment horizontal="center" vertical="center"/>
    </xf>
    <xf numFmtId="49" fontId="7" fillId="0" borderId="0" xfId="0" applyNumberFormat="1" applyFont="1" applyAlignment="1">
      <alignment horizontal="center" vertical="center"/>
    </xf>
    <xf numFmtId="0" fontId="6" fillId="0" borderId="16" xfId="0" applyFont="1" applyBorder="1" applyAlignment="1">
      <alignment horizontal="center" vertical="center" wrapText="1"/>
    </xf>
    <xf numFmtId="0" fontId="6" fillId="0" borderId="0" xfId="0" applyFont="1" applyAlignment="1">
      <alignment horizontal="center" vertical="center" wrapText="1"/>
    </xf>
    <xf numFmtId="0" fontId="5" fillId="3" borderId="15" xfId="0" applyFont="1" applyFill="1" applyBorder="1" applyAlignment="1">
      <alignment horizontal="center" vertical="center"/>
    </xf>
    <xf numFmtId="0" fontId="5" fillId="3" borderId="0" xfId="0" applyFont="1" applyFill="1" applyAlignment="1">
      <alignment horizontal="center" vertical="center"/>
    </xf>
    <xf numFmtId="0" fontId="0" fillId="0" borderId="0" xfId="0" applyAlignment="1">
      <alignment horizontal="center"/>
    </xf>
    <xf numFmtId="14" fontId="6" fillId="0" borderId="14" xfId="0" applyNumberFormat="1" applyFont="1" applyBorder="1" applyAlignment="1">
      <alignment horizontal="center" vertical="center" wrapText="1"/>
    </xf>
    <xf numFmtId="14" fontId="0" fillId="0" borderId="12" xfId="0" applyNumberFormat="1" applyBorder="1" applyAlignment="1">
      <alignment horizontal="center"/>
    </xf>
    <xf numFmtId="14" fontId="0" fillId="0" borderId="7" xfId="0" applyNumberFormat="1" applyBorder="1" applyAlignment="1">
      <alignment horizontal="center"/>
    </xf>
    <xf numFmtId="14" fontId="0" fillId="0" borderId="13" xfId="0" applyNumberFormat="1" applyBorder="1" applyAlignment="1">
      <alignment horizontal="center"/>
    </xf>
    <xf numFmtId="0" fontId="7" fillId="0" borderId="11" xfId="0" applyFont="1" applyBorder="1" applyAlignment="1">
      <alignment horizontal="center" vertical="center" wrapText="1"/>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6" fillId="0" borderId="11" xfId="0" applyFont="1" applyBorder="1" applyAlignment="1">
      <alignment horizontal="center" vertical="center" wrapText="1"/>
    </xf>
    <xf numFmtId="0" fontId="0" fillId="0" borderId="10" xfId="0" applyBorder="1"/>
    <xf numFmtId="0" fontId="0" fillId="0" borderId="8" xfId="0" applyBorder="1" applyAlignment="1">
      <alignment horizontal="center"/>
    </xf>
    <xf numFmtId="0" fontId="0" fillId="0" borderId="0" xfId="0"/>
    <xf numFmtId="0" fontId="7" fillId="0" borderId="14" xfId="0" applyFont="1" applyBorder="1" applyAlignment="1">
      <alignment horizontal="center" vertical="center" wrapText="1"/>
    </xf>
    <xf numFmtId="0" fontId="0" fillId="0" borderId="12" xfId="0" applyBorder="1"/>
    <xf numFmtId="0" fontId="0" fillId="0" borderId="13" xfId="0" applyBorder="1"/>
    <xf numFmtId="49" fontId="17" fillId="0" borderId="0" xfId="0" applyNumberFormat="1" applyFont="1" applyFill="1" applyAlignment="1">
      <alignment horizontal="left" vertical="center"/>
    </xf>
    <xf numFmtId="14" fontId="17" fillId="0" borderId="0" xfId="0" applyNumberFormat="1" applyFont="1" applyFill="1" applyAlignment="1">
      <alignment horizontal="center" vertical="center"/>
    </xf>
  </cellXfs>
  <cellStyles count="11">
    <cellStyle name="40% - Énfasis1" xfId="1" builtinId="31"/>
    <cellStyle name="40% - Énfasis2" xfId="6" builtinId="35"/>
    <cellStyle name="40% - Énfasis4" xfId="8" builtinId="43"/>
    <cellStyle name="60% - Énfasis1" xfId="9" builtinId="32"/>
    <cellStyle name="60% - Énfasis2" xfId="4" builtinId="36"/>
    <cellStyle name="Énfasis1" xfId="3" builtinId="29"/>
    <cellStyle name="Énfasis2" xfId="5" builtinId="33"/>
    <cellStyle name="Énfasis4" xfId="7" builtinId="41"/>
    <cellStyle name="Estilo 1" xfId="2" xr:uid="{00000000-0005-0000-0000-000002000000}"/>
    <cellStyle name="Normal" xfId="0" builtinId="0"/>
    <cellStyle name="Porcentaje" xfId="10" builtinId="5"/>
  </cellStyles>
  <dxfs count="20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vertical="center" wrapText="1"/>
    </dxf>
    <dxf>
      <alignment horizontal="center" vertical="center"/>
    </dxf>
    <dxf>
      <numFmt numFmtId="30" formatCode="@"/>
      <alignment vertical="center"/>
    </dxf>
    <dxf>
      <numFmt numFmtId="0" formatCode="General"/>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vertical="center"/>
      <border>
        <left style="thin">
          <color theme="3" tint="0.39997558519241921"/>
        </left>
        <right style="thin">
          <color theme="3" tint="0.39997558519241921"/>
        </right>
        <top/>
        <bottom/>
        <vertical style="thin">
          <color theme="3" tint="0.39997558519241921"/>
        </vertical>
        <horizontal style="thin">
          <color theme="3" tint="0.39997558519241921"/>
        </horizontal>
      </border>
    </dxf>
    <dxf>
      <alignment vertical="center"/>
    </dxf>
    <dxf>
      <alignment vertical="center"/>
    </dxf>
    <dxf>
      <numFmt numFmtId="19" formatCode="dd/mm/yyyy"/>
      <alignment vertical="center"/>
    </dxf>
    <dxf>
      <numFmt numFmtId="19" formatCode="dd/mm/yyyy"/>
      <alignment vertical="center"/>
    </dxf>
    <dxf>
      <alignment vertical="center"/>
      <border outline="0">
        <left/>
        <right/>
        <top style="thin">
          <color theme="3" tint="0.39997558519241921"/>
        </top>
        <bottom/>
      </border>
    </dxf>
    <dxf>
      <alignment vertical="center"/>
    </dxf>
    <dxf>
      <alignment horizontal="general"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border outline="0">
        <left/>
        <right/>
        <top style="thin">
          <color theme="3" tint="0.39997558519241921"/>
        </top>
        <bottom/>
      </border>
    </dxf>
    <dxf>
      <alignment horizontal="general" vertical="center" textRotation="0" wrapText="0" indent="0" justifyLastLine="0" shrinkToFit="0" readingOrder="0"/>
      <border diagonalUp="0" diagonalDown="0">
        <left/>
        <right/>
        <top style="thin">
          <color theme="3" tint="0.39997558519241921"/>
        </top>
        <bottom/>
        <vertical/>
        <horizontal/>
      </border>
    </dxf>
    <dxf>
      <alignment vertical="center"/>
    </dxf>
    <dxf>
      <alignment vertical="center"/>
    </dxf>
    <dxf>
      <border>
        <bottom style="thin">
          <color theme="3" tint="0.39997558519241921"/>
        </bottom>
      </border>
    </dxf>
    <dxf>
      <font>
        <strike val="0"/>
        <outline val="0"/>
        <shadow val="0"/>
        <vertAlign val="baseline"/>
        <sz val="11"/>
        <color auto="1"/>
        <name val="Calibri"/>
        <family val="2"/>
        <scheme val="minor"/>
      </font>
      <alignment horizontal="center" vertical="center" textRotation="0" wrapText="1" indent="0" justifyLastLine="0" shrinkToFit="0" readingOrder="0"/>
      <border outline="0">
        <left style="thin">
          <color theme="3" tint="0.39997558519241921"/>
        </left>
        <right style="thin">
          <color theme="3" tint="0.39997558519241921"/>
        </right>
        <top/>
        <bottom/>
      </border>
    </dxf>
    <dxf>
      <numFmt numFmtId="168" formatCode="[$-10491]dd/mm/yyyy;@"/>
      <fill>
        <patternFill patternType="solid">
          <fgColor indexed="64"/>
          <bgColor theme="3" tint="0.79998168889431442"/>
        </patternFill>
      </fill>
    </dxf>
    <dxf>
      <numFmt numFmtId="0" formatCode="General"/>
      <fill>
        <patternFill patternType="solid">
          <fgColor indexed="64"/>
          <bgColor theme="3" tint="0.79998168889431442"/>
        </patternFill>
      </fill>
      <alignment horizontal="center" vertical="bottom" textRotation="0" wrapText="1"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9" formatCode="dd/mm/yyyy"/>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bottom" textRotation="0" wrapText="0" indent="0" justifyLastLine="0" shrinkToFit="0" readingOrder="0"/>
    </dxf>
    <dxf>
      <numFmt numFmtId="166" formatCode="00000000"/>
      <fill>
        <patternFill patternType="solid">
          <fgColor indexed="64"/>
          <bgColor theme="3" tint="0.79998168889431442"/>
        </patternFill>
      </fill>
      <alignment horizontal="center" vertical="bottom" textRotation="0" wrapText="0" indent="0" justifyLastLine="0" shrinkToFit="0" readingOrder="0"/>
    </dxf>
    <dxf>
      <fill>
        <patternFill patternType="solid">
          <fgColor indexed="64"/>
          <bgColor theme="3" tint="0.79998168889431442"/>
        </patternFill>
      </fill>
      <alignment horizontal="center" vertical="center" textRotation="0" wrapText="0" indent="0" justifyLastLine="0" shrinkToFit="0" readingOrder="0"/>
    </dxf>
    <dxf>
      <numFmt numFmtId="0" formatCode="General"/>
      <fill>
        <patternFill patternType="solid">
          <fgColor indexed="64"/>
          <bgColor theme="3" tint="0.79998168889431442"/>
        </patternFill>
      </fill>
    </dxf>
    <dxf>
      <fill>
        <patternFill patternType="solid">
          <fgColor indexed="64"/>
          <bgColor theme="3" tint="0.79998168889431442"/>
        </patternFill>
      </fill>
    </dxf>
    <dxf>
      <font>
        <b/>
        <i val="0"/>
        <strike val="0"/>
        <condense val="0"/>
        <extend val="0"/>
        <outline val="0"/>
        <shadow val="0"/>
        <u val="none"/>
        <vertAlign val="baseline"/>
        <sz val="11"/>
        <color theme="1"/>
        <name val="Calibri"/>
        <scheme val="none"/>
      </font>
      <alignment horizontal="center" vertical="center" textRotation="0" wrapText="0" indent="0" justifyLastLine="0" shrinkToFit="0" readingOrder="0"/>
    </dxf>
    <dxf>
      <alignment horizontal="center" vertical="center"/>
    </dxf>
    <dxf>
      <alignment horizontal="center" vertical="center"/>
    </dxf>
    <dxf>
      <numFmt numFmtId="0" formatCode="General"/>
      <alignment horizontal="center" vertical="center"/>
    </dxf>
    <dxf>
      <numFmt numFmtId="30" formatCode="@"/>
      <alignment horizontal="center" vertical="center"/>
      <border outline="0">
        <left/>
        <right/>
        <top style="thin">
          <color theme="3" tint="0.39997558519241921"/>
        </top>
        <bottom/>
      </border>
    </dxf>
    <dxf>
      <numFmt numFmtId="0" formatCode="General"/>
      <alignment horizontal="center" vertical="center"/>
    </dxf>
    <dxf>
      <alignment vertical="center"/>
    </dxf>
    <dxf>
      <alignment vertical="center"/>
    </dxf>
    <dxf>
      <border>
        <bottom style="thin">
          <color rgb="FF538DD5"/>
        </bottom>
      </border>
    </dxf>
    <dxf>
      <alignment vertical="center"/>
      <border outline="0">
        <left style="thin">
          <color theme="3" tint="0.39997558519241921"/>
        </left>
        <right style="thin">
          <color theme="3" tint="0.39997558519241921"/>
        </right>
        <top/>
        <bottom/>
      </border>
    </dxf>
    <dxf>
      <numFmt numFmtId="165"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dxf>
    <dxf>
      <numFmt numFmtId="30" formatCode="@"/>
      <alignment horizontal="center" vertical="center"/>
    </dxf>
    <dxf>
      <alignment horizontal="center" vertical="center"/>
    </dxf>
    <dxf>
      <numFmt numFmtId="30" formatCode="@"/>
      <alignment horizontal="center" vertical="center"/>
    </dxf>
    <dxf>
      <numFmt numFmtId="30" formatCode="@"/>
      <alignment horizontal="center" vertical="center"/>
    </dxf>
    <dxf>
      <numFmt numFmtId="30" formatCode="@"/>
      <alignment horizontal="left" vertical="center"/>
    </dxf>
    <dxf>
      <numFmt numFmtId="30" formatCode="@"/>
      <alignment horizontal="left" vertical="center"/>
      <border outline="0">
        <left style="thin">
          <color theme="0"/>
        </left>
        <right style="thin">
          <color theme="0"/>
        </right>
        <top style="thin">
          <color theme="0"/>
        </top>
        <bottom style="thin">
          <color theme="0"/>
        </bottom>
      </border>
    </dxf>
    <dxf>
      <alignment horizontal="center" vertical="center"/>
    </dxf>
    <dxf>
      <numFmt numFmtId="30" formatCode="@"/>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horizontal="center" vertical="center"/>
    </dxf>
    <dxf>
      <alignment horizontal="center" vertical="center"/>
    </dxf>
    <dxf>
      <border>
        <bottom style="thin">
          <color theme="3" tint="0.39997558519241921"/>
        </bottom>
      </border>
    </dxf>
    <dxf>
      <alignment horizontal="center" vertical="center"/>
      <border outline="0">
        <left style="thin">
          <color theme="3" tint="0.39997558519241921"/>
        </left>
        <right style="thin">
          <color theme="3" tint="0.39997558519241921"/>
        </right>
        <top/>
        <bottom/>
      </border>
    </dxf>
    <dxf>
      <alignment horizontal="general" vertical="center" wrapText="1"/>
    </dxf>
    <dxf>
      <alignment horizontal="center" vertical="center" wrapText="1"/>
    </dxf>
    <dxf>
      <alignment horizontal="general" vertical="center" wrapText="1"/>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textRotation="0" wrapText="1" indent="0" justifyLastLine="0" shrinkToFit="0" readingOrder="0"/>
      <border diagonalUp="0" diagonalDown="0">
        <left/>
        <right/>
        <top style="thin">
          <color theme="3" tint="0.39997558519241921"/>
        </top>
        <bottom/>
        <vertical/>
        <horizontal/>
      </border>
    </dxf>
    <dxf>
      <alignment horizontal="center" vertical="center" wrapText="1"/>
    </dxf>
    <dxf>
      <numFmt numFmtId="19" formatCode="dd/mm/yyyy"/>
      <alignment horizontal="left" vertical="center" wrapText="1"/>
      <border outline="0">
        <left/>
        <right/>
        <top style="thin">
          <color theme="3" tint="0.39997558519241921"/>
        </top>
        <bottom/>
      </border>
    </dxf>
    <dxf>
      <numFmt numFmtId="0" formatCode="General"/>
      <alignment horizontal="general" vertical="center" wrapText="1"/>
    </dxf>
    <dxf>
      <numFmt numFmtId="0" formatCode="General"/>
      <alignment horizontal="center" vertical="center" wrapText="1"/>
    </dxf>
    <dxf>
      <numFmt numFmtId="0" formatCode="General"/>
      <alignment horizontal="center" vertical="center" wrapText="1"/>
    </dxf>
    <dxf>
      <alignment horizontal="general" vertical="center" wrapText="1"/>
    </dxf>
    <dxf>
      <alignment horizontal="general" vertical="center" wrapText="1"/>
    </dxf>
    <dxf>
      <alignment horizontal="general" vertical="center" wrapText="1"/>
    </dxf>
    <dxf>
      <border>
        <bottom style="thin">
          <color theme="3" tint="0.39997558519241921"/>
        </bottom>
      </border>
    </dxf>
    <dxf>
      <font>
        <strike val="0"/>
        <outline val="0"/>
        <shadow val="0"/>
        <vertAlign val="baseline"/>
        <sz val="11"/>
        <color auto="1"/>
        <name val="Calibri"/>
        <family val="2"/>
        <scheme val="minor"/>
      </font>
      <alignment horizontal="center" vertical="center" wrapText="1"/>
      <border outline="0">
        <left style="thin">
          <color theme="3" tint="0.39997558519241921"/>
        </left>
        <right style="thin">
          <color theme="3" tint="0.39997558519241921"/>
        </right>
        <top/>
        <bottom/>
      </border>
    </dxf>
    <dxf>
      <alignment horizontal="center" vertical="center"/>
    </dxf>
    <dxf>
      <numFmt numFmtId="30" formatCode="@"/>
      <alignment vertical="center"/>
    </dxf>
    <dxf>
      <numFmt numFmtId="0" formatCode="General"/>
      <alignment horizontal="center" vertical="center"/>
    </dxf>
    <dxf>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alignment vertical="center"/>
    </dxf>
    <dxf>
      <numFmt numFmtId="30" formatCode="@"/>
      <alignment horizontal="general" vertical="center" textRotation="0" wrapText="0" indent="0" justifyLastLine="0" shrinkToFit="0" readingOrder="0"/>
    </dxf>
    <dxf>
      <alignment vertical="center"/>
    </dxf>
    <dxf>
      <numFmt numFmtId="30" formatCode="@"/>
      <alignment horizontal="general" vertical="center" textRotation="0" wrapText="0" indent="0" justifyLastLine="0" shrinkToFit="0" readingOrder="0"/>
    </dxf>
    <dxf>
      <alignment vertical="center"/>
    </dxf>
    <dxf>
      <numFmt numFmtId="30" formatCode="@"/>
      <alignment vertical="center"/>
    </dxf>
    <dxf>
      <alignment vertical="center"/>
    </dxf>
    <dxf>
      <numFmt numFmtId="30" formatCode="@"/>
      <alignment vertical="center"/>
    </dxf>
    <dxf>
      <alignment vertical="center"/>
    </dxf>
    <dxf>
      <numFmt numFmtId="30" formatCode="@"/>
      <alignment vertical="center"/>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vertical="center"/>
    </dxf>
    <dxf>
      <numFmt numFmtId="19" formatCode="dd/mm/yyyy"/>
      <alignment horizontal="center" vertical="center"/>
    </dxf>
    <dxf>
      <numFmt numFmtId="0" formatCode="General"/>
      <alignment horizontal="center" vertical="center"/>
    </dxf>
    <dxf>
      <numFmt numFmtId="30" formatCode="@"/>
      <alignment horizontal="center" vertical="center"/>
    </dxf>
    <dxf>
      <numFmt numFmtId="0" formatCode="General"/>
      <alignment horizontal="center" vertical="center"/>
    </dxf>
    <dxf>
      <alignment vertical="center"/>
    </dxf>
    <dxf>
      <alignment vertical="center"/>
    </dxf>
    <dxf>
      <border>
        <bottom style="thin">
          <color theme="3" tint="0.39997558519241921"/>
        </bottom>
      </border>
    </dxf>
    <dxf>
      <alignment horizontal="center" vertical="center" textRotation="0" wrapText="1" indent="0" justifyLastLine="0" shrinkToFit="0" readingOrder="0"/>
      <border outline="0">
        <left style="thin">
          <color theme="3" tint="0.39997558519241921"/>
        </left>
        <right style="thin">
          <color theme="3" tint="0.39997558519241921"/>
        </right>
        <top/>
        <bottom/>
      </border>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alignment vertical="center"/>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numFmt numFmtId="19" formatCode="dd/mm/yyyy"/>
      <alignment horizontal="center" vertical="center" textRotation="0" indent="0" justifyLastLine="0" shrinkToFit="0" readingOrder="0"/>
    </dxf>
    <dxf>
      <numFmt numFmtId="0" formatCode="General"/>
      <alignment horizontal="center" vertical="center" textRotation="0" indent="0" justifyLastLine="0" shrinkToFit="0" readingOrder="0"/>
    </dxf>
    <dxf>
      <numFmt numFmtId="30" formatCode="@"/>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border>
        <bottom style="thin">
          <color theme="3" tint="0.39997558519241921"/>
        </bottom>
      </border>
    </dxf>
    <dxf>
      <alignment horizontal="center" vertical="center" textRotation="0" indent="0" justifyLastLine="0" shrinkToFit="0" readingOrder="0"/>
      <border outline="0">
        <left style="thin">
          <color theme="3" tint="0.39997558519241921"/>
        </left>
        <right style="thin">
          <color theme="3" tint="0.39997558519241921"/>
        </right>
        <top/>
        <bottom/>
      </border>
    </dxf>
    <dxf>
      <alignment vertical="center"/>
    </dxf>
    <dxf>
      <numFmt numFmtId="0" formatCode="General"/>
      <alignment horizontal="center" vertical="center" textRotation="0" wrapText="0" indent="0" justifyLastLine="0" shrinkToFit="0" readingOrder="0"/>
    </dxf>
    <dxf>
      <alignment vertical="center"/>
    </dxf>
    <dxf>
      <numFmt numFmtId="165" formatCode="dd/mm/yyyy;@"/>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left" vertical="center" textRotation="0" wrapText="1" indent="0" justifyLastLine="0" shrinkToFit="0" readingOrder="0"/>
    </dxf>
    <dxf>
      <numFmt numFmtId="30" formatCode="@"/>
      <alignment horizontal="center" vertical="center" textRotation="0" wrapText="1" indent="0" justifyLastLine="0" shrinkToFit="0" readingOrder="0"/>
    </dxf>
    <dxf>
      <alignment vertical="center"/>
    </dxf>
    <dxf>
      <font>
        <name val="Biome Light"/>
        <family val="2"/>
        <scheme val="none"/>
      </font>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dxf>
    <dxf>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alignment vertical="center"/>
    </dxf>
    <dxf>
      <numFmt numFmtId="19" formatCode="dd/mm/yyyy"/>
      <alignment horizontal="center" vertical="center" textRotation="0" wrapText="0" indent="0" justifyLastLine="0" shrinkToFit="0" readingOrder="0"/>
    </dxf>
    <dxf>
      <alignment vertical="center"/>
    </dxf>
    <dxf>
      <numFmt numFmtId="0" formatCode="General"/>
      <alignment horizontal="center" vertical="center" textRotation="0" wrapText="0" indent="0" justifyLastLine="0" shrinkToFit="0" readingOrder="0"/>
    </dxf>
    <dxf>
      <font>
        <color rgb="FFFFFFFF"/>
      </font>
      <numFmt numFmtId="19" formatCode="dd/mm/yyyy"/>
      <fill>
        <patternFill patternType="solid">
          <fgColor indexed="64"/>
          <bgColor rgb="FFFF0000"/>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dxf>
    <dxf>
      <numFmt numFmtId="19" formatCode="dd/mm/yyyy"/>
      <alignment horizontal="center" vertical="center" textRotation="0" wrapText="0" indent="0" justifyLastLine="0" shrinkToFit="0" readingOrder="0"/>
    </dxf>
    <dxf>
      <font>
        <sz val="8"/>
        <color theme="8" tint="-0.499984740745262"/>
        <name val="Century Gothic"/>
        <family val="2"/>
        <scheme val="none"/>
      </font>
      <numFmt numFmtId="167" formatCode="d/m/yyyy"/>
      <alignment horizontal="center" vertical="center" textRotation="0" wrapText="0" indent="0" justifyLastLine="0" shrinkToFit="0" readingOrder="0"/>
      <border diagonalUp="0" diagonalDown="0" outline="0">
        <left/>
        <right/>
        <top/>
        <bottom style="dashed">
          <color rgb="FFFF5050"/>
        </bottom>
      </border>
    </dxf>
    <dxf>
      <numFmt numFmtId="167" formatCode="d/m/yyyy"/>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font>
        <strike val="0"/>
        <outline val="0"/>
        <shadow val="0"/>
        <u val="none"/>
        <vertAlign val="baseline"/>
        <sz val="11"/>
        <color auto="1"/>
        <name val="Calibri"/>
        <family val="2"/>
        <scheme val="minor"/>
      </font>
      <numFmt numFmtId="167" formatCode="d/m/yyyy"/>
      <alignment horizontal="left" vertical="center" textRotation="0" wrapText="0" indent="0" justifyLastLine="0" shrinkToFit="0" readingOrder="0"/>
      <border diagonalUp="0" diagonalDown="0" outline="0">
        <left/>
        <right/>
        <top/>
        <bottom style="dashed">
          <color rgb="FFFF5050"/>
        </bottom>
      </border>
    </dxf>
    <dxf>
      <font>
        <sz val="8"/>
        <color theme="8" tint="-0.499984740745262"/>
        <name val="Century Gothic"/>
        <family val="2"/>
        <scheme val="none"/>
      </font>
      <numFmt numFmtId="167" formatCode="d/m/yyyy"/>
      <alignment horizontal="left" vertical="center" textRotation="0" wrapText="0" indent="0" justifyLastLine="0" shrinkToFit="0" readingOrder="0"/>
      <border diagonalUp="0" diagonalDown="0" outline="0">
        <left/>
        <right/>
        <top/>
        <bottom style="dashed">
          <color rgb="FFFF5050"/>
        </bottom>
      </border>
    </dxf>
    <dxf>
      <numFmt numFmtId="167" formatCode="d/m/yyyy"/>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d/m/yyyy"/>
      <alignment horizontal="center" vertical="center" textRotation="0" wrapText="0" indent="0" justifyLastLine="0" shrinkToFit="0" readingOrder="0"/>
    </dxf>
    <dxf>
      <font>
        <strike val="0"/>
        <outline val="0"/>
        <shadow val="0"/>
        <u val="none"/>
        <vertAlign val="baseline"/>
        <sz val="11"/>
        <color rgb="FF000000"/>
        <name val="Calibri"/>
        <family val="2"/>
        <scheme val="minor"/>
      </font>
      <numFmt numFmtId="167" formatCode="d/m/yyyy"/>
      <fill>
        <patternFill patternType="none">
          <fgColor indexed="64"/>
          <bgColor indexed="65"/>
        </patternFill>
      </fill>
      <alignment horizontal="left" vertical="center" textRotation="0" wrapText="0" indent="0" justifyLastLine="0" shrinkToFit="0" readingOrder="0"/>
      <border diagonalUp="0" diagonalDown="0" outline="0">
        <left/>
        <right/>
        <top/>
        <bottom style="dashed">
          <color rgb="FFFF5050"/>
        </bottom>
      </border>
    </dxf>
    <dxf>
      <font>
        <strike val="0"/>
        <outline val="0"/>
        <shadow val="0"/>
        <u val="none"/>
        <vertAlign val="baseline"/>
        <sz val="11"/>
        <color auto="1"/>
        <name val="Calibri"/>
        <family val="2"/>
        <scheme val="minor"/>
      </font>
      <numFmt numFmtId="166" formatCode="00000000"/>
      <alignment horizontal="center" vertical="bottom" textRotation="0" wrapText="0" indent="0" justifyLastLine="0" shrinkToFit="0" readingOrder="0"/>
      <border diagonalUp="0" diagonalDown="0" outline="0">
        <left/>
        <right/>
        <top style="dashed">
          <color rgb="FFFF5050"/>
        </top>
        <bottom/>
      </border>
    </dxf>
    <dxf>
      <numFmt numFmtId="30" formatCode="@"/>
      <alignment horizontal="center"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border>
        <bottom style="thin">
          <color theme="3" tint="0.39997558519241921"/>
        </bottom>
      </border>
    </dxf>
    <dxf>
      <font>
        <strike val="0"/>
        <outline val="0"/>
        <shadow val="0"/>
        <u val="none"/>
        <vertAlign val="baseline"/>
        <sz val="11"/>
        <color theme="0"/>
        <name val="Calibri"/>
      </font>
      <alignment horizontal="center" vertical="center" textRotation="0" wrapText="0" indent="0" justifyLastLine="0" shrinkToFit="0" readingOrder="0"/>
      <border outline="0">
        <left style="thin">
          <color theme="3" tint="0.39997558519241921"/>
        </left>
        <right style="thin">
          <color theme="3" tint="0.3999755851924192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eetMetadata" Target="metadata.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image" Target="../media/image19.png"/></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STATS!$B$26</c:f>
              <c:strCache>
                <c:ptCount val="1"/>
                <c:pt idx="0">
                  <c:v>HOMBRE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STATS!$A$27:$A$32</c:f>
              <c:strCache>
                <c:ptCount val="6"/>
                <c:pt idx="0">
                  <c:v>&lt;20</c:v>
                </c:pt>
                <c:pt idx="1">
                  <c:v>20-29</c:v>
                </c:pt>
                <c:pt idx="2">
                  <c:v>30-39</c:v>
                </c:pt>
                <c:pt idx="3">
                  <c:v>40-49</c:v>
                </c:pt>
                <c:pt idx="4">
                  <c:v>50-59</c:v>
                </c:pt>
                <c:pt idx="5">
                  <c:v>≥60</c:v>
                </c:pt>
              </c:strCache>
            </c:strRef>
          </c:cat>
          <c:val>
            <c:numRef>
              <c:f>STATS!$B$27:$B$32</c:f>
              <c:numCache>
                <c:formatCode>General</c:formatCode>
                <c:ptCount val="6"/>
                <c:pt idx="0">
                  <c:v>1</c:v>
                </c:pt>
                <c:pt idx="1">
                  <c:v>9</c:v>
                </c:pt>
                <c:pt idx="2">
                  <c:v>7</c:v>
                </c:pt>
                <c:pt idx="3">
                  <c:v>1</c:v>
                </c:pt>
                <c:pt idx="4">
                  <c:v>1</c:v>
                </c:pt>
                <c:pt idx="5">
                  <c:v>0</c:v>
                </c:pt>
              </c:numCache>
            </c:numRef>
          </c:val>
          <c:extLst>
            <c:ext xmlns:c16="http://schemas.microsoft.com/office/drawing/2014/chart" uri="{C3380CC4-5D6E-409C-BE32-E72D297353CC}">
              <c16:uniqueId val="{00000000-EC2A-4258-AD16-CF7B0572E92E}"/>
            </c:ext>
          </c:extLst>
        </c:ser>
        <c:ser>
          <c:idx val="1"/>
          <c:order val="1"/>
          <c:tx>
            <c:strRef>
              <c:f>STATS!$C$26</c:f>
              <c:strCache>
                <c:ptCount val="1"/>
                <c:pt idx="0">
                  <c:v>MUJER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STATS!$A$27:$A$32</c:f>
              <c:strCache>
                <c:ptCount val="6"/>
                <c:pt idx="0">
                  <c:v>&lt;20</c:v>
                </c:pt>
                <c:pt idx="1">
                  <c:v>20-29</c:v>
                </c:pt>
                <c:pt idx="2">
                  <c:v>30-39</c:v>
                </c:pt>
                <c:pt idx="3">
                  <c:v>40-49</c:v>
                </c:pt>
                <c:pt idx="4">
                  <c:v>50-59</c:v>
                </c:pt>
                <c:pt idx="5">
                  <c:v>≥60</c:v>
                </c:pt>
              </c:strCache>
            </c:strRef>
          </c:cat>
          <c:val>
            <c:numRef>
              <c:f>STATS!$C$27:$C$32</c:f>
              <c:numCache>
                <c:formatCode>General</c:formatCode>
                <c:ptCount val="6"/>
                <c:pt idx="0">
                  <c:v>0</c:v>
                </c:pt>
                <c:pt idx="1">
                  <c:v>1</c:v>
                </c:pt>
                <c:pt idx="2">
                  <c:v>2</c:v>
                </c:pt>
                <c:pt idx="3">
                  <c:v>1</c:v>
                </c:pt>
                <c:pt idx="4">
                  <c:v>1</c:v>
                </c:pt>
                <c:pt idx="5">
                  <c:v>0</c:v>
                </c:pt>
              </c:numCache>
            </c:numRef>
          </c:val>
          <c:extLst>
            <c:ext xmlns:c16="http://schemas.microsoft.com/office/drawing/2014/chart" uri="{C3380CC4-5D6E-409C-BE32-E72D297353CC}">
              <c16:uniqueId val="{00000001-EC2A-4258-AD16-CF7B0572E92E}"/>
            </c:ext>
          </c:extLst>
        </c:ser>
        <c:dLbls>
          <c:showLegendKey val="0"/>
          <c:showVal val="1"/>
          <c:showCatName val="0"/>
          <c:showSerName val="0"/>
          <c:showPercent val="0"/>
          <c:showBubbleSize val="0"/>
        </c:dLbls>
        <c:gapWidth val="150"/>
        <c:shape val="box"/>
        <c:axId val="1250826095"/>
        <c:axId val="1250826575"/>
        <c:axId val="0"/>
      </c:bar3DChart>
      <c:catAx>
        <c:axId val="125082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PE"/>
          </a:p>
        </c:txPr>
        <c:crossAx val="1250826575"/>
        <c:crosses val="autoZero"/>
        <c:auto val="1"/>
        <c:lblAlgn val="ctr"/>
        <c:lblOffset val="100"/>
        <c:noMultiLvlLbl val="0"/>
      </c:catAx>
      <c:valAx>
        <c:axId val="1250826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26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61000">
          <a:schemeClr val="accent3">
            <a:lumMod val="40000"/>
            <a:lumOff val="60000"/>
          </a:schemeClr>
        </a:gs>
        <a:gs pos="100000">
          <a:schemeClr val="accent3">
            <a:lumMod val="75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78037577267945E-2"/>
          <c:y val="0.14086199006692127"/>
          <c:w val="0.48901789277366497"/>
          <c:h val="0.76410795974848145"/>
        </c:manualLayout>
      </c:layout>
      <c:doughnutChart>
        <c:varyColors val="1"/>
        <c:ser>
          <c:idx val="0"/>
          <c:order val="0"/>
          <c:dPt>
            <c:idx val="0"/>
            <c:bubble3D val="0"/>
            <c:spPr>
              <a:solidFill>
                <a:schemeClr val="tx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D2AA-4A50-8911-7FBBE23B23D1}"/>
              </c:ext>
            </c:extLst>
          </c:dPt>
          <c:dPt>
            <c:idx val="1"/>
            <c:bubble3D val="0"/>
            <c:spPr>
              <a:solidFill>
                <a:schemeClr val="accent2">
                  <a:lumMod val="40000"/>
                  <a:lumOff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D2AA-4A50-8911-7FBBE23B23D1}"/>
              </c:ext>
            </c:extLst>
          </c:dPt>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ysClr val="windowText" lastClr="000000"/>
                    </a:solidFill>
                    <a:latin typeface="+mn-lt"/>
                    <a:ea typeface="+mn-ea"/>
                    <a:cs typeface="+mn-cs"/>
                  </a:defRPr>
                </a:pPr>
                <a:endParaRPr lang="es-PE"/>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STATS!$K$10:$L$10</c:f>
              <c:strCache>
                <c:ptCount val="2"/>
                <c:pt idx="0">
                  <c:v>ACCIDENTES HOMBRES</c:v>
                </c:pt>
                <c:pt idx="1">
                  <c:v>ACCIDENTES MUJERES</c:v>
                </c:pt>
              </c:strCache>
            </c:strRef>
          </c:cat>
          <c:val>
            <c:numRef>
              <c:f>STATS!$K$11:$L$11</c:f>
              <c:numCache>
                <c:formatCode>General</c:formatCode>
                <c:ptCount val="2"/>
                <c:pt idx="0">
                  <c:v>0</c:v>
                </c:pt>
                <c:pt idx="1">
                  <c:v>0</c:v>
                </c:pt>
              </c:numCache>
            </c:numRef>
          </c:val>
          <c:extLst>
            <c:ext xmlns:c16="http://schemas.microsoft.com/office/drawing/2014/chart" uri="{C3380CC4-5D6E-409C-BE32-E72D297353CC}">
              <c16:uniqueId val="{00000004-D2AA-4A50-8911-7FBBE23B23D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3392017402683143"/>
          <c:y val="0.33835908868783676"/>
          <c:w val="0.2631550158625971"/>
          <c:h val="0.44481656047679008"/>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dk1">
                  <a:lumMod val="65000"/>
                  <a:lumOff val="35000"/>
                  <a:alpha val="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2">
            <a:lumMod val="75000"/>
          </a:schemeClr>
        </a:gs>
        <a:gs pos="73000">
          <a:schemeClr val="tx2">
            <a:lumMod val="50000"/>
          </a:schemeClr>
        </a:gs>
        <a:gs pos="100000">
          <a:schemeClr val="tx2">
            <a:lumMod val="60000"/>
            <a:lumOff val="40000"/>
          </a:schemeClr>
        </a:gs>
      </a:gsLst>
      <a:path path="rect">
        <a:fillToRect r="100000" b="100000"/>
      </a:path>
      <a:tileRect l="-100000" t="-100000"/>
    </a:gra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cked"/>
        <c:varyColors val="0"/>
        <c:ser>
          <c:idx val="0"/>
          <c:order val="0"/>
          <c:tx>
            <c:strRef>
              <c:f>STATS!$I$13</c:f>
              <c:strCache>
                <c:ptCount val="1"/>
                <c:pt idx="0">
                  <c:v>ACCIDENTES EN EL MES</c:v>
                </c:pt>
              </c:strCache>
            </c:strRef>
          </c:tx>
          <c:spPr>
            <a:ln w="22225" cap="rnd">
              <a:solidFill>
                <a:schemeClr val="accent1"/>
              </a:solidFill>
            </a:ln>
            <a:effectLst>
              <a:glow rad="139700">
                <a:schemeClr val="accent1">
                  <a:satMod val="175000"/>
                  <a:alpha val="14000"/>
                </a:schemeClr>
              </a:glow>
            </a:effectLst>
          </c:spPr>
          <c:marker>
            <c:symbol val="picture"/>
            <c:spPr>
              <a:blipFill>
                <a:blip xmlns:r="http://schemas.openxmlformats.org/officeDocument/2006/relationships" r:embed="rId1"/>
                <a:stretch>
                  <a:fillRect/>
                </a:stretch>
              </a:blipFill>
              <a:ln w="25400">
                <a:noFill/>
              </a:ln>
              <a:effectLst>
                <a:glow rad="63500">
                  <a:schemeClr val="accent1">
                    <a:satMod val="175000"/>
                    <a:alpha val="25000"/>
                  </a:schemeClr>
                </a:glow>
              </a:effectLst>
            </c:spPr>
          </c:marke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75000"/>
                      </a:schemeClr>
                    </a:solidFill>
                    <a:latin typeface="+mn-lt"/>
                    <a:ea typeface="+mn-ea"/>
                    <a:cs typeface="+mn-cs"/>
                  </a:defRPr>
                </a:pPr>
                <a:endParaRPr lang="es-P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STATS!$H$14:$H$25</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STATS!$I$14:$I$25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A1F-416B-A232-48D7F0AC6E59}"/>
            </c:ext>
          </c:extLst>
        </c:ser>
        <c:dLbls>
          <c:dLblPos val="ctr"/>
          <c:showLegendKey val="0"/>
          <c:showVal val="1"/>
          <c:showCatName val="0"/>
          <c:showSerName val="0"/>
          <c:showPercent val="0"/>
          <c:showBubbleSize val="0"/>
        </c:dLbls>
        <c:marker val="1"/>
        <c:smooth val="0"/>
        <c:axId val="1698796623"/>
        <c:axId val="1698803823"/>
      </c:lineChart>
      <c:catAx>
        <c:axId val="1698796623"/>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mn-lt"/>
                <a:ea typeface="+mn-ea"/>
                <a:cs typeface="+mn-cs"/>
              </a:defRPr>
            </a:pPr>
            <a:endParaRPr lang="es-PE"/>
          </a:p>
        </c:txPr>
        <c:crossAx val="1698803823"/>
        <c:crosses val="autoZero"/>
        <c:auto val="1"/>
        <c:lblAlgn val="ctr"/>
        <c:lblOffset val="100"/>
        <c:noMultiLvlLbl val="0"/>
      </c:catAx>
      <c:valAx>
        <c:axId val="1698803823"/>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169879662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noFill/>
      <a:round/>
    </a:ln>
    <a:effectLst>
      <a:outerShdw blurRad="50800" dist="38100" dir="2700000" algn="tl" rotWithShape="0">
        <a:prstClr val="black">
          <a:alpha val="40000"/>
        </a:prstClr>
      </a:outerShdw>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1145347138346198"/>
          <c:y val="2.9178063150978095E-2"/>
          <c:w val="0.47016830142149929"/>
          <c:h val="0.9358082610678482"/>
        </c:manualLayout>
      </c:layout>
      <c:bar3DChart>
        <c:barDir val="bar"/>
        <c:grouping val="clustered"/>
        <c:varyColors val="0"/>
        <c:ser>
          <c:idx val="0"/>
          <c:order val="0"/>
          <c:spPr>
            <a:solidFill>
              <a:schemeClr val="accent1">
                <a:alpha val="88000"/>
              </a:schemeClr>
            </a:solidFill>
            <a:ln w="6350">
              <a:solidFill>
                <a:schemeClr val="accent1">
                  <a:lumMod val="75000"/>
                </a:schemeClr>
              </a:solidFill>
            </a:ln>
            <a:effectLst/>
            <a:scene3d>
              <a:camera prst="orthographicFront"/>
              <a:lightRig rig="threePt" dir="t"/>
            </a:scene3d>
            <a:sp3d contourW="6350" prstMaterial="flat">
              <a:contourClr>
                <a:schemeClr val="accent1">
                  <a:lumMod val="75000"/>
                </a:schemeClr>
              </a:contourClr>
            </a:sp3d>
          </c:spPr>
          <c:invertIfNegative val="0"/>
          <c:dPt>
            <c:idx val="1"/>
            <c:invertIfNegative val="0"/>
            <c:bubble3D val="0"/>
            <c:spPr>
              <a:solidFill>
                <a:schemeClr val="accent1">
                  <a:alpha val="88000"/>
                </a:schemeClr>
              </a:solidFill>
              <a:ln w="9525">
                <a:solidFill>
                  <a:schemeClr val="accent1">
                    <a:lumMod val="75000"/>
                  </a:schemeClr>
                </a:solidFill>
              </a:ln>
              <a:effectLst/>
              <a:scene3d>
                <a:camera prst="orthographicFront"/>
                <a:lightRig rig="threePt" dir="t"/>
              </a:scene3d>
              <a:sp3d contourW="9525" prstMaterial="flat">
                <a:contourClr>
                  <a:schemeClr val="accent1">
                    <a:lumMod val="75000"/>
                  </a:schemeClr>
                </a:contourClr>
              </a:sp3d>
            </c:spPr>
            <c:extLst>
              <c:ext xmlns:c16="http://schemas.microsoft.com/office/drawing/2014/chart" uri="{C3380CC4-5D6E-409C-BE32-E72D297353CC}">
                <c16:uniqueId val="{00000001-A639-4FDE-AA5A-EEF67D6ED49F}"/>
              </c:ext>
            </c:extLst>
          </c:dPt>
          <c:dLbls>
            <c:spPr>
              <a:solidFill>
                <a:srgbClr val="4F81B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STATS!$W$6:$W$15</c:f>
              <c:strCache>
                <c:ptCount val="10"/>
                <c:pt idx="0">
                  <c:v>Cabeza</c:v>
                </c:pt>
                <c:pt idx="1">
                  <c:v>Torso Alto</c:v>
                </c:pt>
                <c:pt idx="2">
                  <c:v>Torso Bajo</c:v>
                </c:pt>
                <c:pt idx="3">
                  <c:v>Brazos</c:v>
                </c:pt>
                <c:pt idx="4">
                  <c:v>Codos</c:v>
                </c:pt>
                <c:pt idx="5">
                  <c:v>Manos</c:v>
                </c:pt>
                <c:pt idx="6">
                  <c:v>Muslos</c:v>
                </c:pt>
                <c:pt idx="7">
                  <c:v>Rodillas</c:v>
                </c:pt>
                <c:pt idx="8">
                  <c:v>Pantorrilla</c:v>
                </c:pt>
                <c:pt idx="9">
                  <c:v>Pies</c:v>
                </c:pt>
              </c:strCache>
            </c:strRef>
          </c:cat>
          <c:val>
            <c:numRef>
              <c:f>STATS!$X$6:$X$15</c:f>
              <c:numCache>
                <c:formatCode>General</c:formatCode>
                <c:ptCount val="10"/>
                <c:pt idx="0">
                  <c:v>0</c:v>
                </c:pt>
                <c:pt idx="1">
                  <c:v>0</c:v>
                </c:pt>
                <c:pt idx="2">
                  <c:v>0</c:v>
                </c:pt>
                <c:pt idx="3">
                  <c:v>0</c:v>
                </c:pt>
                <c:pt idx="4">
                  <c:v>0</c:v>
                </c:pt>
                <c:pt idx="5">
                  <c:v>0</c:v>
                </c:pt>
                <c:pt idx="6">
                  <c:v>0</c:v>
                </c:pt>
                <c:pt idx="7">
                  <c:v>0</c:v>
                </c:pt>
                <c:pt idx="8">
                  <c:v>0</c:v>
                </c:pt>
                <c:pt idx="9">
                  <c:v>0</c:v>
                </c:pt>
              </c:numCache>
            </c:numRef>
          </c:val>
          <c:shape val="cylinder"/>
          <c:extLst>
            <c:ext xmlns:c16="http://schemas.microsoft.com/office/drawing/2014/chart" uri="{C3380CC4-5D6E-409C-BE32-E72D297353CC}">
              <c16:uniqueId val="{00000000-A639-4FDE-AA5A-EEF67D6ED49F}"/>
            </c:ext>
          </c:extLst>
        </c:ser>
        <c:dLbls>
          <c:showLegendKey val="0"/>
          <c:showVal val="1"/>
          <c:showCatName val="0"/>
          <c:showSerName val="0"/>
          <c:showPercent val="0"/>
          <c:showBubbleSize val="0"/>
        </c:dLbls>
        <c:gapWidth val="84"/>
        <c:gapDepth val="53"/>
        <c:shape val="box"/>
        <c:axId val="1493943168"/>
        <c:axId val="1493946048"/>
        <c:axId val="0"/>
      </c:bar3DChart>
      <c:catAx>
        <c:axId val="1493943168"/>
        <c:scaling>
          <c:orientation val="maxMin"/>
        </c:scaling>
        <c:delete val="0"/>
        <c:axPos val="l"/>
        <c:majorGridlines>
          <c:spPr>
            <a:ln w="9525">
              <a:solidFill>
                <a:schemeClr val="lt1">
                  <a:lumMod val="50000"/>
                </a:schemeClr>
              </a:solidFill>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1493946048"/>
        <c:crosses val="autoZero"/>
        <c:auto val="1"/>
        <c:lblAlgn val="ctr"/>
        <c:lblOffset val="100"/>
        <c:noMultiLvlLbl val="0"/>
      </c:catAx>
      <c:valAx>
        <c:axId val="1493946048"/>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1493943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50800" dist="38100" dir="2700000" sx="101000" sy="101000" algn="tl" rotWithShape="0">
        <a:prstClr val="black">
          <a:alpha val="82000"/>
        </a:prstClr>
      </a:outerShdw>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562531099173596"/>
          <c:y val="1.8949181739879414E-2"/>
          <c:w val="0.66417266584097601"/>
          <c:h val="0.96210163652024117"/>
        </c:manualLayout>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C0504D">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STATS!$Q$9</c:f>
              <c:numCache>
                <c:formatCode>General</c:formatCode>
                <c:ptCount val="1"/>
                <c:pt idx="0">
                  <c:v>0</c:v>
                </c:pt>
              </c:numCache>
            </c:numRef>
          </c:val>
          <c:extLst>
            <c:ext xmlns:c16="http://schemas.microsoft.com/office/drawing/2014/chart" uri="{C3380CC4-5D6E-409C-BE32-E72D297353CC}">
              <c16:uniqueId val="{00000000-E3DB-42A0-9366-CAA895B7B00C}"/>
            </c:ext>
          </c:extLst>
        </c:ser>
        <c:dLbls>
          <c:showLegendKey val="0"/>
          <c:showVal val="1"/>
          <c:showCatName val="0"/>
          <c:showSerName val="0"/>
          <c:showPercent val="0"/>
          <c:showBubbleSize val="0"/>
        </c:dLbls>
        <c:gapWidth val="84"/>
        <c:gapDepth val="54"/>
        <c:shape val="box"/>
        <c:axId val="247415583"/>
        <c:axId val="247399263"/>
        <c:axId val="0"/>
      </c:bar3DChart>
      <c:catAx>
        <c:axId val="247415583"/>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800" b="0" i="0" u="none" strike="noStrike" kern="1200" baseline="0">
                <a:solidFill>
                  <a:schemeClr val="lt1">
                    <a:lumMod val="75000"/>
                  </a:schemeClr>
                </a:solidFill>
                <a:latin typeface="Algerian" panose="04020705040A02060702" pitchFamily="82" charset="0"/>
                <a:ea typeface="+mn-ea"/>
                <a:cs typeface="+mn-cs"/>
              </a:defRPr>
            </a:pPr>
            <a:endParaRPr lang="es-PE"/>
          </a:p>
        </c:txPr>
        <c:crossAx val="247399263"/>
        <c:crosses val="autoZero"/>
        <c:auto val="1"/>
        <c:lblAlgn val="ctr"/>
        <c:lblOffset val="100"/>
        <c:noMultiLvlLbl val="0"/>
      </c:catAx>
      <c:valAx>
        <c:axId val="247399263"/>
        <c:scaling>
          <c:orientation val="minMax"/>
        </c:scaling>
        <c:delete val="1"/>
        <c:axPos val="t"/>
        <c:majorGridlines>
          <c:spPr>
            <a:ln w="9525">
              <a:solidFill>
                <a:schemeClr val="lt1">
                  <a:lumMod val="50000"/>
                </a:schemeClr>
              </a:solidFill>
            </a:ln>
            <a:effectLst/>
          </c:spPr>
        </c:majorGridlines>
        <c:numFmt formatCode="General" sourceLinked="1"/>
        <c:majorTickMark val="out"/>
        <c:minorTickMark val="none"/>
        <c:tickLblPos val="nextTo"/>
        <c:crossAx val="247415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a:outerShdw blurRad="114300" dist="38100" dir="2700000" sx="101000" sy="101000" algn="tl" rotWithShape="0">
        <a:prstClr val="black">
          <a:alpha val="85000"/>
        </a:prstClr>
      </a:outerShdw>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30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STATS!$M$11:$M$34</c:f>
              <c:strCache>
                <c:ptCount val="11"/>
                <c:pt idx="0">
                  <c:v>II.EE.- II.SS</c:v>
                </c:pt>
                <c:pt idx="1">
                  <c:v>TOPOGRAFO</c:v>
                </c:pt>
                <c:pt idx="2">
                  <c:v>STAFF</c:v>
                </c:pt>
                <c:pt idx="3">
                  <c:v>CARPINTERO</c:v>
                </c:pt>
                <c:pt idx="4">
                  <c:v>LIMPIEZA</c:v>
                </c:pt>
                <c:pt idx="5">
                  <c:v>SINDICATO</c:v>
                </c:pt>
                <c:pt idx="6">
                  <c:v>RIGGER</c:v>
                </c:pt>
                <c:pt idx="7">
                  <c:v>SSOMA</c:v>
                </c:pt>
                <c:pt idx="8">
                  <c:v>CAPINTERIA</c:v>
                </c:pt>
                <c:pt idx="9">
                  <c:v>ALBAÑIL</c:v>
                </c:pt>
                <c:pt idx="10">
                  <c:v>ACERO</c:v>
                </c:pt>
              </c:strCache>
            </c:strRef>
          </c:cat>
          <c:val>
            <c:numRef>
              <c:f>STATS!$N$11:$N$34</c:f>
              <c:numCache>
                <c:formatCode>General</c:formatCode>
                <c:ptCount val="24"/>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9EC-4F52-9910-E60362D0AABD}"/>
            </c:ext>
          </c:extLst>
        </c:ser>
        <c:dLbls>
          <c:showLegendKey val="0"/>
          <c:showVal val="1"/>
          <c:showCatName val="0"/>
          <c:showSerName val="0"/>
          <c:showPercent val="0"/>
          <c:showBubbleSize val="0"/>
        </c:dLbls>
        <c:gapWidth val="65"/>
        <c:shape val="box"/>
        <c:axId val="247392063"/>
        <c:axId val="247367583"/>
        <c:axId val="0"/>
      </c:bar3DChart>
      <c:catAx>
        <c:axId val="24739206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400" b="0" i="0" u="none" strike="noStrike" kern="1200" cap="all" baseline="0">
                <a:solidFill>
                  <a:schemeClr val="dk1">
                    <a:lumMod val="75000"/>
                    <a:lumOff val="25000"/>
                  </a:schemeClr>
                </a:solidFill>
                <a:latin typeface="+mn-lt"/>
                <a:ea typeface="+mn-ea"/>
                <a:cs typeface="+mn-cs"/>
              </a:defRPr>
            </a:pPr>
            <a:endParaRPr lang="es-PE"/>
          </a:p>
        </c:txPr>
        <c:crossAx val="247367583"/>
        <c:crosses val="autoZero"/>
        <c:auto val="1"/>
        <c:lblAlgn val="ctr"/>
        <c:lblOffset val="100"/>
        <c:noMultiLvlLbl val="0"/>
      </c:catAx>
      <c:valAx>
        <c:axId val="247367583"/>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247392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90500" dist="38100" dir="2700000" algn="tl" rotWithShape="0">
        <a:prstClr val="black">
          <a:alpha val="90000"/>
        </a:prstClr>
      </a:outerShdw>
    </a:effectLst>
  </c:spPr>
  <c:txPr>
    <a:bodyPr/>
    <a:lstStyle/>
    <a:p>
      <a:pPr>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232894130430757"/>
          <c:y val="6.25E-2"/>
          <c:w val="0.6474791129837989"/>
          <c:h val="0.93055555555555558"/>
        </c:manualLayout>
      </c:layout>
      <c:doughnutChart>
        <c:varyColors val="1"/>
        <c:ser>
          <c:idx val="0"/>
          <c:order val="0"/>
          <c:tx>
            <c:strRef>
              <c:f>STATS!$K$14</c:f>
              <c:strCache>
                <c:ptCount val="1"/>
                <c:pt idx="0">
                  <c:v>Técnico</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08-4029-A9A2-748036DD0FA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08-4029-A9A2-748036DD0FA7}"/>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STATS!$L$14</c:f>
              <c:numCache>
                <c:formatCode>General</c:formatCode>
                <c:ptCount val="1"/>
                <c:pt idx="0">
                  <c:v>0</c:v>
                </c:pt>
              </c:numCache>
            </c:numRef>
          </c:val>
          <c:extLst>
            <c:ext xmlns:c16="http://schemas.microsoft.com/office/drawing/2014/chart" uri="{C3380CC4-5D6E-409C-BE32-E72D297353CC}">
              <c16:uniqueId val="{00000004-B908-4029-A9A2-748036DD0FA7}"/>
            </c:ext>
          </c:extLst>
        </c:ser>
        <c:ser>
          <c:idx val="1"/>
          <c:order val="1"/>
          <c:tx>
            <c:strRef>
              <c:f>STATS!$K$15</c:f>
              <c:strCache>
                <c:ptCount val="1"/>
                <c:pt idx="0">
                  <c:v>Oficina</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58-47E0-81F3-FEA8B5E8BE7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STATS!$L$15</c:f>
              <c:numCache>
                <c:formatCode>General</c:formatCode>
                <c:ptCount val="1"/>
                <c:pt idx="0">
                  <c:v>0</c:v>
                </c:pt>
              </c:numCache>
            </c:numRef>
          </c:val>
          <c:extLst>
            <c:ext xmlns:c16="http://schemas.microsoft.com/office/drawing/2014/chart" uri="{C3380CC4-5D6E-409C-BE32-E72D297353CC}">
              <c16:uniqueId val="{00000004-C532-4343-BA03-4AF7C8C25970}"/>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2489780066274534"/>
          <c:y val="0.40851816856226308"/>
          <c:w val="0.23691604181935491"/>
          <c:h val="0.22444514435695534"/>
        </c:manualLayout>
      </c:layout>
      <c:overlay val="0"/>
      <c:spPr>
        <a:solidFill>
          <a:schemeClr val="lt1">
            <a:lumMod val="95000"/>
            <a:alpha val="39000"/>
          </a:schemeClr>
        </a:solidFill>
        <a:ln>
          <a:noFill/>
        </a:ln>
        <a:effectLst/>
      </c:spPr>
      <c:txPr>
        <a:bodyPr rot="0" spcFirstLastPara="1" vertOverflow="ellipsis" vert="horz" wrap="square" anchor="ctr" anchorCtr="1"/>
        <a:lstStyle/>
        <a:p>
          <a:pPr rtl="0">
            <a:defRPr sz="32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a:outerShdw blurRad="152400" dist="38100" dir="2700000" algn="tl" rotWithShape="0">
        <a:prstClr val="black"/>
      </a:outerShdw>
    </a:effectLst>
  </c:spPr>
  <c:txPr>
    <a:bodyPr/>
    <a:lstStyle/>
    <a:p>
      <a:pPr>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STATS!$B$4</c:f>
              <c:strCache>
                <c:ptCount val="1"/>
                <c:pt idx="0">
                  <c:v>TRABAJADORES INGRESADOS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STATS!$B$5:$B$16</c:f>
              <c:numCache>
                <c:formatCode>General</c:formatCode>
                <c:ptCount val="12"/>
                <c:pt idx="0">
                  <c:v>24</c:v>
                </c:pt>
                <c:pt idx="1">
                  <c:v>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9CC-4A21-9015-2BF20B98F3DB}"/>
            </c:ext>
          </c:extLst>
        </c:ser>
        <c:ser>
          <c:idx val="1"/>
          <c:order val="1"/>
          <c:tx>
            <c:strRef>
              <c:f>STATS!$C$4</c:f>
              <c:strCache>
                <c:ptCount val="1"/>
                <c:pt idx="0">
                  <c:v>TRABAJADORES ACTIVOS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STATS!$C$5:$C$16</c:f>
              <c:numCache>
                <c:formatCode>General</c:formatCode>
                <c:ptCount val="12"/>
                <c:pt idx="0">
                  <c:v>41</c:v>
                </c:pt>
                <c:pt idx="1">
                  <c:v>44</c:v>
                </c:pt>
                <c:pt idx="2">
                  <c:v>44</c:v>
                </c:pt>
                <c:pt idx="3">
                  <c:v>44</c:v>
                </c:pt>
                <c:pt idx="4">
                  <c:v>44</c:v>
                </c:pt>
                <c:pt idx="5">
                  <c:v>44</c:v>
                </c:pt>
                <c:pt idx="6">
                  <c:v>44</c:v>
                </c:pt>
                <c:pt idx="7">
                  <c:v>44</c:v>
                </c:pt>
                <c:pt idx="8">
                  <c:v>44</c:v>
                </c:pt>
                <c:pt idx="9">
                  <c:v>44</c:v>
                </c:pt>
                <c:pt idx="10">
                  <c:v>44</c:v>
                </c:pt>
                <c:pt idx="11">
                  <c:v>44</c:v>
                </c:pt>
              </c:numCache>
            </c:numRef>
          </c:val>
          <c:extLst>
            <c:ext xmlns:c16="http://schemas.microsoft.com/office/drawing/2014/chart" uri="{C3380CC4-5D6E-409C-BE32-E72D297353CC}">
              <c16:uniqueId val="{00000001-B9CC-4A21-9015-2BF20B98F3DB}"/>
            </c:ext>
          </c:extLst>
        </c:ser>
        <c:ser>
          <c:idx val="2"/>
          <c:order val="2"/>
          <c:tx>
            <c:strRef>
              <c:f>STATS!$D$4</c:f>
              <c:strCache>
                <c:ptCount val="1"/>
                <c:pt idx="0">
                  <c:v>EMOS
REALIZADOS</c:v>
                </c:pt>
              </c:strCache>
            </c:strRef>
          </c:tx>
          <c:spPr>
            <a:solidFill>
              <a:schemeClr val="accent3">
                <a:alpha val="85000"/>
              </a:schemeClr>
            </a:solidFill>
            <a:ln w="9525" cap="flat" cmpd="sng" algn="ctr">
              <a:solidFill>
                <a:schemeClr val="accent3">
                  <a:lumMod val="75000"/>
                </a:schemeClr>
              </a:solidFill>
              <a:round/>
            </a:ln>
            <a:effectLst/>
            <a:sp3d contourW="9525">
              <a:contourClr>
                <a:schemeClr val="accent3">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STATS!$D$5:$D$16</c:f>
              <c:numCache>
                <c:formatCode>General</c:formatCode>
                <c:ptCount val="12"/>
                <c:pt idx="0">
                  <c:v>23</c:v>
                </c:pt>
                <c:pt idx="1">
                  <c:v>4</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9CC-4A21-9015-2BF20B98F3DB}"/>
            </c:ext>
          </c:extLst>
        </c:ser>
        <c:ser>
          <c:idx val="3"/>
          <c:order val="3"/>
          <c:tx>
            <c:strRef>
              <c:f>STATS!$F$4</c:f>
              <c:strCache>
                <c:ptCount val="1"/>
                <c:pt idx="0">
                  <c:v>EMOS
ENTREGADOS</c:v>
                </c:pt>
              </c:strCache>
            </c:strRef>
          </c:tx>
          <c:spPr>
            <a:solidFill>
              <a:schemeClr val="accent4">
                <a:alpha val="85000"/>
              </a:schemeClr>
            </a:solidFill>
            <a:ln w="9525" cap="flat" cmpd="sng" algn="ctr">
              <a:solidFill>
                <a:schemeClr val="accent4">
                  <a:lumMod val="75000"/>
                </a:schemeClr>
              </a:solidFill>
              <a:round/>
            </a:ln>
            <a:effectLst/>
            <a:sp3d contourW="9525">
              <a:contourClr>
                <a:schemeClr val="accent4">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STATS!$A$5:$A$16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STATS!$F$5:$F$16</c:f>
              <c:numCache>
                <c:formatCode>General</c:formatCode>
                <c:ptCount val="12"/>
                <c:pt idx="0">
                  <c:v>20</c:v>
                </c:pt>
                <c:pt idx="1">
                  <c:v>0</c:v>
                </c:pt>
                <c:pt idx="2">
                  <c:v>1</c:v>
                </c:pt>
                <c:pt idx="3">
                  <c:v>1</c:v>
                </c:pt>
                <c:pt idx="4">
                  <c:v>0</c:v>
                </c:pt>
                <c:pt idx="5">
                  <c:v>1</c:v>
                </c:pt>
                <c:pt idx="6">
                  <c:v>0</c:v>
                </c:pt>
                <c:pt idx="7">
                  <c:v>0</c:v>
                </c:pt>
                <c:pt idx="8">
                  <c:v>0</c:v>
                </c:pt>
                <c:pt idx="9">
                  <c:v>0</c:v>
                </c:pt>
                <c:pt idx="10">
                  <c:v>0</c:v>
                </c:pt>
                <c:pt idx="11">
                  <c:v>0</c:v>
                </c:pt>
              </c:numCache>
            </c:numRef>
          </c:val>
          <c:extLst>
            <c:ext xmlns:c16="http://schemas.microsoft.com/office/drawing/2014/chart" uri="{C3380CC4-5D6E-409C-BE32-E72D297353CC}">
              <c16:uniqueId val="{00000003-B9CC-4A21-9015-2BF20B98F3DB}"/>
            </c:ext>
          </c:extLst>
        </c:ser>
        <c:dLbls>
          <c:showLegendKey val="0"/>
          <c:showVal val="1"/>
          <c:showCatName val="0"/>
          <c:showSerName val="0"/>
          <c:showPercent val="0"/>
          <c:showBubbleSize val="0"/>
        </c:dLbls>
        <c:gapWidth val="65"/>
        <c:shape val="box"/>
        <c:axId val="1306719439"/>
        <c:axId val="1306723279"/>
        <c:axId val="1298473423"/>
      </c:bar3DChart>
      <c:catAx>
        <c:axId val="130671943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PE"/>
          </a:p>
        </c:txPr>
        <c:crossAx val="1306723279"/>
        <c:crosses val="autoZero"/>
        <c:auto val="1"/>
        <c:lblAlgn val="ctr"/>
        <c:lblOffset val="100"/>
        <c:noMultiLvlLbl val="0"/>
      </c:catAx>
      <c:valAx>
        <c:axId val="1306723279"/>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306719439"/>
        <c:crosses val="autoZero"/>
        <c:crossBetween val="between"/>
      </c:valAx>
      <c:serAx>
        <c:axId val="1298473423"/>
        <c:scaling>
          <c:orientation val="minMax"/>
        </c:scaling>
        <c:delete val="1"/>
        <c:axPos val="b"/>
        <c:majorTickMark val="none"/>
        <c:minorTickMark val="none"/>
        <c:tickLblPos val="nextTo"/>
        <c:crossAx val="1306723279"/>
        <c:crosses val="autoZero"/>
      </c:ser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F81D-48FB-BF95-6BDBFDC9C8DC}"/>
              </c:ext>
            </c:extLst>
          </c:dPt>
          <c:cat>
            <c:strRef>
              <c:f>(STATS!$F$37,STATS!$K$37)</c:f>
              <c:strCache>
                <c:ptCount val="2"/>
                <c:pt idx="0">
                  <c:v>TOTAL HOMBRES</c:v>
                </c:pt>
                <c:pt idx="1">
                  <c:v>TOTAL MUJERES</c:v>
                </c:pt>
              </c:strCache>
            </c:strRef>
          </c:cat>
          <c:val>
            <c:numRef>
              <c:f>(STATS!$F$38,STATS!$K$38)</c:f>
              <c:numCache>
                <c:formatCode>General</c:formatCode>
                <c:ptCount val="2"/>
              </c:numCache>
            </c:numRef>
          </c:val>
          <c:extLst>
            <c:ext xmlns:c16="http://schemas.microsoft.com/office/drawing/2014/chart" uri="{C3380CC4-5D6E-409C-BE32-E72D297353CC}">
              <c16:uniqueId val="{00000004-F81D-48FB-BF95-6BDBFDC9C8DC}"/>
            </c:ext>
          </c:extLst>
        </c:ser>
        <c:ser>
          <c:idx val="1"/>
          <c:order val="1"/>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F81D-48FB-BF95-6BDBFDC9C8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F81D-48FB-BF95-6BDBFDC9C8DC}"/>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(STATS!$F$37,STATS!$K$37)</c:f>
              <c:strCache>
                <c:ptCount val="2"/>
                <c:pt idx="0">
                  <c:v>TOTAL HOMBRES</c:v>
                </c:pt>
                <c:pt idx="1">
                  <c:v>TOTAL MUJERES</c:v>
                </c:pt>
              </c:strCache>
            </c:strRef>
          </c:cat>
          <c:val>
            <c:numRef>
              <c:f>(STATS!$F$39,STATS!$K$39)</c:f>
              <c:numCache>
                <c:formatCode>General</c:formatCode>
                <c:ptCount val="2"/>
                <c:pt idx="0">
                  <c:v>19</c:v>
                </c:pt>
                <c:pt idx="1">
                  <c:v>5</c:v>
                </c:pt>
              </c:numCache>
            </c:numRef>
          </c:val>
          <c:extLst>
            <c:ext xmlns:c16="http://schemas.microsoft.com/office/drawing/2014/chart" uri="{C3380CC4-5D6E-409C-BE32-E72D297353CC}">
              <c16:uniqueId val="{00000009-F81D-48FB-BF95-6BDBFDC9C8D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1"/>
      <c:spPr>
        <a:noFill/>
        <a:ln>
          <a:noFill/>
        </a:ln>
        <a:effectLst/>
      </c:spPr>
      <c:txPr>
        <a:bodyPr rot="0" spcFirstLastPara="1" vertOverflow="ellipsis" vert="horz" wrap="square" anchor="ctr" anchorCtr="1"/>
        <a:lstStyle/>
        <a:p>
          <a:pPr>
            <a:defRPr sz="24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5000">
          <a:schemeClr val="accent1">
            <a:lumMod val="75000"/>
          </a:schemeClr>
        </a:gs>
        <a:gs pos="100000">
          <a:schemeClr val="accent1">
            <a:shade val="100000"/>
            <a:satMod val="1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505-4F15-B6BD-0AC25F3BD5D9}"/>
              </c:ext>
            </c:extLst>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505-4F15-B6BD-0AC25F3BD5D9}"/>
              </c:ext>
            </c:extLst>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505-4F15-B6BD-0AC25F3BD5D9}"/>
              </c:ext>
            </c:extLst>
          </c:dPt>
          <c:dPt>
            <c:idx val="3"/>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505-4F15-B6BD-0AC25F3BD5D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STATS!$B$38:$E$38</c:f>
              <c:strCache>
                <c:ptCount val="4"/>
                <c:pt idx="0">
                  <c:v>APTO</c:v>
                </c:pt>
                <c:pt idx="1">
                  <c:v>APTO CON RESTRICCIONES</c:v>
                </c:pt>
                <c:pt idx="2">
                  <c:v>OBSERVADO</c:v>
                </c:pt>
                <c:pt idx="3">
                  <c:v>NO APTO</c:v>
                </c:pt>
              </c:strCache>
            </c:strRef>
          </c:cat>
          <c:val>
            <c:numRef>
              <c:f>STATS!$B$39:$E$39</c:f>
              <c:numCache>
                <c:formatCode>General</c:formatCode>
                <c:ptCount val="4"/>
                <c:pt idx="0">
                  <c:v>7</c:v>
                </c:pt>
                <c:pt idx="1">
                  <c:v>11</c:v>
                </c:pt>
                <c:pt idx="2">
                  <c:v>1</c:v>
                </c:pt>
                <c:pt idx="3">
                  <c:v>0</c:v>
                </c:pt>
              </c:numCache>
            </c:numRef>
          </c:val>
          <c:extLst>
            <c:ext xmlns:c16="http://schemas.microsoft.com/office/drawing/2014/chart" uri="{C3380CC4-5D6E-409C-BE32-E72D297353CC}">
              <c16:uniqueId val="{00000008-6505-4F15-B6BD-0AC25F3BD5D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1368008831781762"/>
          <c:y val="0.24134392947463335"/>
          <c:w val="0.36020731911770754"/>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73000">
          <a:schemeClr val="accent1">
            <a:lumMod val="75000"/>
          </a:schemeClr>
        </a:gs>
        <a:gs pos="100000">
          <a:schemeClr val="accent1">
            <a:lumMod val="75000"/>
          </a:schemeClr>
        </a:gs>
      </a:gsLst>
      <a:lin ang="1080000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055-4890-9AE8-3EDD445ED809}"/>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055-4890-9AE8-3EDD445ED809}"/>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8055-4890-9AE8-3EDD445ED809}"/>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8055-4890-9AE8-3EDD445ED809}"/>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STATS!$G$38:$J$38</c:f>
              <c:strCache>
                <c:ptCount val="4"/>
                <c:pt idx="0">
                  <c:v>APTO</c:v>
                </c:pt>
                <c:pt idx="1">
                  <c:v>APTO CON RESTRICCIONES</c:v>
                </c:pt>
                <c:pt idx="2">
                  <c:v>OBSERVADO</c:v>
                </c:pt>
                <c:pt idx="3">
                  <c:v>NO APTO</c:v>
                </c:pt>
              </c:strCache>
            </c:strRef>
          </c:cat>
          <c:val>
            <c:numRef>
              <c:f>STATS!$G$39:$J$39</c:f>
              <c:numCache>
                <c:formatCode>General</c:formatCode>
                <c:ptCount val="4"/>
                <c:pt idx="0">
                  <c:v>3</c:v>
                </c:pt>
                <c:pt idx="1">
                  <c:v>2</c:v>
                </c:pt>
                <c:pt idx="2">
                  <c:v>0</c:v>
                </c:pt>
                <c:pt idx="3">
                  <c:v>0</c:v>
                </c:pt>
              </c:numCache>
            </c:numRef>
          </c:val>
          <c:extLst>
            <c:ext xmlns:c16="http://schemas.microsoft.com/office/drawing/2014/chart" uri="{C3380CC4-5D6E-409C-BE32-E72D297353CC}">
              <c16:uniqueId val="{00000008-8055-4890-9AE8-3EDD445ED80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l"/>
      <c:layout>
        <c:manualLayout>
          <c:xMode val="edge"/>
          <c:yMode val="edge"/>
          <c:x val="1.732447821970021E-2"/>
          <c:y val="0.2225405030784722"/>
          <c:w val="0.37526982466414471"/>
          <c:h val="0.6069642293489223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Algerian" panose="04020705040A02060702" pitchFamily="82" charset="0"/>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shade val="30000"/>
            <a:satMod val="115000"/>
          </a:schemeClr>
        </a:gs>
        <a:gs pos="61000">
          <a:schemeClr val="accent1">
            <a:shade val="67500"/>
            <a:satMod val="115000"/>
          </a:schemeClr>
        </a:gs>
        <a:gs pos="100000">
          <a:schemeClr val="accent1">
            <a:lumMod val="75000"/>
          </a:schemeClr>
        </a:gs>
      </a:gsLst>
      <a:lin ang="0" scaled="1"/>
      <a:tileRect/>
    </a:gradFill>
    <a:ln>
      <a:noFill/>
    </a:ln>
    <a:effectLst/>
  </c:spPr>
  <c:txPr>
    <a:bodyPr/>
    <a:lstStyle/>
    <a:p>
      <a:pPr>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3.9275696553213224E-2"/>
          <c:w val="0.99437464041816426"/>
          <c:h val="0.87789447404725507"/>
        </c:manualLayout>
      </c:layout>
      <c:line3DChart>
        <c:grouping val="standard"/>
        <c:varyColors val="0"/>
        <c:ser>
          <c:idx val="0"/>
          <c:order val="0"/>
          <c:tx>
            <c:strRef>
              <c:f>STATS!$B$56</c:f>
              <c:strCache>
                <c:ptCount val="1"/>
                <c:pt idx="0">
                  <c:v>GOLPE DE CALOR</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a:sp3d contourW="9525">
              <a:contourClr>
                <a:schemeClr val="accent1">
                  <a:shade val="95000"/>
                </a:schemeClr>
              </a:contourClr>
            </a:sp3d>
          </c:spPr>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STATS!$B$57:$B$68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E789-40A7-BFDA-B136D2FD5F88}"/>
            </c:ext>
          </c:extLst>
        </c:ser>
        <c:ser>
          <c:idx val="1"/>
          <c:order val="1"/>
          <c:tx>
            <c:strRef>
              <c:f>STATS!$C$56</c:f>
              <c:strCache>
                <c:ptCount val="1"/>
                <c:pt idx="0">
                  <c:v>VIGILANCIA</c:v>
                </c:pt>
              </c:strCache>
            </c:strRef>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a:sp3d contourW="9525">
              <a:contourClr>
                <a:schemeClr val="accent2">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STATS!$C$57:$C$68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789-40A7-BFDA-B136D2FD5F88}"/>
            </c:ext>
          </c:extLst>
        </c:ser>
        <c:ser>
          <c:idx val="2"/>
          <c:order val="2"/>
          <c:tx>
            <c:strRef>
              <c:f>STATS!$D$56</c:f>
              <c:strCache>
                <c:ptCount val="1"/>
                <c:pt idx="0">
                  <c:v>ERGONOMIA</c:v>
                </c:pt>
              </c:strCache>
            </c:strRef>
          </c:tx>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a:sp3d contourW="9525">
              <a:contourClr>
                <a:schemeClr val="accent3">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STATS!$D$57:$D$68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E789-40A7-BFDA-B136D2FD5F88}"/>
            </c:ext>
          </c:extLst>
        </c:ser>
        <c:ser>
          <c:idx val="3"/>
          <c:order val="3"/>
          <c:tx>
            <c:strRef>
              <c:f>STATS!$E$56</c:f>
              <c:strCache>
                <c:ptCount val="1"/>
                <c:pt idx="0">
                  <c:v>TME</c:v>
                </c:pt>
              </c:strCache>
            </c:strRef>
          </c:tx>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a:sp3d contourW="9525">
              <a:contourClr>
                <a:schemeClr val="accent4">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STATS!$E$57:$E$68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789-40A7-BFDA-B136D2FD5F88}"/>
            </c:ext>
          </c:extLst>
        </c:ser>
        <c:ser>
          <c:idx val="4"/>
          <c:order val="4"/>
          <c:tx>
            <c:strRef>
              <c:f>STATS!$F$56</c:f>
              <c:strCache>
                <c:ptCount val="1"/>
                <c:pt idx="0">
                  <c:v>PSICOSOCIAL</c:v>
                </c:pt>
              </c:strCache>
            </c:strRef>
          </c:tx>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chemeClr>
              </a:solidFill>
              <a:round/>
            </a:ln>
            <a:effectLst>
              <a:outerShdw blurRad="40000" dist="20000" dir="5400000" rotWithShape="0">
                <a:srgbClr val="000000">
                  <a:alpha val="38000"/>
                </a:srgbClr>
              </a:outerShdw>
            </a:effectLst>
            <a:sp3d contourW="9525">
              <a:contourClr>
                <a:schemeClr val="accent5">
                  <a:shade val="9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STATS!$A$57:$A$68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STATS!$F$57:$F$68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4-E789-40A7-BFDA-B136D2FD5F88}"/>
            </c:ext>
          </c:extLst>
        </c:ser>
        <c:dLbls>
          <c:showLegendKey val="0"/>
          <c:showVal val="1"/>
          <c:showCatName val="0"/>
          <c:showSerName val="0"/>
          <c:showPercent val="0"/>
          <c:showBubbleSize val="0"/>
        </c:dLbls>
        <c:gapDepth val="60"/>
        <c:axId val="1511450800"/>
        <c:axId val="1511455600"/>
        <c:axId val="798899743"/>
      </c:line3DChart>
      <c:catAx>
        <c:axId val="151145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crossAx val="1511455600"/>
        <c:crosses val="autoZero"/>
        <c:auto val="1"/>
        <c:lblAlgn val="ctr"/>
        <c:lblOffset val="100"/>
        <c:noMultiLvlLbl val="0"/>
      </c:catAx>
      <c:valAx>
        <c:axId val="15114556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11450800"/>
        <c:crosses val="autoZero"/>
        <c:crossBetween val="between"/>
      </c:valAx>
      <c:serAx>
        <c:axId val="798899743"/>
        <c:scaling>
          <c:orientation val="minMax"/>
        </c:scaling>
        <c:delete val="1"/>
        <c:axPos val="b"/>
        <c:majorTickMark val="none"/>
        <c:minorTickMark val="none"/>
        <c:tickLblPos val="nextTo"/>
        <c:crossAx val="1511455600"/>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5000">
          <a:schemeClr val="tx1">
            <a:lumMod val="75000"/>
            <a:lumOff val="25000"/>
          </a:schemeClr>
        </a:gs>
        <a:gs pos="12000">
          <a:schemeClr val="tx1">
            <a:lumMod val="85000"/>
            <a:lumOff val="15000"/>
          </a:schemeClr>
        </a:gs>
        <a:gs pos="100000">
          <a:schemeClr val="tx1">
            <a:lumMod val="95000"/>
            <a:lumOff val="5000"/>
          </a:schemeClr>
        </a:gs>
      </a:gsLst>
      <a:path path="circle">
        <a:fillToRect l="50000" t="50000" r="50000" b="50000"/>
      </a:path>
      <a:tileRect/>
    </a:gradFill>
    <a:ln w="9525" cap="flat" cmpd="sng" algn="ctr">
      <a:solidFill>
        <a:schemeClr val="tx1"/>
      </a:solidFill>
      <a:round/>
    </a:ln>
    <a:effectLst/>
  </c:spPr>
  <c:txPr>
    <a:bodyPr/>
    <a:lstStyle/>
    <a:p>
      <a:pPr>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55E-4D1E-8D2D-CF564F8082D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55E-4D1E-8D2D-CF564F8082D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55E-4D1E-8D2D-CF564F8082DC}"/>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2"/>
                    </a:solidFill>
                    <a:latin typeface="+mn-lt"/>
                    <a:ea typeface="+mn-ea"/>
                    <a:cs typeface="+mn-cs"/>
                  </a:defRPr>
                </a:pPr>
                <a:endParaRPr lang="es-PE"/>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STATS!$K$17:$K$19</c:f>
              <c:strCache>
                <c:ptCount val="3"/>
                <c:pt idx="0">
                  <c:v>CARPINTERO</c:v>
                </c:pt>
                <c:pt idx="1">
                  <c:v>CAPINTERIA</c:v>
                </c:pt>
                <c:pt idx="2">
                  <c:v>LIMPIEZA</c:v>
                </c:pt>
              </c:strCache>
            </c:strRef>
          </c:cat>
          <c:val>
            <c:numRef>
              <c:f>STATS!$L$17:$L$19</c:f>
              <c:numCache>
                <c:formatCode>General</c:formatCode>
                <c:ptCount val="3"/>
                <c:pt idx="0">
                  <c:v>6</c:v>
                </c:pt>
                <c:pt idx="1">
                  <c:v>5</c:v>
                </c:pt>
                <c:pt idx="2">
                  <c:v>5</c:v>
                </c:pt>
              </c:numCache>
            </c:numRef>
          </c:val>
          <c:extLst>
            <c:ext xmlns:c16="http://schemas.microsoft.com/office/drawing/2014/chart" uri="{C3380CC4-5D6E-409C-BE32-E72D297353CC}">
              <c16:uniqueId val="{00000006-955E-4D1E-8D2D-CF564F8082D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chemeClr val="accent1">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STATS!$F$21:$F$22</c:f>
              <c:strCache>
                <c:ptCount val="1"/>
                <c:pt idx="0">
                  <c:v>Sin datos</c:v>
                </c:pt>
              </c:strCache>
            </c:strRef>
          </c:cat>
          <c:val>
            <c:numRef>
              <c:f>STATS!$G$21:$G$22</c:f>
              <c:numCache>
                <c:formatCode>General</c:formatCode>
                <c:ptCount val="2"/>
              </c:numCache>
            </c:numRef>
          </c:val>
          <c:extLst>
            <c:ext xmlns:c16="http://schemas.microsoft.com/office/drawing/2014/chart" uri="{C3380CC4-5D6E-409C-BE32-E72D297353CC}">
              <c16:uniqueId val="{00000000-BBD6-4962-9A58-987C2684F316}"/>
            </c:ext>
          </c:extLst>
        </c:ser>
        <c:dLbls>
          <c:showLegendKey val="0"/>
          <c:showVal val="1"/>
          <c:showCatName val="0"/>
          <c:showSerName val="0"/>
          <c:showPercent val="0"/>
          <c:showBubbleSize val="0"/>
        </c:dLbls>
        <c:gapWidth val="84"/>
        <c:gapDepth val="53"/>
        <c:shape val="box"/>
        <c:axId val="4610975"/>
        <c:axId val="4609535"/>
        <c:axId val="0"/>
      </c:bar3DChart>
      <c:catAx>
        <c:axId val="4610975"/>
        <c:scaling>
          <c:orientation val="minMax"/>
        </c:scaling>
        <c:delete val="0"/>
        <c:axPos val="l"/>
        <c:majorGridlines>
          <c:spPr>
            <a:ln w="9525">
              <a:solidFill>
                <a:schemeClr val="lt1">
                  <a:lumMod val="50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PE"/>
          </a:p>
        </c:txPr>
        <c:crossAx val="4609535"/>
        <c:crosses val="autoZero"/>
        <c:auto val="1"/>
        <c:lblAlgn val="ctr"/>
        <c:lblOffset val="100"/>
        <c:noMultiLvlLbl val="0"/>
      </c:catAx>
      <c:valAx>
        <c:axId val="4609535"/>
        <c:scaling>
          <c:orientation val="minMax"/>
        </c:scaling>
        <c:delete val="1"/>
        <c:axPos val="b"/>
        <c:majorGridlines>
          <c:spPr>
            <a:ln w="9525">
              <a:solidFill>
                <a:schemeClr val="lt1">
                  <a:lumMod val="50000"/>
                </a:schemeClr>
              </a:solidFill>
            </a:ln>
            <a:effectLst/>
          </c:spPr>
        </c:majorGridlines>
        <c:numFmt formatCode="General" sourceLinked="1"/>
        <c:majorTickMark val="out"/>
        <c:minorTickMark val="none"/>
        <c:tickLblPos val="nextTo"/>
        <c:crossAx val="4610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981-4A32-B5AC-6A9DABA3A3B3}"/>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981-4A32-B5AC-6A9DABA3A3B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STATS!$I$6:$J$6</c:f>
              <c:strCache>
                <c:ptCount val="2"/>
                <c:pt idx="0">
                  <c:v>TOTAL EMOS REALIZADOS</c:v>
                </c:pt>
                <c:pt idx="1">
                  <c:v>TOTAL EMOS ENTREGADOS</c:v>
                </c:pt>
              </c:strCache>
            </c:strRef>
          </c:cat>
          <c:val>
            <c:numRef>
              <c:f>STATS!$I$7:$J$7</c:f>
              <c:numCache>
                <c:formatCode>General</c:formatCode>
                <c:ptCount val="2"/>
                <c:pt idx="0">
                  <c:v>23</c:v>
                </c:pt>
                <c:pt idx="1">
                  <c:v>23</c:v>
                </c:pt>
              </c:numCache>
            </c:numRef>
          </c:val>
          <c:extLst>
            <c:ext xmlns:c16="http://schemas.microsoft.com/office/drawing/2014/chart" uri="{C3380CC4-5D6E-409C-BE32-E72D297353CC}">
              <c16:uniqueId val="{00000004-D981-4A32-B5AC-6A9DABA3A3B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4911614173228349"/>
          <c:y val="0.32815507436570435"/>
          <c:w val="0.33421719160104985"/>
          <c:h val="0.3831802274715660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percentStack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dLbl>
              <c:idx val="0"/>
              <c:layout>
                <c:manualLayout>
                  <c:x val="0.375"/>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4F-4247-A1B8-73DD2FE04122}"/>
                </c:ext>
              </c:extLst>
            </c:dLbl>
            <c:dLbl>
              <c:idx val="1"/>
              <c:layout>
                <c:manualLayout>
                  <c:x val="4.4444444444444446E-2"/>
                  <c:y val="-2.314814814814814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4F-4247-A1B8-73DD2FE04122}"/>
                </c:ext>
              </c:extLst>
            </c:dLbl>
            <c:dLbl>
              <c:idx val="2"/>
              <c:layout>
                <c:manualLayout>
                  <c:x val="3.888888888888889E-2"/>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F4F-4247-A1B8-73DD2FE0412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lumMod val="8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STATS!$I$4:$K$4</c:f>
              <c:strCache>
                <c:ptCount val="3"/>
                <c:pt idx="0">
                  <c:v>EMOS VIGENTES</c:v>
                </c:pt>
                <c:pt idx="1">
                  <c:v>EMOS VENCIDOS</c:v>
                </c:pt>
                <c:pt idx="2">
                  <c:v>SIN EMO</c:v>
                </c:pt>
              </c:strCache>
            </c:strRef>
          </c:cat>
          <c:val>
            <c:numRef>
              <c:f>STATS!$I$5:$K$5</c:f>
              <c:numCache>
                <c:formatCode>General</c:formatCode>
                <c:ptCount val="3"/>
                <c:pt idx="0">
                  <c:v>32</c:v>
                </c:pt>
                <c:pt idx="1">
                  <c:v>8</c:v>
                </c:pt>
                <c:pt idx="2">
                  <c:v>0</c:v>
                </c:pt>
              </c:numCache>
            </c:numRef>
          </c:val>
          <c:extLst>
            <c:ext xmlns:c16="http://schemas.microsoft.com/office/drawing/2014/chart" uri="{C3380CC4-5D6E-409C-BE32-E72D297353CC}">
              <c16:uniqueId val="{00000003-EF4F-4247-A1B8-73DD2FE04122}"/>
            </c:ext>
          </c:extLst>
        </c:ser>
        <c:dLbls>
          <c:showLegendKey val="0"/>
          <c:showVal val="1"/>
          <c:showCatName val="0"/>
          <c:showSerName val="0"/>
          <c:showPercent val="0"/>
          <c:showBubbleSize val="0"/>
        </c:dLbls>
        <c:gapWidth val="150"/>
        <c:shape val="box"/>
        <c:axId val="1961593680"/>
        <c:axId val="1961587440"/>
        <c:axId val="0"/>
      </c:bar3DChart>
      <c:catAx>
        <c:axId val="1961593680"/>
        <c:scaling>
          <c:orientation val="maxMin"/>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PE"/>
          </a:p>
        </c:txPr>
        <c:crossAx val="1961587440"/>
        <c:crosses val="autoZero"/>
        <c:auto val="1"/>
        <c:lblAlgn val="ctr"/>
        <c:lblOffset val="100"/>
        <c:noMultiLvlLbl val="0"/>
      </c:catAx>
      <c:valAx>
        <c:axId val="1961587440"/>
        <c:scaling>
          <c:orientation val="minMax"/>
        </c:scaling>
        <c:delete val="1"/>
        <c:axPos val="t"/>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crossAx val="19615936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STATS!$B$20</c:f>
              <c:strCache>
                <c:ptCount val="1"/>
                <c:pt idx="0">
                  <c:v>CANTIDAD</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B2F4-43F4-A3BC-7FBB6310DA11}"/>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B2F4-43F4-A3BC-7FBB6310DA11}"/>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s-PE"/>
              </a:p>
            </c:txPr>
            <c:showLegendKey val="0"/>
            <c:showVal val="0"/>
            <c:showCatName val="0"/>
            <c:showSerName val="0"/>
            <c:showPercent val="1"/>
            <c:showBubbleSize val="0"/>
            <c:showLeaderLines val="0"/>
            <c:extLst>
              <c:ext xmlns:c15="http://schemas.microsoft.com/office/drawing/2012/chart" uri="{CE6537A1-D6FC-4f65-9D91-7224C49458BB}"/>
            </c:extLst>
          </c:dLbls>
          <c:cat>
            <c:strRef>
              <c:f>STATS!$A$21:$A$22</c:f>
              <c:strCache>
                <c:ptCount val="2"/>
                <c:pt idx="0">
                  <c:v>HOMBRES</c:v>
                </c:pt>
                <c:pt idx="1">
                  <c:v>MUJERES</c:v>
                </c:pt>
              </c:strCache>
            </c:strRef>
          </c:cat>
          <c:val>
            <c:numRef>
              <c:f>STATS!$B$21:$B$22</c:f>
              <c:numCache>
                <c:formatCode>General</c:formatCode>
                <c:ptCount val="2"/>
                <c:pt idx="0">
                  <c:v>19</c:v>
                </c:pt>
                <c:pt idx="1">
                  <c:v>5</c:v>
                </c:pt>
              </c:numCache>
            </c:numRef>
          </c:val>
          <c:extLst>
            <c:ext xmlns:c16="http://schemas.microsoft.com/office/drawing/2014/chart" uri="{C3380CC4-5D6E-409C-BE32-E72D297353CC}">
              <c16:uniqueId val="{00000004-B2F4-43F4-A3BC-7FBB6310DA11}"/>
            </c:ext>
          </c:extLst>
        </c:ser>
        <c:dLbls>
          <c:showLegendKey val="0"/>
          <c:showVal val="1"/>
          <c:showCatName val="0"/>
          <c:showSerName val="0"/>
          <c:showPercent val="0"/>
          <c:showBubbleSize val="0"/>
          <c:showLeaderLines val="0"/>
        </c:dLbls>
        <c:firstSliceAng val="0"/>
        <c:holeSize val="70"/>
      </c:doughnutChart>
      <c:spPr>
        <a:noFill/>
        <a:ln>
          <a:noFill/>
        </a:ln>
        <a:effectLst/>
      </c:spPr>
    </c:plotArea>
    <c:legend>
      <c:legendPos val="r"/>
      <c:layout>
        <c:manualLayout>
          <c:xMode val="edge"/>
          <c:yMode val="edge"/>
          <c:x val="0.6504691601049869"/>
          <c:y val="0.32444918343540391"/>
          <c:w val="0.33286417322834638"/>
          <c:h val="0.3418423738699329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76000">
          <a:schemeClr val="accent1">
            <a:lumMod val="45000"/>
            <a:lumOff val="55000"/>
          </a:schemeClr>
        </a:gs>
        <a:gs pos="83000">
          <a:schemeClr val="accent1">
            <a:lumMod val="45000"/>
            <a:lumOff val="55000"/>
          </a:schemeClr>
        </a:gs>
        <a:gs pos="100000">
          <a:schemeClr val="accent1">
            <a:lumMod val="30000"/>
            <a:lumOff val="70000"/>
          </a:schemeClr>
        </a:gs>
      </a:gsLst>
      <a:path path="shap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STATS!$B$26</c:f>
              <c:strCache>
                <c:ptCount val="1"/>
                <c:pt idx="0">
                  <c:v>HOMBRE</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STATS!$A$27:$A$32</c:f>
              <c:strCache>
                <c:ptCount val="6"/>
                <c:pt idx="0">
                  <c:v>&lt;20</c:v>
                </c:pt>
                <c:pt idx="1">
                  <c:v>20-29</c:v>
                </c:pt>
                <c:pt idx="2">
                  <c:v>30-39</c:v>
                </c:pt>
                <c:pt idx="3">
                  <c:v>40-49</c:v>
                </c:pt>
                <c:pt idx="4">
                  <c:v>50-59</c:v>
                </c:pt>
                <c:pt idx="5">
                  <c:v>≥60</c:v>
                </c:pt>
              </c:strCache>
            </c:strRef>
          </c:cat>
          <c:val>
            <c:numRef>
              <c:f>STATS!$B$27:$B$32</c:f>
              <c:numCache>
                <c:formatCode>General</c:formatCode>
                <c:ptCount val="6"/>
                <c:pt idx="0">
                  <c:v>1</c:v>
                </c:pt>
                <c:pt idx="1">
                  <c:v>9</c:v>
                </c:pt>
                <c:pt idx="2">
                  <c:v>7</c:v>
                </c:pt>
                <c:pt idx="3">
                  <c:v>1</c:v>
                </c:pt>
                <c:pt idx="4">
                  <c:v>1</c:v>
                </c:pt>
                <c:pt idx="5">
                  <c:v>0</c:v>
                </c:pt>
              </c:numCache>
            </c:numRef>
          </c:val>
          <c:extLst>
            <c:ext xmlns:c16="http://schemas.microsoft.com/office/drawing/2014/chart" uri="{C3380CC4-5D6E-409C-BE32-E72D297353CC}">
              <c16:uniqueId val="{00000000-6F2D-4BBE-BDA1-1219D31D6254}"/>
            </c:ext>
          </c:extLst>
        </c:ser>
        <c:ser>
          <c:idx val="1"/>
          <c:order val="1"/>
          <c:tx>
            <c:strRef>
              <c:f>STATS!$C$26</c:f>
              <c:strCache>
                <c:ptCount val="1"/>
                <c:pt idx="0">
                  <c:v>MUJER</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STATS!$A$27:$A$32</c:f>
              <c:strCache>
                <c:ptCount val="6"/>
                <c:pt idx="0">
                  <c:v>&lt;20</c:v>
                </c:pt>
                <c:pt idx="1">
                  <c:v>20-29</c:v>
                </c:pt>
                <c:pt idx="2">
                  <c:v>30-39</c:v>
                </c:pt>
                <c:pt idx="3">
                  <c:v>40-49</c:v>
                </c:pt>
                <c:pt idx="4">
                  <c:v>50-59</c:v>
                </c:pt>
                <c:pt idx="5">
                  <c:v>≥60</c:v>
                </c:pt>
              </c:strCache>
            </c:strRef>
          </c:cat>
          <c:val>
            <c:numRef>
              <c:f>STATS!$C$27:$C$32</c:f>
              <c:numCache>
                <c:formatCode>General</c:formatCode>
                <c:ptCount val="6"/>
                <c:pt idx="0">
                  <c:v>0</c:v>
                </c:pt>
                <c:pt idx="1">
                  <c:v>1</c:v>
                </c:pt>
                <c:pt idx="2">
                  <c:v>2</c:v>
                </c:pt>
                <c:pt idx="3">
                  <c:v>1</c:v>
                </c:pt>
                <c:pt idx="4">
                  <c:v>1</c:v>
                </c:pt>
                <c:pt idx="5">
                  <c:v>0</c:v>
                </c:pt>
              </c:numCache>
            </c:numRef>
          </c:val>
          <c:extLst>
            <c:ext xmlns:c16="http://schemas.microsoft.com/office/drawing/2014/chart" uri="{C3380CC4-5D6E-409C-BE32-E72D297353CC}">
              <c16:uniqueId val="{00000001-6F2D-4BBE-BDA1-1219D31D6254}"/>
            </c:ext>
          </c:extLst>
        </c:ser>
        <c:dLbls>
          <c:showLegendKey val="0"/>
          <c:showVal val="1"/>
          <c:showCatName val="0"/>
          <c:showSerName val="0"/>
          <c:showPercent val="0"/>
          <c:showBubbleSize val="0"/>
        </c:dLbls>
        <c:gapWidth val="150"/>
        <c:shape val="box"/>
        <c:axId val="1250826095"/>
        <c:axId val="1250826575"/>
        <c:axId val="0"/>
      </c:bar3DChart>
      <c:catAx>
        <c:axId val="12508260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s-PE"/>
          </a:p>
        </c:txPr>
        <c:crossAx val="1250826575"/>
        <c:crosses val="autoZero"/>
        <c:auto val="1"/>
        <c:lblAlgn val="ctr"/>
        <c:lblOffset val="100"/>
        <c:noMultiLvlLbl val="0"/>
      </c:catAx>
      <c:valAx>
        <c:axId val="1250826575"/>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50826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5000"/>
            <a:lumOff val="95000"/>
          </a:schemeClr>
        </a:gs>
        <a:gs pos="61000">
          <a:schemeClr val="accent3">
            <a:lumMod val="40000"/>
            <a:lumOff val="60000"/>
          </a:schemeClr>
        </a:gs>
        <a:gs pos="100000">
          <a:schemeClr val="accent3">
            <a:lumMod val="75000"/>
          </a:scheme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1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10.svg"/><Relationship Id="rId13" Type="http://schemas.openxmlformats.org/officeDocument/2006/relationships/chart" Target="../charts/chart2.xml"/><Relationship Id="rId18" Type="http://schemas.openxmlformats.org/officeDocument/2006/relationships/image" Target="../media/image21.sv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svg"/><Relationship Id="rId17" Type="http://schemas.openxmlformats.org/officeDocument/2006/relationships/image" Target="../media/image20.png"/><Relationship Id="rId2" Type="http://schemas.openxmlformats.org/officeDocument/2006/relationships/image" Target="../media/image4.svg"/><Relationship Id="rId16" Type="http://schemas.openxmlformats.org/officeDocument/2006/relationships/chart" Target="../charts/chart5.xml"/><Relationship Id="rId20"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chart" Target="../charts/chart4.xml"/><Relationship Id="rId10" Type="http://schemas.openxmlformats.org/officeDocument/2006/relationships/image" Target="../media/image12.svg"/><Relationship Id="rId19" Type="http://schemas.openxmlformats.org/officeDocument/2006/relationships/chart" Target="../charts/chart6.xml"/><Relationship Id="rId4" Type="http://schemas.openxmlformats.org/officeDocument/2006/relationships/image" Target="../media/image6.svg"/><Relationship Id="rId9" Type="http://schemas.openxmlformats.org/officeDocument/2006/relationships/image" Target="../media/image11.png"/><Relationship Id="rId1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svg"/><Relationship Id="rId1" Type="http://schemas.openxmlformats.org/officeDocument/2006/relationships/image" Target="../media/image15.png"/><Relationship Id="rId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image" Target="../media/image29.svg"/><Relationship Id="rId13" Type="http://schemas.openxmlformats.org/officeDocument/2006/relationships/image" Target="../media/image34.png"/><Relationship Id="rId18" Type="http://schemas.openxmlformats.org/officeDocument/2006/relationships/chart" Target="../charts/chart11.xml"/><Relationship Id="rId3" Type="http://schemas.openxmlformats.org/officeDocument/2006/relationships/image" Target="../media/image24.png"/><Relationship Id="rId21" Type="http://schemas.openxmlformats.org/officeDocument/2006/relationships/chart" Target="../charts/chart14.xml"/><Relationship Id="rId7" Type="http://schemas.openxmlformats.org/officeDocument/2006/relationships/image" Target="../media/image28.png"/><Relationship Id="rId12" Type="http://schemas.openxmlformats.org/officeDocument/2006/relationships/image" Target="../media/image33.svg"/><Relationship Id="rId17" Type="http://schemas.openxmlformats.org/officeDocument/2006/relationships/chart" Target="../charts/chart10.xml"/><Relationship Id="rId25" Type="http://schemas.openxmlformats.org/officeDocument/2006/relationships/chart" Target="../charts/chart18.xml"/><Relationship Id="rId2" Type="http://schemas.openxmlformats.org/officeDocument/2006/relationships/image" Target="../media/image23.sv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22.png"/><Relationship Id="rId6" Type="http://schemas.openxmlformats.org/officeDocument/2006/relationships/image" Target="../media/image27.svg"/><Relationship Id="rId11" Type="http://schemas.openxmlformats.org/officeDocument/2006/relationships/image" Target="../media/image32.png"/><Relationship Id="rId24" Type="http://schemas.openxmlformats.org/officeDocument/2006/relationships/chart" Target="../charts/chart17.xml"/><Relationship Id="rId5" Type="http://schemas.openxmlformats.org/officeDocument/2006/relationships/image" Target="../media/image26.png"/><Relationship Id="rId15" Type="http://schemas.openxmlformats.org/officeDocument/2006/relationships/chart" Target="../charts/chart8.xml"/><Relationship Id="rId23" Type="http://schemas.openxmlformats.org/officeDocument/2006/relationships/chart" Target="../charts/chart16.xml"/><Relationship Id="rId10" Type="http://schemas.openxmlformats.org/officeDocument/2006/relationships/image" Target="../media/image31.svg"/><Relationship Id="rId19" Type="http://schemas.openxmlformats.org/officeDocument/2006/relationships/chart" Target="../charts/chart12.xml"/><Relationship Id="rId4" Type="http://schemas.openxmlformats.org/officeDocument/2006/relationships/image" Target="../media/image25.svg"/><Relationship Id="rId9" Type="http://schemas.openxmlformats.org/officeDocument/2006/relationships/image" Target="../media/image30.png"/><Relationship Id="rId14" Type="http://schemas.openxmlformats.org/officeDocument/2006/relationships/image" Target="../media/image35.svg"/><Relationship Id="rId22"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16</xdr:col>
      <xdr:colOff>786153</xdr:colOff>
      <xdr:row>0</xdr:row>
      <xdr:rowOff>0</xdr:rowOff>
    </xdr:from>
    <xdr:to>
      <xdr:col>17</xdr:col>
      <xdr:colOff>358571</xdr:colOff>
      <xdr:row>0</xdr:row>
      <xdr:rowOff>480060</xdr:rowOff>
    </xdr:to>
    <xdr:pic macro="[0]!EnviarDatosEMO">
      <xdr:nvPicPr>
        <xdr:cNvPr id="3" name="Gráfico 2" descr="Libreta de direcciones con relleno sólido">
          <a:extLst>
            <a:ext uri="{FF2B5EF4-FFF2-40B4-BE49-F238E27FC236}">
              <a16:creationId xmlns:a16="http://schemas.microsoft.com/office/drawing/2014/main" id="{3AEE6BB9-9B95-B74E-C603-1BE4752053A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6412213" y="0"/>
          <a:ext cx="433478" cy="480060"/>
        </a:xfrm>
        <a:prstGeom prst="rect">
          <a:avLst/>
        </a:prstGeom>
      </xdr:spPr>
    </xdr:pic>
    <xdr:clientData/>
  </xdr:twoCellAnchor>
  <xdr:twoCellAnchor editAs="oneCell">
    <xdr:from>
      <xdr:col>21</xdr:col>
      <xdr:colOff>1684020</xdr:colOff>
      <xdr:row>0</xdr:row>
      <xdr:rowOff>4745</xdr:rowOff>
    </xdr:from>
    <xdr:to>
      <xdr:col>22</xdr:col>
      <xdr:colOff>396240</xdr:colOff>
      <xdr:row>0</xdr:row>
      <xdr:rowOff>484805</xdr:rowOff>
    </xdr:to>
    <xdr:pic macro="[0]!EnviarDatosVMO">
      <xdr:nvPicPr>
        <xdr:cNvPr id="17" name="Gráfico 16" descr="Libreta de direcciones con relleno sólido">
          <a:extLst>
            <a:ext uri="{FF2B5EF4-FFF2-40B4-BE49-F238E27FC236}">
              <a16:creationId xmlns:a16="http://schemas.microsoft.com/office/drawing/2014/main" id="{0FA3D98B-9025-4B46-9365-4AEF110D0E9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4845945" y="4745"/>
          <a:ext cx="480635" cy="480060"/>
        </a:xfrm>
        <a:prstGeom prst="rect">
          <a:avLst/>
        </a:prstGeom>
      </xdr:spPr>
    </xdr:pic>
    <xdr:clientData/>
  </xdr:twoCellAnchor>
  <xdr:oneCellAnchor>
    <xdr:from>
      <xdr:col>30</xdr:col>
      <xdr:colOff>997644</xdr:colOff>
      <xdr:row>0</xdr:row>
      <xdr:rowOff>4745</xdr:rowOff>
    </xdr:from>
    <xdr:ext cx="480451" cy="480060"/>
    <xdr:pic macro="[0]!EnviarDatosCapacitaciones">
      <xdr:nvPicPr>
        <xdr:cNvPr id="2" name="Gráfico 1" descr="Libreta de direcciones con relleno sólido">
          <a:extLst>
            <a:ext uri="{FF2B5EF4-FFF2-40B4-BE49-F238E27FC236}">
              <a16:creationId xmlns:a16="http://schemas.microsoft.com/office/drawing/2014/main" id="{85113923-BC55-4E21-9467-E1C78EA046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777678" y="4745"/>
          <a:ext cx="480451" cy="48006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5</xdr:col>
      <xdr:colOff>784412</xdr:colOff>
      <xdr:row>25</xdr:row>
      <xdr:rowOff>188259</xdr:rowOff>
    </xdr:from>
    <xdr:to>
      <xdr:col>8</xdr:col>
      <xdr:colOff>694765</xdr:colOff>
      <xdr:row>35</xdr:row>
      <xdr:rowOff>134471</xdr:rowOff>
    </xdr:to>
    <xdr:graphicFrame macro="">
      <xdr:nvGraphicFramePr>
        <xdr:cNvPr id="6" name="Gráfico 5">
          <a:extLst>
            <a:ext uri="{FF2B5EF4-FFF2-40B4-BE49-F238E27FC236}">
              <a16:creationId xmlns:a16="http://schemas.microsoft.com/office/drawing/2014/main" id="{FDA59581-7D9D-D934-5A1D-DEBED3454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375621</xdr:colOff>
      <xdr:row>333</xdr:row>
      <xdr:rowOff>105335</xdr:rowOff>
    </xdr:from>
    <xdr:to>
      <xdr:col>7</xdr:col>
      <xdr:colOff>447339</xdr:colOff>
      <xdr:row>347</xdr:row>
      <xdr:rowOff>62193</xdr:rowOff>
    </xdr:to>
    <mc:AlternateContent xmlns:mc="http://schemas.openxmlformats.org/markup-compatibility/2006" xmlns:a14="http://schemas.microsoft.com/office/drawing/2010/main">
      <mc:Choice Requires="a14">
        <xdr:graphicFrame macro="">
          <xdr:nvGraphicFramePr>
            <xdr:cNvPr id="2" name="AÑO">
              <a:extLst>
                <a:ext uri="{FF2B5EF4-FFF2-40B4-BE49-F238E27FC236}">
                  <a16:creationId xmlns:a16="http://schemas.microsoft.com/office/drawing/2014/main" id="{0190246F-2776-EC56-C0B4-C1CCCA8BD29B}"/>
                </a:ext>
              </a:extLst>
            </xdr:cNvPr>
            <xdr:cNvGraphicFramePr/>
          </xdr:nvGraphicFramePr>
          <xdr:xfrm>
            <a:off x="0" y="0"/>
            <a:ext cx="0" cy="0"/>
          </xdr:xfrm>
          <a:graphic>
            <a:graphicData uri="http://schemas.microsoft.com/office/drawing/2010/slicer">
              <sle:slicer xmlns:sle="http://schemas.microsoft.com/office/drawing/2010/slicer" name="AÑO"/>
            </a:graphicData>
          </a:graphic>
        </xdr:graphicFrame>
      </mc:Choice>
      <mc:Fallback xmlns="">
        <xdr:sp macro="" textlink="">
          <xdr:nvSpPr>
            <xdr:cNvPr id="0" name=""/>
            <xdr:cNvSpPr>
              <a:spLocks noTextEdit="1"/>
            </xdr:cNvSpPr>
          </xdr:nvSpPr>
          <xdr:spPr>
            <a:xfrm>
              <a:off x="7574280" y="66560700"/>
              <a:ext cx="1828800" cy="2466975"/>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41563</xdr:colOff>
      <xdr:row>0</xdr:row>
      <xdr:rowOff>41563</xdr:rowOff>
    </xdr:from>
    <xdr:to>
      <xdr:col>3</xdr:col>
      <xdr:colOff>1009650</xdr:colOff>
      <xdr:row>78</xdr:row>
      <xdr:rowOff>0</xdr:rowOff>
    </xdr:to>
    <xdr:sp macro="" textlink="">
      <xdr:nvSpPr>
        <xdr:cNvPr id="3" name="Rectángulo: esquinas redondeadas 2">
          <a:extLst>
            <a:ext uri="{FF2B5EF4-FFF2-40B4-BE49-F238E27FC236}">
              <a16:creationId xmlns:a16="http://schemas.microsoft.com/office/drawing/2014/main" id="{D7887457-EC81-C17B-7EF5-0340400F4112}"/>
            </a:ext>
          </a:extLst>
        </xdr:cNvPr>
        <xdr:cNvSpPr/>
      </xdr:nvSpPr>
      <xdr:spPr>
        <a:xfrm>
          <a:off x="41563" y="41563"/>
          <a:ext cx="4225637" cy="14817437"/>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4</xdr:col>
      <xdr:colOff>133350</xdr:colOff>
      <xdr:row>0</xdr:row>
      <xdr:rowOff>181315</xdr:rowOff>
    </xdr:from>
    <xdr:to>
      <xdr:col>36</xdr:col>
      <xdr:colOff>704849</xdr:colOff>
      <xdr:row>77</xdr:row>
      <xdr:rowOff>152400</xdr:rowOff>
    </xdr:to>
    <xdr:sp macro="" textlink="">
      <xdr:nvSpPr>
        <xdr:cNvPr id="4" name="Rectángulo: esquinas redondeadas 3">
          <a:extLst>
            <a:ext uri="{FF2B5EF4-FFF2-40B4-BE49-F238E27FC236}">
              <a16:creationId xmlns:a16="http://schemas.microsoft.com/office/drawing/2014/main" id="{7A2C1B68-4409-4D62-B857-885F8BE57820}"/>
            </a:ext>
          </a:extLst>
        </xdr:cNvPr>
        <xdr:cNvSpPr/>
      </xdr:nvSpPr>
      <xdr:spPr>
        <a:xfrm>
          <a:off x="4476750" y="181315"/>
          <a:ext cx="34632899" cy="14639585"/>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3</xdr:col>
      <xdr:colOff>941312</xdr:colOff>
      <xdr:row>71</xdr:row>
      <xdr:rowOff>140368</xdr:rowOff>
    </xdr:to>
    <mc:AlternateContent xmlns:mc="http://schemas.openxmlformats.org/markup-compatibility/2006" xmlns:a14="http://schemas.microsoft.com/office/drawing/2010/main">
      <mc:Choice Requires="a14">
        <xdr:graphicFrame macro="">
          <xdr:nvGraphicFramePr>
            <xdr:cNvPr id="7" name="MES 1">
              <a:extLst>
                <a:ext uri="{FF2B5EF4-FFF2-40B4-BE49-F238E27FC236}">
                  <a16:creationId xmlns:a16="http://schemas.microsoft.com/office/drawing/2014/main" id="{9EFA6665-982D-4AE2-87B7-A109D2CFC0A9}"/>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110837" y="6743700"/>
              <a:ext cx="4088025" cy="6696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3</xdr:col>
      <xdr:colOff>941313</xdr:colOff>
      <xdr:row>34</xdr:row>
      <xdr:rowOff>132442</xdr:rowOff>
    </xdr:to>
    <mc:AlternateContent xmlns:mc="http://schemas.openxmlformats.org/markup-compatibility/2006" xmlns:a14="http://schemas.microsoft.com/office/drawing/2010/main">
      <mc:Choice Requires="a14">
        <xdr:graphicFrame macro="">
          <xdr:nvGraphicFramePr>
            <xdr:cNvPr id="8" name="OBRA 2">
              <a:extLst>
                <a:ext uri="{FF2B5EF4-FFF2-40B4-BE49-F238E27FC236}">
                  <a16:creationId xmlns:a16="http://schemas.microsoft.com/office/drawing/2014/main" id="{A1CA0403-6697-4C28-A52B-56CD331E54B4}"/>
                </a:ext>
              </a:extLst>
            </xdr:cNvPr>
            <xdr:cNvGraphicFramePr/>
          </xdr:nvGraphicFramePr>
          <xdr:xfrm>
            <a:off x="0" y="0"/>
            <a:ext cx="0" cy="0"/>
          </xdr:xfrm>
          <a:graphic>
            <a:graphicData uri="http://schemas.microsoft.com/office/drawing/2010/slicer">
              <sle:slicer xmlns:sle="http://schemas.microsoft.com/office/drawing/2010/slicer" name="OBRA 2"/>
            </a:graphicData>
          </a:graphic>
        </xdr:graphicFrame>
      </mc:Choice>
      <mc:Fallback xmlns="">
        <xdr:sp macro="" textlink="">
          <xdr:nvSpPr>
            <xdr:cNvPr id="0" name=""/>
            <xdr:cNvSpPr>
              <a:spLocks noTextEdit="1"/>
            </xdr:cNvSpPr>
          </xdr:nvSpPr>
          <xdr:spPr>
            <a:xfrm>
              <a:off x="110837" y="2541442"/>
              <a:ext cx="4088026" cy="40680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4</xdr:col>
      <xdr:colOff>526473</xdr:colOff>
      <xdr:row>1</xdr:row>
      <xdr:rowOff>83128</xdr:rowOff>
    </xdr:from>
    <xdr:to>
      <xdr:col>8</xdr:col>
      <xdr:colOff>517398</xdr:colOff>
      <xdr:row>13</xdr:row>
      <xdr:rowOff>0</xdr:rowOff>
    </xdr:to>
    <xdr:grpSp>
      <xdr:nvGrpSpPr>
        <xdr:cNvPr id="21" name="Grupo 20">
          <a:extLst>
            <a:ext uri="{FF2B5EF4-FFF2-40B4-BE49-F238E27FC236}">
              <a16:creationId xmlns:a16="http://schemas.microsoft.com/office/drawing/2014/main" id="{5D4B7A22-98AD-3DED-0F74-49716B692799}"/>
            </a:ext>
          </a:extLst>
        </xdr:cNvPr>
        <xdr:cNvGrpSpPr/>
      </xdr:nvGrpSpPr>
      <xdr:grpSpPr>
        <a:xfrm>
          <a:off x="4849091" y="263237"/>
          <a:ext cx="4313543" cy="2078181"/>
          <a:chOff x="3685309" y="263237"/>
          <a:chExt cx="4308766" cy="2078181"/>
        </a:xfrm>
      </xdr:grpSpPr>
      <xdr:sp macro="" textlink="">
        <xdr:nvSpPr>
          <xdr:cNvPr id="10" name="Rectángulo: esquinas redondeadas 9">
            <a:extLst>
              <a:ext uri="{FF2B5EF4-FFF2-40B4-BE49-F238E27FC236}">
                <a16:creationId xmlns:a16="http://schemas.microsoft.com/office/drawing/2014/main" id="{A844506E-84F0-09C6-0D45-5975AFEB6523}"/>
              </a:ext>
            </a:extLst>
          </xdr:cNvPr>
          <xdr:cNvSpPr/>
        </xdr:nvSpPr>
        <xdr:spPr>
          <a:xfrm>
            <a:off x="3685309" y="263237"/>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1" name="CuadroTexto 10">
            <a:extLst>
              <a:ext uri="{FF2B5EF4-FFF2-40B4-BE49-F238E27FC236}">
                <a16:creationId xmlns:a16="http://schemas.microsoft.com/office/drawing/2014/main" id="{91BF3369-ACED-79CA-39B4-F90CB185E77F}"/>
              </a:ext>
            </a:extLst>
          </xdr:cNvPr>
          <xdr:cNvSpPr txBox="1"/>
        </xdr:nvSpPr>
        <xdr:spPr>
          <a:xfrm>
            <a:off x="3685309" y="512618"/>
            <a:ext cx="3422073" cy="540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INCIDENTES</a:t>
            </a:r>
          </a:p>
        </xdr:txBody>
      </xdr:sp>
      <xdr:pic>
        <xdr:nvPicPr>
          <xdr:cNvPr id="13" name="Gráfico 12" descr="Cabestrillo con relleno sólido">
            <a:extLst>
              <a:ext uri="{FF2B5EF4-FFF2-40B4-BE49-F238E27FC236}">
                <a16:creationId xmlns:a16="http://schemas.microsoft.com/office/drawing/2014/main" id="{129E40F7-55D7-DDB5-6947-44EB4D3212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17673" y="512618"/>
            <a:ext cx="1676402" cy="1676402"/>
          </a:xfrm>
          <a:prstGeom prst="rect">
            <a:avLst/>
          </a:prstGeom>
        </xdr:spPr>
      </xdr:pic>
      <xdr:sp macro="" textlink="STATS!I9">
        <xdr:nvSpPr>
          <xdr:cNvPr id="14" name="CuadroTexto 13">
            <a:extLst>
              <a:ext uri="{FF2B5EF4-FFF2-40B4-BE49-F238E27FC236}">
                <a16:creationId xmlns:a16="http://schemas.microsoft.com/office/drawing/2014/main" id="{59C69001-F387-A722-D6B4-6B2C4A0263CA}"/>
              </a:ext>
            </a:extLst>
          </xdr:cNvPr>
          <xdr:cNvSpPr txBox="1"/>
        </xdr:nvSpPr>
        <xdr:spPr>
          <a:xfrm>
            <a:off x="5001492" y="1153091"/>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B2433A8B-6328-41C6-9EFF-32F3BB3DD51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8</xdr:col>
      <xdr:colOff>636695</xdr:colOff>
      <xdr:row>1</xdr:row>
      <xdr:rowOff>83128</xdr:rowOff>
    </xdr:from>
    <xdr:to>
      <xdr:col>12</xdr:col>
      <xdr:colOff>419563</xdr:colOff>
      <xdr:row>13</xdr:row>
      <xdr:rowOff>0</xdr:rowOff>
    </xdr:to>
    <xdr:grpSp>
      <xdr:nvGrpSpPr>
        <xdr:cNvPr id="31" name="Grupo 30">
          <a:extLst>
            <a:ext uri="{FF2B5EF4-FFF2-40B4-BE49-F238E27FC236}">
              <a16:creationId xmlns:a16="http://schemas.microsoft.com/office/drawing/2014/main" id="{682F0529-6956-1ECA-39AD-8140F9AA8ADC}"/>
            </a:ext>
          </a:extLst>
        </xdr:cNvPr>
        <xdr:cNvGrpSpPr/>
      </xdr:nvGrpSpPr>
      <xdr:grpSpPr>
        <a:xfrm>
          <a:off x="9281931" y="263237"/>
          <a:ext cx="4105487" cy="2078181"/>
          <a:chOff x="8285016" y="304800"/>
          <a:chExt cx="4350329" cy="2078181"/>
        </a:xfrm>
      </xdr:grpSpPr>
      <xdr:sp macro="" textlink="">
        <xdr:nvSpPr>
          <xdr:cNvPr id="23" name="Rectángulo: esquinas redondeadas 22">
            <a:extLst>
              <a:ext uri="{FF2B5EF4-FFF2-40B4-BE49-F238E27FC236}">
                <a16:creationId xmlns:a16="http://schemas.microsoft.com/office/drawing/2014/main" id="{5B2F9932-4567-A5FC-90C7-42402E9C0593}"/>
              </a:ext>
            </a:extLst>
          </xdr:cNvPr>
          <xdr:cNvSpPr/>
        </xdr:nvSpPr>
        <xdr:spPr>
          <a:xfrm>
            <a:off x="8285016" y="304800"/>
            <a:ext cx="4211782" cy="2078181"/>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4" name="CuadroTexto 23">
            <a:extLst>
              <a:ext uri="{FF2B5EF4-FFF2-40B4-BE49-F238E27FC236}">
                <a16:creationId xmlns:a16="http://schemas.microsoft.com/office/drawing/2014/main" id="{F6DA2568-2EB7-7B70-C690-39AF647A05B8}"/>
              </a:ext>
            </a:extLst>
          </xdr:cNvPr>
          <xdr:cNvSpPr txBox="1"/>
        </xdr:nvSpPr>
        <xdr:spPr>
          <a:xfrm>
            <a:off x="8285016" y="554181"/>
            <a:ext cx="3532912" cy="640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QUE REQUIRIERON CIRUGIA</a:t>
            </a:r>
            <a:endParaRPr lang="es-PE" sz="1600">
              <a:latin typeface="Algerian" panose="04020705040A02060702" pitchFamily="82" charset="0"/>
            </a:endParaRPr>
          </a:p>
        </xdr:txBody>
      </xdr:sp>
      <xdr:sp macro="" textlink="STATS!I11">
        <xdr:nvSpPr>
          <xdr:cNvPr id="26" name="CuadroTexto 25">
            <a:extLst>
              <a:ext uri="{FF2B5EF4-FFF2-40B4-BE49-F238E27FC236}">
                <a16:creationId xmlns:a16="http://schemas.microsoft.com/office/drawing/2014/main" id="{160C0543-BC26-C52B-6CBE-4AE5096E321F}"/>
              </a:ext>
            </a:extLst>
          </xdr:cNvPr>
          <xdr:cNvSpPr txBox="1"/>
        </xdr:nvSpPr>
        <xdr:spPr>
          <a:xfrm>
            <a:off x="9601199" y="1260764"/>
            <a:ext cx="789709" cy="64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6D4FD59-90DF-400B-AD7D-3C861E4975B0}"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30" name="Gráfico 29" descr="Doctor con relleno sólido">
            <a:extLst>
              <a:ext uri="{FF2B5EF4-FFF2-40B4-BE49-F238E27FC236}">
                <a16:creationId xmlns:a16="http://schemas.microsoft.com/office/drawing/2014/main" id="{4A5C0126-766D-CE29-95E0-03A4E584F23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111345" y="637309"/>
            <a:ext cx="1524000" cy="1524000"/>
          </a:xfrm>
          <a:prstGeom prst="rect">
            <a:avLst/>
          </a:prstGeom>
        </xdr:spPr>
      </xdr:pic>
    </xdr:grpSp>
    <xdr:clientData/>
  </xdr:twoCellAnchor>
  <xdr:twoCellAnchor editAs="oneCell">
    <xdr:from>
      <xdr:col>29</xdr:col>
      <xdr:colOff>305655</xdr:colOff>
      <xdr:row>1</xdr:row>
      <xdr:rowOff>95807</xdr:rowOff>
    </xdr:from>
    <xdr:to>
      <xdr:col>33</xdr:col>
      <xdr:colOff>39850</xdr:colOff>
      <xdr:row>13</xdr:row>
      <xdr:rowOff>12679</xdr:rowOff>
    </xdr:to>
    <xdr:grpSp>
      <xdr:nvGrpSpPr>
        <xdr:cNvPr id="56" name="Grupo 55">
          <a:extLst>
            <a:ext uri="{FF2B5EF4-FFF2-40B4-BE49-F238E27FC236}">
              <a16:creationId xmlns:a16="http://schemas.microsoft.com/office/drawing/2014/main" id="{E5722134-A465-5D08-B2CF-48FAFE1BF71D}"/>
            </a:ext>
          </a:extLst>
        </xdr:cNvPr>
        <xdr:cNvGrpSpPr/>
      </xdr:nvGrpSpPr>
      <xdr:grpSpPr>
        <a:xfrm>
          <a:off x="31644637" y="275916"/>
          <a:ext cx="4209213" cy="2078181"/>
          <a:chOff x="25939335" y="286307"/>
          <a:chExt cx="4237615" cy="2202872"/>
        </a:xfrm>
      </xdr:grpSpPr>
      <xdr:sp macro="" textlink="">
        <xdr:nvSpPr>
          <xdr:cNvPr id="52" name="Rectángulo: esquinas redondeadas 51">
            <a:extLst>
              <a:ext uri="{FF2B5EF4-FFF2-40B4-BE49-F238E27FC236}">
                <a16:creationId xmlns:a16="http://schemas.microsoft.com/office/drawing/2014/main" id="{1FC32E3E-93C1-EFBD-3BC7-DDB48C557C4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53" name="CuadroTexto 52">
            <a:extLst>
              <a:ext uri="{FF2B5EF4-FFF2-40B4-BE49-F238E27FC236}">
                <a16:creationId xmlns:a16="http://schemas.microsoft.com/office/drawing/2014/main" id="{F0591A1A-8B2D-D1ED-07DD-1EC9B3519D11}"/>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DÍAS SIN ACCIDENTES</a:t>
            </a:r>
          </a:p>
        </xdr:txBody>
      </xdr:sp>
      <xdr:sp macro="" textlink="STATS!J11">
        <xdr:nvSpPr>
          <xdr:cNvPr id="54" name="CuadroTexto 53">
            <a:extLst>
              <a:ext uri="{FF2B5EF4-FFF2-40B4-BE49-F238E27FC236}">
                <a16:creationId xmlns:a16="http://schemas.microsoft.com/office/drawing/2014/main" id="{91E44611-87B3-D1B0-B56B-AD1F5F8CEBAB}"/>
              </a:ext>
            </a:extLst>
          </xdr:cNvPr>
          <xdr:cNvSpPr txBox="1"/>
        </xdr:nvSpPr>
        <xdr:spPr>
          <a:xfrm>
            <a:off x="27170082" y="1093091"/>
            <a:ext cx="1018837"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DE03F1C-9A92-410F-84B9-00099346C212}" type="TxLink">
              <a:rPr lang="en-US" sz="6000" b="0" i="0" u="none" strike="noStrike">
                <a:solidFill>
                  <a:srgbClr val="000000"/>
                </a:solidFill>
                <a:latin typeface="Algerian" panose="04020705040A02060702" pitchFamily="82" charset="0"/>
                <a:ea typeface="Calibri"/>
                <a:cs typeface="Calibri"/>
              </a:rPr>
              <a:pPr algn="ctr"/>
              <a:t>Sin registros</a:t>
            </a:fld>
            <a:endParaRPr lang="es-PE" sz="6000">
              <a:latin typeface="Algerian" panose="04020705040A02060702" pitchFamily="82" charset="0"/>
            </a:endParaRPr>
          </a:p>
        </xdr:txBody>
      </xdr:sp>
      <xdr:pic>
        <xdr:nvPicPr>
          <xdr:cNvPr id="55" name="Gráfico 54" descr="Cuidado con relleno sólido">
            <a:extLst>
              <a:ext uri="{FF2B5EF4-FFF2-40B4-BE49-F238E27FC236}">
                <a16:creationId xmlns:a16="http://schemas.microsoft.com/office/drawing/2014/main" id="{433C6DFD-2EE6-5EC8-625D-C155797DD32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904142" y="895470"/>
            <a:ext cx="1185785" cy="1219879"/>
          </a:xfrm>
          <a:prstGeom prst="rect">
            <a:avLst/>
          </a:prstGeom>
        </xdr:spPr>
      </xdr:pic>
    </xdr:grpSp>
    <xdr:clientData/>
  </xdr:twoCellAnchor>
  <xdr:twoCellAnchor editAs="oneCell">
    <xdr:from>
      <xdr:col>12</xdr:col>
      <xdr:colOff>538861</xdr:colOff>
      <xdr:row>1</xdr:row>
      <xdr:rowOff>95807</xdr:rowOff>
    </xdr:from>
    <xdr:to>
      <xdr:col>16</xdr:col>
      <xdr:colOff>433076</xdr:colOff>
      <xdr:row>13</xdr:row>
      <xdr:rowOff>12679</xdr:rowOff>
    </xdr:to>
    <xdr:grpSp>
      <xdr:nvGrpSpPr>
        <xdr:cNvPr id="64" name="Grupo 63">
          <a:extLst>
            <a:ext uri="{FF2B5EF4-FFF2-40B4-BE49-F238E27FC236}">
              <a16:creationId xmlns:a16="http://schemas.microsoft.com/office/drawing/2014/main" id="{9C4ED986-C488-C429-F311-4A148585FCDE}"/>
            </a:ext>
          </a:extLst>
        </xdr:cNvPr>
        <xdr:cNvGrpSpPr/>
      </xdr:nvGrpSpPr>
      <xdr:grpSpPr>
        <a:xfrm>
          <a:off x="13506716" y="275916"/>
          <a:ext cx="4216833" cy="2078181"/>
          <a:chOff x="12426061" y="286307"/>
          <a:chExt cx="4237615" cy="2202872"/>
        </a:xfrm>
      </xdr:grpSpPr>
      <xdr:sp macro="" textlink="">
        <xdr:nvSpPr>
          <xdr:cNvPr id="41" name="Rectángulo: esquinas redondeadas 40">
            <a:extLst>
              <a:ext uri="{FF2B5EF4-FFF2-40B4-BE49-F238E27FC236}">
                <a16:creationId xmlns:a16="http://schemas.microsoft.com/office/drawing/2014/main" id="{70CAACC3-A7AF-14BF-18AE-6E0E1A71E07E}"/>
              </a:ext>
            </a:extLst>
          </xdr:cNvPr>
          <xdr:cNvSpPr/>
        </xdr:nvSpPr>
        <xdr:spPr>
          <a:xfrm>
            <a:off x="12426061"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2" name="CuadroTexto 41">
            <a:extLst>
              <a:ext uri="{FF2B5EF4-FFF2-40B4-BE49-F238E27FC236}">
                <a16:creationId xmlns:a16="http://schemas.microsoft.com/office/drawing/2014/main" id="{415CA7C6-D4F0-2DE2-0EB8-F0A9F793ACAC}"/>
              </a:ext>
            </a:extLst>
          </xdr:cNvPr>
          <xdr:cNvSpPr txBox="1"/>
        </xdr:nvSpPr>
        <xdr:spPr>
          <a:xfrm>
            <a:off x="12426061" y="559068"/>
            <a:ext cx="3515505" cy="680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a:t>
            </a:r>
            <a:r>
              <a:rPr lang="es-PE" sz="1600" baseline="0">
                <a:latin typeface="Algerian" panose="04020705040A02060702" pitchFamily="82" charset="0"/>
              </a:rPr>
              <a:t> DE CARACTER LEVE</a:t>
            </a:r>
            <a:endParaRPr lang="es-PE" sz="1600">
              <a:latin typeface="Algerian" panose="04020705040A02060702" pitchFamily="82" charset="0"/>
            </a:endParaRPr>
          </a:p>
        </xdr:txBody>
      </xdr:sp>
      <xdr:sp macro="" textlink="STATS!K9">
        <xdr:nvSpPr>
          <xdr:cNvPr id="43" name="CuadroTexto 42">
            <a:extLst>
              <a:ext uri="{FF2B5EF4-FFF2-40B4-BE49-F238E27FC236}">
                <a16:creationId xmlns:a16="http://schemas.microsoft.com/office/drawing/2014/main" id="{5B27F2D5-18A2-6F2E-ED24-360AB2DB5A75}"/>
              </a:ext>
            </a:extLst>
          </xdr:cNvPr>
          <xdr:cNvSpPr txBox="1"/>
        </xdr:nvSpPr>
        <xdr:spPr>
          <a:xfrm>
            <a:off x="13748181" y="1296213"/>
            <a:ext cx="796688" cy="68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E7FED2F-34B2-46F7-A91E-40E07D7FECC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58" name="Gráfico 57" descr="vendaje adhesivo con relleno sólido">
            <a:extLst>
              <a:ext uri="{FF2B5EF4-FFF2-40B4-BE49-F238E27FC236}">
                <a16:creationId xmlns:a16="http://schemas.microsoft.com/office/drawing/2014/main" id="{62434652-9B96-7253-05B7-367A6593A1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5311412" y="855972"/>
            <a:ext cx="1175008" cy="1175008"/>
          </a:xfrm>
          <a:prstGeom prst="rect">
            <a:avLst/>
          </a:prstGeom>
        </xdr:spPr>
      </xdr:pic>
    </xdr:grpSp>
    <xdr:clientData/>
  </xdr:twoCellAnchor>
  <xdr:twoCellAnchor editAs="oneCell">
    <xdr:from>
      <xdr:col>16</xdr:col>
      <xdr:colOff>642895</xdr:colOff>
      <xdr:row>1</xdr:row>
      <xdr:rowOff>95807</xdr:rowOff>
    </xdr:from>
    <xdr:to>
      <xdr:col>20</xdr:col>
      <xdr:colOff>536023</xdr:colOff>
      <xdr:row>13</xdr:row>
      <xdr:rowOff>12679</xdr:rowOff>
    </xdr:to>
    <xdr:grpSp>
      <xdr:nvGrpSpPr>
        <xdr:cNvPr id="65" name="Grupo 64">
          <a:extLst>
            <a:ext uri="{FF2B5EF4-FFF2-40B4-BE49-F238E27FC236}">
              <a16:creationId xmlns:a16="http://schemas.microsoft.com/office/drawing/2014/main" id="{B6F4D735-CFDA-798D-A65C-444BAD3B0D2A}"/>
            </a:ext>
          </a:extLst>
        </xdr:cNvPr>
        <xdr:cNvGrpSpPr/>
      </xdr:nvGrpSpPr>
      <xdr:grpSpPr>
        <a:xfrm>
          <a:off x="17933368" y="275916"/>
          <a:ext cx="4215746" cy="2078181"/>
          <a:chOff x="16873495" y="286307"/>
          <a:chExt cx="4236528" cy="2202872"/>
        </a:xfrm>
      </xdr:grpSpPr>
      <xdr:sp macro="" textlink="">
        <xdr:nvSpPr>
          <xdr:cNvPr id="46" name="Rectángulo: esquinas redondeadas 45">
            <a:extLst>
              <a:ext uri="{FF2B5EF4-FFF2-40B4-BE49-F238E27FC236}">
                <a16:creationId xmlns:a16="http://schemas.microsoft.com/office/drawing/2014/main" id="{31F9A4EC-ACAB-0913-4AD6-03A825D5F868}"/>
              </a:ext>
            </a:extLst>
          </xdr:cNvPr>
          <xdr:cNvSpPr/>
        </xdr:nvSpPr>
        <xdr:spPr>
          <a:xfrm>
            <a:off x="16873495" y="286307"/>
            <a:ext cx="4236528"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47" name="CuadroTexto 46">
            <a:extLst>
              <a:ext uri="{FF2B5EF4-FFF2-40B4-BE49-F238E27FC236}">
                <a16:creationId xmlns:a16="http://schemas.microsoft.com/office/drawing/2014/main" id="{0534B2B5-F121-7179-E1A5-D02F188674D8}"/>
              </a:ext>
            </a:extLst>
          </xdr:cNvPr>
          <xdr:cNvSpPr txBox="1"/>
        </xdr:nvSpPr>
        <xdr:spPr>
          <a:xfrm>
            <a:off x="17297400" y="608049"/>
            <a:ext cx="2842935"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ACCIDENTES DE CARACTER GRAVE</a:t>
            </a:r>
          </a:p>
        </xdr:txBody>
      </xdr:sp>
      <xdr:sp macro="" textlink="STATS!L9">
        <xdr:nvSpPr>
          <xdr:cNvPr id="48" name="CuadroTexto 47">
            <a:extLst>
              <a:ext uri="{FF2B5EF4-FFF2-40B4-BE49-F238E27FC236}">
                <a16:creationId xmlns:a16="http://schemas.microsoft.com/office/drawing/2014/main" id="{C507DB90-F194-0B8E-132C-B1C8454F2987}"/>
              </a:ext>
            </a:extLst>
          </xdr:cNvPr>
          <xdr:cNvSpPr txBox="1"/>
        </xdr:nvSpPr>
        <xdr:spPr>
          <a:xfrm>
            <a:off x="18197411" y="1299629"/>
            <a:ext cx="794349"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C78A0459-0C2D-4221-9A3F-6BAC9FF7BED6}"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0" name="Gráfico 59" descr="Ambulancia con relleno sólido">
            <a:extLst>
              <a:ext uri="{FF2B5EF4-FFF2-40B4-BE49-F238E27FC236}">
                <a16:creationId xmlns:a16="http://schemas.microsoft.com/office/drawing/2014/main" id="{BA2B208D-5194-86EF-1B56-F8DE61FB8BB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9632172" y="968742"/>
            <a:ext cx="1272786" cy="1272786"/>
          </a:xfrm>
          <a:prstGeom prst="rect">
            <a:avLst/>
          </a:prstGeom>
        </xdr:spPr>
      </xdr:pic>
    </xdr:grpSp>
    <xdr:clientData/>
  </xdr:twoCellAnchor>
  <xdr:twoCellAnchor editAs="oneCell">
    <xdr:from>
      <xdr:col>20</xdr:col>
      <xdr:colOff>793626</xdr:colOff>
      <xdr:row>1</xdr:row>
      <xdr:rowOff>95807</xdr:rowOff>
    </xdr:from>
    <xdr:to>
      <xdr:col>24</xdr:col>
      <xdr:colOff>687842</xdr:colOff>
      <xdr:row>13</xdr:row>
      <xdr:rowOff>12679</xdr:rowOff>
    </xdr:to>
    <xdr:grpSp>
      <xdr:nvGrpSpPr>
        <xdr:cNvPr id="66" name="Grupo 65">
          <a:extLst>
            <a:ext uri="{FF2B5EF4-FFF2-40B4-BE49-F238E27FC236}">
              <a16:creationId xmlns:a16="http://schemas.microsoft.com/office/drawing/2014/main" id="{55554634-32F3-3B1C-2ACC-7912A70B11CB}"/>
            </a:ext>
          </a:extLst>
        </xdr:cNvPr>
        <xdr:cNvGrpSpPr/>
      </xdr:nvGrpSpPr>
      <xdr:grpSpPr>
        <a:xfrm>
          <a:off x="22406717" y="275916"/>
          <a:ext cx="4216834" cy="2078181"/>
          <a:chOff x="21367626" y="286307"/>
          <a:chExt cx="4237616" cy="2202872"/>
        </a:xfrm>
      </xdr:grpSpPr>
      <xdr:sp macro="" textlink="">
        <xdr:nvSpPr>
          <xdr:cNvPr id="33" name="Rectángulo: esquinas redondeadas 32">
            <a:extLst>
              <a:ext uri="{FF2B5EF4-FFF2-40B4-BE49-F238E27FC236}">
                <a16:creationId xmlns:a16="http://schemas.microsoft.com/office/drawing/2014/main" id="{679E6E2C-24D1-7C47-C498-00D428E20988}"/>
              </a:ext>
            </a:extLst>
          </xdr:cNvPr>
          <xdr:cNvSpPr/>
        </xdr:nvSpPr>
        <xdr:spPr>
          <a:xfrm>
            <a:off x="21367626" y="286307"/>
            <a:ext cx="4237616"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4" name="CuadroTexto 33">
            <a:extLst>
              <a:ext uri="{FF2B5EF4-FFF2-40B4-BE49-F238E27FC236}">
                <a16:creationId xmlns:a16="http://schemas.microsoft.com/office/drawing/2014/main" id="{EECE29C5-17B4-1A78-E4EC-7FC245C0BC67}"/>
              </a:ext>
            </a:extLst>
          </xdr:cNvPr>
          <xdr:cNvSpPr txBox="1"/>
        </xdr:nvSpPr>
        <xdr:spPr>
          <a:xfrm>
            <a:off x="21367626" y="550651"/>
            <a:ext cx="3554582"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DE ACCIDENTADOS</a:t>
            </a:r>
          </a:p>
        </xdr:txBody>
      </xdr:sp>
      <xdr:sp macro="" textlink="STATS!J9">
        <xdr:nvSpPr>
          <xdr:cNvPr id="35" name="CuadroTexto 34">
            <a:extLst>
              <a:ext uri="{FF2B5EF4-FFF2-40B4-BE49-F238E27FC236}">
                <a16:creationId xmlns:a16="http://schemas.microsoft.com/office/drawing/2014/main" id="{C5964D1A-7C2C-233A-FBBF-3D8085830D1B}"/>
              </a:ext>
            </a:extLst>
          </xdr:cNvPr>
          <xdr:cNvSpPr txBox="1"/>
        </xdr:nvSpPr>
        <xdr:spPr>
          <a:xfrm>
            <a:off x="22699529" y="1172429"/>
            <a:ext cx="794554" cy="686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DB2CF7C-5CD6-48EC-B116-63872538993B}"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63" name="Gráfico 62" descr="Corazón con pulso con relleno sólido">
            <a:extLst>
              <a:ext uri="{FF2B5EF4-FFF2-40B4-BE49-F238E27FC236}">
                <a16:creationId xmlns:a16="http://schemas.microsoft.com/office/drawing/2014/main" id="{91E8EC63-C4C2-D015-30DC-56366CD4AA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4420535" y="968742"/>
            <a:ext cx="1184707" cy="1184707"/>
          </a:xfrm>
          <a:prstGeom prst="rect">
            <a:avLst/>
          </a:prstGeom>
        </xdr:spPr>
      </xdr:pic>
    </xdr:grpSp>
    <xdr:clientData/>
  </xdr:twoCellAnchor>
  <xdr:twoCellAnchor>
    <xdr:from>
      <xdr:col>4</xdr:col>
      <xdr:colOff>589581</xdr:colOff>
      <xdr:row>16</xdr:row>
      <xdr:rowOff>93288</xdr:rowOff>
    </xdr:from>
    <xdr:to>
      <xdr:col>10</xdr:col>
      <xdr:colOff>519817</xdr:colOff>
      <xdr:row>38</xdr:row>
      <xdr:rowOff>114301</xdr:rowOff>
    </xdr:to>
    <xdr:graphicFrame macro="">
      <xdr:nvGraphicFramePr>
        <xdr:cNvPr id="67" name="Gráfico 66">
          <a:extLst>
            <a:ext uri="{FF2B5EF4-FFF2-40B4-BE49-F238E27FC236}">
              <a16:creationId xmlns:a16="http://schemas.microsoft.com/office/drawing/2014/main" id="{20159D8A-7591-417A-A7AB-1C857C1308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589731</xdr:colOff>
      <xdr:row>14</xdr:row>
      <xdr:rowOff>106684</xdr:rowOff>
    </xdr:from>
    <xdr:to>
      <xdr:col>10</xdr:col>
      <xdr:colOff>519817</xdr:colOff>
      <xdr:row>16</xdr:row>
      <xdr:rowOff>86322</xdr:rowOff>
    </xdr:to>
    <xdr:sp macro="" textlink="">
      <xdr:nvSpPr>
        <xdr:cNvPr id="69" name="Rectángulo 68">
          <a:extLst>
            <a:ext uri="{FF2B5EF4-FFF2-40B4-BE49-F238E27FC236}">
              <a16:creationId xmlns:a16="http://schemas.microsoft.com/office/drawing/2014/main" id="{2521683A-FF7D-04C7-C0CC-9BE05EA4300B}"/>
            </a:ext>
          </a:extLst>
        </xdr:cNvPr>
        <xdr:cNvSpPr/>
      </xdr:nvSpPr>
      <xdr:spPr>
        <a:xfrm>
          <a:off x="4933131" y="2773684"/>
          <a:ext cx="6445186" cy="36063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GÉNERO</a:t>
          </a:r>
        </a:p>
      </xdr:txBody>
    </xdr:sp>
    <xdr:clientData/>
  </xdr:twoCellAnchor>
  <xdr:twoCellAnchor>
    <xdr:from>
      <xdr:col>18</xdr:col>
      <xdr:colOff>609600</xdr:colOff>
      <xdr:row>55</xdr:row>
      <xdr:rowOff>171450</xdr:rowOff>
    </xdr:from>
    <xdr:to>
      <xdr:col>35</xdr:col>
      <xdr:colOff>685800</xdr:colOff>
      <xdr:row>76</xdr:row>
      <xdr:rowOff>144779</xdr:rowOff>
    </xdr:to>
    <xdr:grpSp>
      <xdr:nvGrpSpPr>
        <xdr:cNvPr id="78" name="Grupo 77">
          <a:extLst>
            <a:ext uri="{FF2B5EF4-FFF2-40B4-BE49-F238E27FC236}">
              <a16:creationId xmlns:a16="http://schemas.microsoft.com/office/drawing/2014/main" id="{37D26404-D0AE-04A9-54DF-F349C4EABC83}"/>
            </a:ext>
          </a:extLst>
        </xdr:cNvPr>
        <xdr:cNvGrpSpPr/>
      </xdr:nvGrpSpPr>
      <xdr:grpSpPr>
        <a:xfrm>
          <a:off x="20061382" y="10077450"/>
          <a:ext cx="18017836" cy="3755620"/>
          <a:chOff x="11639550" y="2762250"/>
          <a:chExt cx="8271771" cy="4564379"/>
        </a:xfrm>
      </xdr:grpSpPr>
      <xdr:sp macro="" textlink="">
        <xdr:nvSpPr>
          <xdr:cNvPr id="70" name="Rectángulo 69">
            <a:extLst>
              <a:ext uri="{FF2B5EF4-FFF2-40B4-BE49-F238E27FC236}">
                <a16:creationId xmlns:a16="http://schemas.microsoft.com/office/drawing/2014/main" id="{9C8FD9E5-083F-4A4B-A397-AD1B9B5BE69E}"/>
              </a:ext>
            </a:extLst>
          </xdr:cNvPr>
          <xdr:cNvSpPr/>
        </xdr:nvSpPr>
        <xdr:spPr>
          <a:xfrm>
            <a:off x="11639550" y="2762250"/>
            <a:ext cx="8271771" cy="364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ACCIDENTES POR MES</a:t>
            </a:r>
            <a:endParaRPr lang="es-PE" sz="2000">
              <a:latin typeface="Algerian" panose="04020705040A02060702" pitchFamily="82" charset="0"/>
            </a:endParaRPr>
          </a:p>
        </xdr:txBody>
      </xdr:sp>
      <xdr:graphicFrame macro="">
        <xdr:nvGraphicFramePr>
          <xdr:cNvPr id="71" name="Gráfico 70">
            <a:extLst>
              <a:ext uri="{FF2B5EF4-FFF2-40B4-BE49-F238E27FC236}">
                <a16:creationId xmlns:a16="http://schemas.microsoft.com/office/drawing/2014/main" id="{4A37F393-CB0C-4D34-9FDE-13B82C0623B3}"/>
              </a:ext>
            </a:extLst>
          </xdr:cNvPr>
          <xdr:cNvGraphicFramePr>
            <a:graphicFrameLocks/>
          </xdr:cNvGraphicFramePr>
        </xdr:nvGraphicFramePr>
        <xdr:xfrm>
          <a:off x="11639550" y="3118956"/>
          <a:ext cx="8271771" cy="4207673"/>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oneCell">
    <xdr:from>
      <xdr:col>18</xdr:col>
      <xdr:colOff>582944</xdr:colOff>
      <xdr:row>14</xdr:row>
      <xdr:rowOff>76200</xdr:rowOff>
    </xdr:from>
    <xdr:to>
      <xdr:col>28</xdr:col>
      <xdr:colOff>781049</xdr:colOff>
      <xdr:row>55</xdr:row>
      <xdr:rowOff>19050</xdr:rowOff>
    </xdr:to>
    <xdr:graphicFrame macro="">
      <xdr:nvGraphicFramePr>
        <xdr:cNvPr id="68" name="Gráfico 67">
          <a:extLst>
            <a:ext uri="{FF2B5EF4-FFF2-40B4-BE49-F238E27FC236}">
              <a16:creationId xmlns:a16="http://schemas.microsoft.com/office/drawing/2014/main" id="{C33756CD-E0D2-4662-859F-61AE6D3D3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19</xdr:col>
      <xdr:colOff>274054</xdr:colOff>
      <xdr:row>31</xdr:row>
      <xdr:rowOff>176264</xdr:rowOff>
    </xdr:from>
    <xdr:to>
      <xdr:col>19</xdr:col>
      <xdr:colOff>998424</xdr:colOff>
      <xdr:row>36</xdr:row>
      <xdr:rowOff>127190</xdr:rowOff>
    </xdr:to>
    <xdr:sp macro="[0]!ActualizarMapaCalor" textlink="">
      <xdr:nvSpPr>
        <xdr:cNvPr id="27" name="Brazos">
          <a:extLst>
            <a:ext uri="{FF2B5EF4-FFF2-40B4-BE49-F238E27FC236}">
              <a16:creationId xmlns:a16="http://schemas.microsoft.com/office/drawing/2014/main" id="{A0D8C151-A039-443D-AD7C-155A7344A7CB}"/>
            </a:ext>
          </a:extLst>
        </xdr:cNvPr>
        <xdr:cNvSpPr/>
      </xdr:nvSpPr>
      <xdr:spPr>
        <a:xfrm rot="17677687">
          <a:off x="20742939" y="5823197"/>
          <a:ext cx="851471" cy="724370"/>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21</xdr:col>
      <xdr:colOff>126411</xdr:colOff>
      <xdr:row>32</xdr:row>
      <xdr:rowOff>22854</xdr:rowOff>
    </xdr:from>
    <xdr:to>
      <xdr:col>21</xdr:col>
      <xdr:colOff>1005596</xdr:colOff>
      <xdr:row>35</xdr:row>
      <xdr:rowOff>172198</xdr:rowOff>
    </xdr:to>
    <xdr:sp macro="[0]!ActualizarMapaCalor" textlink="">
      <xdr:nvSpPr>
        <xdr:cNvPr id="44" name="Brazos">
          <a:extLst>
            <a:ext uri="{FF2B5EF4-FFF2-40B4-BE49-F238E27FC236}">
              <a16:creationId xmlns:a16="http://schemas.microsoft.com/office/drawing/2014/main" id="{E419AE06-7189-4C72-8051-6611ACEE8C7E}"/>
            </a:ext>
          </a:extLst>
        </xdr:cNvPr>
        <xdr:cNvSpPr/>
      </xdr:nvSpPr>
      <xdr:spPr>
        <a:xfrm rot="19041250">
          <a:off x="22820156" y="5786345"/>
          <a:ext cx="879185" cy="689671"/>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145887</xdr:colOff>
      <xdr:row>31</xdr:row>
      <xdr:rowOff>74846</xdr:rowOff>
    </xdr:from>
    <xdr:to>
      <xdr:col>20</xdr:col>
      <xdr:colOff>1046741</xdr:colOff>
      <xdr:row>35</xdr:row>
      <xdr:rowOff>86008</xdr:rowOff>
    </xdr:to>
    <xdr:sp macro="[0]!ActualizarMapaCalor" textlink="">
      <xdr:nvSpPr>
        <xdr:cNvPr id="25" name="Torso Bajo">
          <a:extLst>
            <a:ext uri="{FF2B5EF4-FFF2-40B4-BE49-F238E27FC236}">
              <a16:creationId xmlns:a16="http://schemas.microsoft.com/office/drawing/2014/main" id="{09660491-97AD-49BF-A0CA-0CCAB0849278}"/>
            </a:ext>
          </a:extLst>
        </xdr:cNvPr>
        <xdr:cNvSpPr/>
      </xdr:nvSpPr>
      <xdr:spPr>
        <a:xfrm rot="10800000">
          <a:off x="21758978" y="5658228"/>
          <a:ext cx="910379" cy="731598"/>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70872</xdr:colOff>
      <xdr:row>25</xdr:row>
      <xdr:rowOff>72198</xdr:rowOff>
    </xdr:from>
    <xdr:to>
      <xdr:col>21</xdr:col>
      <xdr:colOff>40275</xdr:colOff>
      <xdr:row>30</xdr:row>
      <xdr:rowOff>146508</xdr:rowOff>
    </xdr:to>
    <xdr:sp macro="[0]!ActualizarMapaCalor" textlink="">
      <xdr:nvSpPr>
        <xdr:cNvPr id="5" name="Torso Alto">
          <a:extLst>
            <a:ext uri="{FF2B5EF4-FFF2-40B4-BE49-F238E27FC236}">
              <a16:creationId xmlns:a16="http://schemas.microsoft.com/office/drawing/2014/main" id="{43D51A22-DAB6-BB2E-E86D-339D3537A86D}"/>
            </a:ext>
          </a:extLst>
        </xdr:cNvPr>
        <xdr:cNvSpPr/>
      </xdr:nvSpPr>
      <xdr:spPr>
        <a:xfrm>
          <a:off x="21683963" y="4574925"/>
          <a:ext cx="1050057" cy="974856"/>
        </a:xfrm>
        <a:custGeom>
          <a:avLst/>
          <a:gdLst>
            <a:gd name="csX0" fmla="*/ 147882 w 1048755"/>
            <a:gd name="csY0" fmla="*/ 840925 h 979268"/>
            <a:gd name="csX1" fmla="*/ 335119 w 1048755"/>
            <a:gd name="csY1" fmla="*/ 979269 h 979268"/>
            <a:gd name="csX2" fmla="*/ 721533 w 1048755"/>
            <a:gd name="csY2" fmla="*/ 979269 h 979268"/>
            <a:gd name="csX3" fmla="*/ 909654 w 1048755"/>
            <a:gd name="csY3" fmla="*/ 838019 h 979268"/>
            <a:gd name="csX4" fmla="*/ 1022856 w 1048755"/>
            <a:gd name="csY4" fmla="*/ 448258 h 979268"/>
            <a:gd name="csX5" fmla="*/ 1048756 w 1048755"/>
            <a:gd name="csY5" fmla="*/ 266137 h 979268"/>
            <a:gd name="csX6" fmla="*/ 1048756 w 1048755"/>
            <a:gd name="csY6" fmla="*/ 195828 h 979268"/>
            <a:gd name="csX7" fmla="*/ 852928 w 1048755"/>
            <a:gd name="csY7" fmla="*/ 0 h 979268"/>
            <a:gd name="csX8" fmla="*/ 195828 w 1048755"/>
            <a:gd name="csY8" fmla="*/ 0 h 979268"/>
            <a:gd name="csX9" fmla="*/ 0 w 1048755"/>
            <a:gd name="csY9" fmla="*/ 195828 h 979268"/>
            <a:gd name="csX10" fmla="*/ 0 w 1048755"/>
            <a:gd name="csY10" fmla="*/ 261020 h 979268"/>
            <a:gd name="csX11" fmla="*/ 28742 w 1048755"/>
            <a:gd name="csY11" fmla="*/ 452743 h 97926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1048755" h="979268">
              <a:moveTo>
                <a:pt x="147882" y="840925"/>
              </a:moveTo>
              <a:cubicBezTo>
                <a:pt x="173131" y="923160"/>
                <a:pt x="249094" y="979287"/>
                <a:pt x="335119" y="979269"/>
              </a:cubicBezTo>
              <a:lnTo>
                <a:pt x="721533" y="979269"/>
              </a:lnTo>
              <a:cubicBezTo>
                <a:pt x="808683" y="979294"/>
                <a:pt x="885366" y="921720"/>
                <a:pt x="909654" y="838019"/>
              </a:cubicBezTo>
              <a:lnTo>
                <a:pt x="1022856" y="448258"/>
              </a:lnTo>
              <a:cubicBezTo>
                <a:pt x="1040039" y="389079"/>
                <a:pt x="1048756" y="327760"/>
                <a:pt x="1048756" y="266137"/>
              </a:cubicBezTo>
              <a:lnTo>
                <a:pt x="1048756" y="195828"/>
              </a:lnTo>
              <a:cubicBezTo>
                <a:pt x="1048756" y="87674"/>
                <a:pt x="961082" y="0"/>
                <a:pt x="852928" y="0"/>
              </a:cubicBezTo>
              <a:lnTo>
                <a:pt x="195828" y="0"/>
              </a:lnTo>
              <a:cubicBezTo>
                <a:pt x="87674" y="0"/>
                <a:pt x="0" y="87674"/>
                <a:pt x="0" y="195828"/>
              </a:cubicBezTo>
              <a:lnTo>
                <a:pt x="0" y="261020"/>
              </a:lnTo>
              <a:cubicBezTo>
                <a:pt x="-13" y="326004"/>
                <a:pt x="9671" y="390621"/>
                <a:pt x="28742" y="452743"/>
              </a:cubicBezTo>
              <a:close/>
            </a:path>
          </a:pathLst>
        </a:custGeom>
        <a:solidFill>
          <a:srgbClr val="000000"/>
        </a:solidFill>
        <a:ln w="63103" cap="flat">
          <a:noFill/>
          <a:prstDash val="solid"/>
          <a:miter/>
        </a:ln>
      </xdr:spPr>
    </xdr:sp>
    <xdr:clientData/>
  </xdr:twoCellAnchor>
  <xdr:twoCellAnchor editAs="oneCell">
    <xdr:from>
      <xdr:col>20</xdr:col>
      <xdr:colOff>611561</xdr:colOff>
      <xdr:row>35</xdr:row>
      <xdr:rowOff>159604</xdr:rowOff>
    </xdr:from>
    <xdr:to>
      <xdr:col>21</xdr:col>
      <xdr:colOff>113069</xdr:colOff>
      <xdr:row>42</xdr:row>
      <xdr:rowOff>151557</xdr:rowOff>
    </xdr:to>
    <xdr:sp macro="[0]!ActualizarMapaCalor" textlink="">
      <xdr:nvSpPr>
        <xdr:cNvPr id="6" name="Muslos">
          <a:extLst>
            <a:ext uri="{FF2B5EF4-FFF2-40B4-BE49-F238E27FC236}">
              <a16:creationId xmlns:a16="http://schemas.microsoft.com/office/drawing/2014/main" id="{FD73DD06-2D61-FC76-15CF-98B2979B2BA9}"/>
            </a:ext>
          </a:extLst>
        </xdr:cNvPr>
        <xdr:cNvSpPr/>
      </xdr:nvSpPr>
      <xdr:spPr>
        <a:xfrm>
          <a:off x="22224652" y="6463422"/>
          <a:ext cx="582162" cy="1252717"/>
        </a:xfrm>
        <a:custGeom>
          <a:avLst/>
          <a:gdLst>
            <a:gd name="csX0" fmla="*/ 349941 w 579890"/>
            <a:gd name="csY0" fmla="*/ 1253085 h 1254288"/>
            <a:gd name="csX1" fmla="*/ 453352 w 579890"/>
            <a:gd name="csY1" fmla="*/ 1239566 h 1254288"/>
            <a:gd name="csX2" fmla="*/ 579693 w 579890"/>
            <a:gd name="csY2" fmla="*/ 1087957 h 1254288"/>
            <a:gd name="csX3" fmla="*/ 537431 w 579890"/>
            <a:gd name="csY3" fmla="*/ 272047 h 1254288"/>
            <a:gd name="csX4" fmla="*/ 536421 w 579890"/>
            <a:gd name="csY4" fmla="*/ 260740 h 1254288"/>
            <a:gd name="csX5" fmla="*/ 519238 w 579890"/>
            <a:gd name="csY5" fmla="*/ 126503 h 1254288"/>
            <a:gd name="csX6" fmla="*/ 356385 w 579890"/>
            <a:gd name="csY6" fmla="*/ 1235 h 1254288"/>
            <a:gd name="csX7" fmla="*/ 126634 w 579890"/>
            <a:gd name="csY7" fmla="*/ 31178 h 1254288"/>
            <a:gd name="csX8" fmla="*/ 1222 w 579890"/>
            <a:gd name="csY8" fmla="*/ 193937 h 1254288"/>
            <a:gd name="csX9" fmla="*/ 1240 w 579890"/>
            <a:gd name="csY9" fmla="*/ 194095 h 1254288"/>
            <a:gd name="csX10" fmla="*/ 18739 w 579890"/>
            <a:gd name="csY10" fmla="*/ 328206 h 1254288"/>
            <a:gd name="csX11" fmla="*/ 20634 w 579890"/>
            <a:gd name="csY11" fmla="*/ 339387 h 1254288"/>
            <a:gd name="csX12" fmla="*/ 189173 w 579890"/>
            <a:gd name="csY12" fmla="*/ 1138809 h 1254288"/>
            <a:gd name="csX13" fmla="*/ 349941 w 579890"/>
            <a:gd name="csY13" fmla="*/ 1253085 h 125428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79890" h="1254288">
              <a:moveTo>
                <a:pt x="349941" y="1253085"/>
              </a:moveTo>
              <a:lnTo>
                <a:pt x="453352" y="1239566"/>
              </a:lnTo>
              <a:cubicBezTo>
                <a:pt x="528594" y="1229768"/>
                <a:pt x="583628" y="1163730"/>
                <a:pt x="579693" y="1087957"/>
              </a:cubicBezTo>
              <a:lnTo>
                <a:pt x="537431" y="272047"/>
              </a:lnTo>
              <a:cubicBezTo>
                <a:pt x="537431" y="268257"/>
                <a:pt x="536926" y="264530"/>
                <a:pt x="536421" y="260740"/>
              </a:cubicBezTo>
              <a:lnTo>
                <a:pt x="519238" y="126503"/>
              </a:lnTo>
              <a:cubicBezTo>
                <a:pt x="508853" y="46946"/>
                <a:pt x="435948" y="-9137"/>
                <a:pt x="356385" y="1235"/>
              </a:cubicBezTo>
              <a:lnTo>
                <a:pt x="126634" y="31178"/>
              </a:lnTo>
              <a:cubicBezTo>
                <a:pt x="47058" y="41494"/>
                <a:pt x="-9094" y="114361"/>
                <a:pt x="1222" y="193937"/>
              </a:cubicBezTo>
              <a:cubicBezTo>
                <a:pt x="1228" y="193988"/>
                <a:pt x="1234" y="194044"/>
                <a:pt x="1240" y="194095"/>
              </a:cubicBezTo>
              <a:lnTo>
                <a:pt x="18739" y="328206"/>
              </a:lnTo>
              <a:cubicBezTo>
                <a:pt x="19175" y="331964"/>
                <a:pt x="19806" y="335698"/>
                <a:pt x="20634" y="339387"/>
              </a:cubicBezTo>
              <a:lnTo>
                <a:pt x="189173" y="1138809"/>
              </a:lnTo>
              <a:cubicBezTo>
                <a:pt x="204738" y="1213016"/>
                <a:pt x="274743" y="1262775"/>
                <a:pt x="349941" y="1253085"/>
              </a:cubicBezTo>
              <a:close/>
            </a:path>
          </a:pathLst>
        </a:custGeom>
        <a:solidFill>
          <a:srgbClr val="000000"/>
        </a:solidFill>
        <a:ln w="63103" cap="flat">
          <a:noFill/>
          <a:prstDash val="solid"/>
          <a:miter/>
        </a:ln>
      </xdr:spPr>
    </xdr:sp>
    <xdr:clientData/>
  </xdr:twoCellAnchor>
  <xdr:twoCellAnchor editAs="oneCell">
    <xdr:from>
      <xdr:col>20</xdr:col>
      <xdr:colOff>866873</xdr:colOff>
      <xdr:row>43</xdr:row>
      <xdr:rowOff>133371</xdr:rowOff>
    </xdr:from>
    <xdr:to>
      <xdr:col>21</xdr:col>
      <xdr:colOff>283535</xdr:colOff>
      <xdr:row>50</xdr:row>
      <xdr:rowOff>108439</xdr:rowOff>
    </xdr:to>
    <xdr:sp macro="[0]!ActualizarMapaCalor" textlink="">
      <xdr:nvSpPr>
        <xdr:cNvPr id="9" name="Pantorrilla">
          <a:extLst>
            <a:ext uri="{FF2B5EF4-FFF2-40B4-BE49-F238E27FC236}">
              <a16:creationId xmlns:a16="http://schemas.microsoft.com/office/drawing/2014/main" id="{06B9B439-2C73-BF1B-ABBB-7B1FEDFF9A8A}"/>
            </a:ext>
          </a:extLst>
        </xdr:cNvPr>
        <xdr:cNvSpPr/>
      </xdr:nvSpPr>
      <xdr:spPr>
        <a:xfrm>
          <a:off x="22479964" y="7878062"/>
          <a:ext cx="497316" cy="1235832"/>
        </a:xfrm>
        <a:custGeom>
          <a:avLst/>
          <a:gdLst>
            <a:gd name="csX0" fmla="*/ 372874 w 494618"/>
            <a:gd name="csY0" fmla="*/ 1234146 h 1236125"/>
            <a:gd name="csX1" fmla="*/ 372874 w 494618"/>
            <a:gd name="csY1" fmla="*/ 1234146 h 1236125"/>
            <a:gd name="csX2" fmla="*/ 493971 w 494618"/>
            <a:gd name="csY2" fmla="*/ 1077167 h 1236125"/>
            <a:gd name="csX3" fmla="*/ 425368 w 494618"/>
            <a:gd name="csY3" fmla="*/ 347486 h 1236125"/>
            <a:gd name="csX4" fmla="*/ 424042 w 494618"/>
            <a:gd name="csY4" fmla="*/ 337504 h 1236125"/>
            <a:gd name="csX5" fmla="*/ 388666 w 494618"/>
            <a:gd name="csY5" fmla="*/ 121967 h 1236125"/>
            <a:gd name="csX6" fmla="*/ 221915 w 494618"/>
            <a:gd name="csY6" fmla="*/ 1911 h 1236125"/>
            <a:gd name="csX7" fmla="*/ 221707 w 494618"/>
            <a:gd name="csY7" fmla="*/ 1943 h 1236125"/>
            <a:gd name="csX8" fmla="*/ 121961 w 494618"/>
            <a:gd name="csY8" fmla="*/ 18367 h 1236125"/>
            <a:gd name="csX9" fmla="*/ 1912 w 494618"/>
            <a:gd name="csY9" fmla="*/ 185125 h 1236125"/>
            <a:gd name="csX10" fmla="*/ 1937 w 494618"/>
            <a:gd name="csY10" fmla="*/ 185264 h 1236125"/>
            <a:gd name="csX11" fmla="*/ 37312 w 494618"/>
            <a:gd name="csY11" fmla="*/ 400801 h 1236125"/>
            <a:gd name="csX12" fmla="*/ 39334 w 494618"/>
            <a:gd name="csY12" fmla="*/ 410656 h 1236125"/>
            <a:gd name="csX13" fmla="*/ 207746 w 494618"/>
            <a:gd name="csY13" fmla="*/ 1124482 h 1236125"/>
            <a:gd name="csX14" fmla="*/ 372874 w 494618"/>
            <a:gd name="csY14" fmla="*/ 1234146 h 1236125"/>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Lst>
          <a:rect l="l" t="t" r="r" b="b"/>
          <a:pathLst>
            <a:path w="494618" h="1236125">
              <a:moveTo>
                <a:pt x="372874" y="1234146"/>
              </a:moveTo>
              <a:lnTo>
                <a:pt x="372874" y="1234146"/>
              </a:lnTo>
              <a:cubicBezTo>
                <a:pt x="448217" y="1221764"/>
                <a:pt x="501122" y="1153187"/>
                <a:pt x="493971" y="1077167"/>
              </a:cubicBezTo>
              <a:lnTo>
                <a:pt x="425368" y="347486"/>
              </a:lnTo>
              <a:cubicBezTo>
                <a:pt x="425052" y="344137"/>
                <a:pt x="424610" y="340852"/>
                <a:pt x="424042" y="337504"/>
              </a:cubicBezTo>
              <a:lnTo>
                <a:pt x="388666" y="121967"/>
              </a:lnTo>
              <a:cubicBezTo>
                <a:pt x="375773" y="42770"/>
                <a:pt x="301118" y="-10988"/>
                <a:pt x="221915" y="1911"/>
              </a:cubicBezTo>
              <a:cubicBezTo>
                <a:pt x="221846" y="1918"/>
                <a:pt x="221776" y="1930"/>
                <a:pt x="221707" y="1943"/>
              </a:cubicBezTo>
              <a:lnTo>
                <a:pt x="121961" y="18367"/>
              </a:lnTo>
              <a:cubicBezTo>
                <a:pt x="42764" y="31267"/>
                <a:pt x="-10988" y="105928"/>
                <a:pt x="1912" y="185125"/>
              </a:cubicBezTo>
              <a:cubicBezTo>
                <a:pt x="1924" y="185169"/>
                <a:pt x="1930" y="185219"/>
                <a:pt x="1937" y="185264"/>
              </a:cubicBezTo>
              <a:lnTo>
                <a:pt x="37312" y="400801"/>
              </a:lnTo>
              <a:cubicBezTo>
                <a:pt x="37881" y="404149"/>
                <a:pt x="38512" y="407434"/>
                <a:pt x="39334" y="410656"/>
              </a:cubicBezTo>
              <a:lnTo>
                <a:pt x="207746" y="1124482"/>
              </a:lnTo>
              <a:cubicBezTo>
                <a:pt x="225434" y="1198739"/>
                <a:pt x="297568" y="1246648"/>
                <a:pt x="372874" y="1234146"/>
              </a:cubicBezTo>
              <a:close/>
            </a:path>
          </a:pathLst>
        </a:custGeom>
        <a:solidFill>
          <a:srgbClr val="000000"/>
        </a:solidFill>
        <a:ln w="63103" cap="flat">
          <a:noFill/>
          <a:prstDash val="solid"/>
          <a:miter/>
        </a:ln>
      </xdr:spPr>
    </xdr:sp>
    <xdr:clientData/>
  </xdr:twoCellAnchor>
  <xdr:twoCellAnchor editAs="oneCell">
    <xdr:from>
      <xdr:col>20</xdr:col>
      <xdr:colOff>1020238</xdr:colOff>
      <xdr:row>50</xdr:row>
      <xdr:rowOff>175073</xdr:rowOff>
    </xdr:from>
    <xdr:to>
      <xdr:col>21</xdr:col>
      <xdr:colOff>460576</xdr:colOff>
      <xdr:row>52</xdr:row>
      <xdr:rowOff>84859</xdr:rowOff>
    </xdr:to>
    <xdr:sp macro="[0]!ActualizarMapaCalor" textlink="">
      <xdr:nvSpPr>
        <xdr:cNvPr id="12" name="Pies">
          <a:extLst>
            <a:ext uri="{FF2B5EF4-FFF2-40B4-BE49-F238E27FC236}">
              <a16:creationId xmlns:a16="http://schemas.microsoft.com/office/drawing/2014/main" id="{62BD117A-1D3D-6263-FE12-80C5F818B4B3}"/>
            </a:ext>
          </a:extLst>
        </xdr:cNvPr>
        <xdr:cNvSpPr/>
      </xdr:nvSpPr>
      <xdr:spPr>
        <a:xfrm>
          <a:off x="22633329" y="9180528"/>
          <a:ext cx="520992" cy="270004"/>
        </a:xfrm>
        <a:custGeom>
          <a:avLst/>
          <a:gdLst>
            <a:gd name="csX0" fmla="*/ 261020 w 522230"/>
            <a:gd name="csY0" fmla="*/ 0 h 261146"/>
            <a:gd name="csX1" fmla="*/ 0 w 522230"/>
            <a:gd name="csY1" fmla="*/ 261147 h 261146"/>
            <a:gd name="csX2" fmla="*/ 522230 w 522230"/>
            <a:gd name="csY2" fmla="*/ 261147 h 261146"/>
            <a:gd name="csX3" fmla="*/ 261083 w 522230"/>
            <a:gd name="csY3" fmla="*/ 0 h 261146"/>
            <a:gd name="csX4" fmla="*/ 261020 w 522230"/>
            <a:gd name="csY4" fmla="*/ 0 h 261146"/>
          </a:gdLst>
          <a:ahLst/>
          <a:cxnLst>
            <a:cxn ang="0">
              <a:pos x="csX0" y="csY0"/>
            </a:cxn>
            <a:cxn ang="0">
              <a:pos x="csX1" y="csY1"/>
            </a:cxn>
            <a:cxn ang="0">
              <a:pos x="csX2" y="csY2"/>
            </a:cxn>
            <a:cxn ang="0">
              <a:pos x="csX3" y="csY3"/>
            </a:cxn>
            <a:cxn ang="0">
              <a:pos x="csX4" y="csY4"/>
            </a:cxn>
          </a:cxnLst>
          <a:rect l="l" t="t" r="r" b="b"/>
          <a:pathLst>
            <a:path w="522230" h="261146">
              <a:moveTo>
                <a:pt x="261020" y="0"/>
              </a:moveTo>
              <a:cubicBezTo>
                <a:pt x="116827" y="32"/>
                <a:pt x="-38" y="116954"/>
                <a:pt x="0" y="261147"/>
              </a:cubicBezTo>
              <a:lnTo>
                <a:pt x="522230" y="261147"/>
              </a:lnTo>
              <a:cubicBezTo>
                <a:pt x="522230" y="116923"/>
                <a:pt x="405308" y="0"/>
                <a:pt x="261083" y="0"/>
              </a:cubicBezTo>
              <a:cubicBezTo>
                <a:pt x="261064" y="0"/>
                <a:pt x="261039" y="0"/>
                <a:pt x="261020" y="0"/>
              </a:cubicBezTo>
              <a:close/>
            </a:path>
          </a:pathLst>
        </a:custGeom>
        <a:solidFill>
          <a:srgbClr val="000000"/>
        </a:solidFill>
        <a:ln w="63103" cap="flat">
          <a:noFill/>
          <a:prstDash val="solid"/>
          <a:miter/>
        </a:ln>
      </xdr:spPr>
    </xdr:sp>
    <xdr:clientData/>
  </xdr:twoCellAnchor>
  <xdr:twoCellAnchor editAs="oneCell">
    <xdr:from>
      <xdr:col>19</xdr:col>
      <xdr:colOff>1078607</xdr:colOff>
      <xdr:row>35</xdr:row>
      <xdr:rowOff>159604</xdr:rowOff>
    </xdr:from>
    <xdr:to>
      <xdr:col>20</xdr:col>
      <xdr:colOff>576756</xdr:colOff>
      <xdr:row>42</xdr:row>
      <xdr:rowOff>151465</xdr:rowOff>
    </xdr:to>
    <xdr:sp macro="[0]!ActualizarMapaCalor" textlink="">
      <xdr:nvSpPr>
        <xdr:cNvPr id="15" name="Muslos">
          <a:extLst>
            <a:ext uri="{FF2B5EF4-FFF2-40B4-BE49-F238E27FC236}">
              <a16:creationId xmlns:a16="http://schemas.microsoft.com/office/drawing/2014/main" id="{1E86176B-CFFE-2F96-AB0A-01FD9BE4E058}"/>
            </a:ext>
          </a:extLst>
        </xdr:cNvPr>
        <xdr:cNvSpPr/>
      </xdr:nvSpPr>
      <xdr:spPr>
        <a:xfrm>
          <a:off x="21611043" y="6463422"/>
          <a:ext cx="578804" cy="1252625"/>
        </a:xfrm>
        <a:custGeom>
          <a:avLst/>
          <a:gdLst>
            <a:gd name="csX0" fmla="*/ 453573 w 580332"/>
            <a:gd name="csY0" fmla="*/ 31178 h 1254189"/>
            <a:gd name="csX1" fmla="*/ 223822 w 580332"/>
            <a:gd name="csY1" fmla="*/ 1235 h 1254189"/>
            <a:gd name="csX2" fmla="*/ 60969 w 580332"/>
            <a:gd name="csY2" fmla="*/ 126503 h 1254189"/>
            <a:gd name="csX3" fmla="*/ 43470 w 580332"/>
            <a:gd name="csY3" fmla="*/ 260613 h 1254189"/>
            <a:gd name="csX4" fmla="*/ 42460 w 580332"/>
            <a:gd name="csY4" fmla="*/ 271921 h 1254189"/>
            <a:gd name="csX5" fmla="*/ 198 w 580332"/>
            <a:gd name="csY5" fmla="*/ 1087830 h 1254189"/>
            <a:gd name="csX6" fmla="*/ 126539 w 580332"/>
            <a:gd name="csY6" fmla="*/ 1239440 h 1254189"/>
            <a:gd name="csX7" fmla="*/ 229949 w 580332"/>
            <a:gd name="csY7" fmla="*/ 1252958 h 1254189"/>
            <a:gd name="csX8" fmla="*/ 390908 w 580332"/>
            <a:gd name="csY8" fmla="*/ 1138809 h 1254189"/>
            <a:gd name="csX9" fmla="*/ 559699 w 580332"/>
            <a:gd name="csY9" fmla="*/ 339387 h 1254189"/>
            <a:gd name="csX10" fmla="*/ 561594 w 580332"/>
            <a:gd name="csY10" fmla="*/ 328206 h 1254189"/>
            <a:gd name="csX11" fmla="*/ 579093 w 580332"/>
            <a:gd name="csY11" fmla="*/ 194095 h 1254189"/>
            <a:gd name="csX12" fmla="*/ 453838 w 580332"/>
            <a:gd name="csY12" fmla="*/ 31210 h 1254189"/>
            <a:gd name="csX13" fmla="*/ 453573 w 580332"/>
            <a:gd name="csY13" fmla="*/ 31178 h 1254189"/>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Lst>
          <a:rect l="l" t="t" r="r" b="b"/>
          <a:pathLst>
            <a:path w="580332" h="1254189">
              <a:moveTo>
                <a:pt x="453573" y="31178"/>
              </a:moveTo>
              <a:lnTo>
                <a:pt x="223822" y="1235"/>
              </a:lnTo>
              <a:cubicBezTo>
                <a:pt x="144259" y="-9137"/>
                <a:pt x="71354" y="46946"/>
                <a:pt x="60969" y="126503"/>
              </a:cubicBezTo>
              <a:lnTo>
                <a:pt x="43470" y="260613"/>
              </a:lnTo>
              <a:cubicBezTo>
                <a:pt x="42965" y="264404"/>
                <a:pt x="42649" y="268131"/>
                <a:pt x="42460" y="271921"/>
              </a:cubicBezTo>
              <a:lnTo>
                <a:pt x="198" y="1087830"/>
              </a:lnTo>
              <a:cubicBezTo>
                <a:pt x="-3737" y="1163603"/>
                <a:pt x="51297" y="1229642"/>
                <a:pt x="126539" y="1239440"/>
              </a:cubicBezTo>
              <a:lnTo>
                <a:pt x="229949" y="1252958"/>
              </a:lnTo>
              <a:cubicBezTo>
                <a:pt x="305173" y="1262762"/>
                <a:pt x="375286" y="1213047"/>
                <a:pt x="390908" y="1138809"/>
              </a:cubicBezTo>
              <a:lnTo>
                <a:pt x="559699" y="339387"/>
              </a:lnTo>
              <a:cubicBezTo>
                <a:pt x="560457" y="335723"/>
                <a:pt x="561152" y="331996"/>
                <a:pt x="561594" y="328206"/>
              </a:cubicBezTo>
              <a:lnTo>
                <a:pt x="579093" y="194095"/>
              </a:lnTo>
              <a:cubicBezTo>
                <a:pt x="589484" y="114525"/>
                <a:pt x="533401" y="41601"/>
                <a:pt x="453838" y="31210"/>
              </a:cubicBezTo>
              <a:cubicBezTo>
                <a:pt x="453750" y="31204"/>
                <a:pt x="453661" y="31191"/>
                <a:pt x="453573" y="31178"/>
              </a:cubicBezTo>
              <a:close/>
            </a:path>
          </a:pathLst>
        </a:custGeom>
        <a:solidFill>
          <a:srgbClr val="000000"/>
        </a:solidFill>
        <a:ln w="63103" cap="flat">
          <a:noFill/>
          <a:prstDash val="solid"/>
          <a:miter/>
        </a:ln>
      </xdr:spPr>
    </xdr:sp>
    <xdr:clientData/>
  </xdr:twoCellAnchor>
  <xdr:twoCellAnchor editAs="oneCell">
    <xdr:from>
      <xdr:col>19</xdr:col>
      <xdr:colOff>908154</xdr:colOff>
      <xdr:row>43</xdr:row>
      <xdr:rowOff>133547</xdr:rowOff>
    </xdr:from>
    <xdr:to>
      <xdr:col>20</xdr:col>
      <xdr:colOff>319391</xdr:colOff>
      <xdr:row>50</xdr:row>
      <xdr:rowOff>108432</xdr:rowOff>
    </xdr:to>
    <xdr:sp macro="[0]!ActualizarMapaCalor" textlink="">
      <xdr:nvSpPr>
        <xdr:cNvPr id="16" name="Pantorrilla">
          <a:extLst>
            <a:ext uri="{FF2B5EF4-FFF2-40B4-BE49-F238E27FC236}">
              <a16:creationId xmlns:a16="http://schemas.microsoft.com/office/drawing/2014/main" id="{8EE42A01-F207-21A5-859E-EE4E860F2CD4}"/>
            </a:ext>
          </a:extLst>
        </xdr:cNvPr>
        <xdr:cNvSpPr/>
      </xdr:nvSpPr>
      <xdr:spPr>
        <a:xfrm>
          <a:off x="21440590" y="7878238"/>
          <a:ext cx="491892" cy="1235649"/>
        </a:xfrm>
        <a:custGeom>
          <a:avLst/>
          <a:gdLst>
            <a:gd name="csX0" fmla="*/ 372646 w 494368"/>
            <a:gd name="csY0" fmla="*/ 18368 h 1235928"/>
            <a:gd name="csX1" fmla="*/ 272899 w 494368"/>
            <a:gd name="csY1" fmla="*/ 1944 h 1235928"/>
            <a:gd name="csX2" fmla="*/ 105971 w 494368"/>
            <a:gd name="csY2" fmla="*/ 121759 h 1235928"/>
            <a:gd name="csX3" fmla="*/ 105940 w 494368"/>
            <a:gd name="csY3" fmla="*/ 121968 h 1235928"/>
            <a:gd name="csX4" fmla="*/ 70564 w 494368"/>
            <a:gd name="csY4" fmla="*/ 337506 h 1235928"/>
            <a:gd name="csX5" fmla="*/ 69238 w 494368"/>
            <a:gd name="csY5" fmla="*/ 347486 h 1235928"/>
            <a:gd name="csX6" fmla="*/ 635 w 494368"/>
            <a:gd name="csY6" fmla="*/ 1077169 h 1235928"/>
            <a:gd name="csX7" fmla="*/ 131840 w 494368"/>
            <a:gd name="csY7" fmla="*/ 1235297 h 1235928"/>
            <a:gd name="csX8" fmla="*/ 286671 w 494368"/>
            <a:gd name="csY8" fmla="*/ 1124167 h 1235928"/>
            <a:gd name="csX9" fmla="*/ 455083 w 494368"/>
            <a:gd name="csY9" fmla="*/ 410341 h 1235928"/>
            <a:gd name="csX10" fmla="*/ 457041 w 494368"/>
            <a:gd name="csY10" fmla="*/ 400486 h 1235928"/>
            <a:gd name="csX11" fmla="*/ 492480 w 494368"/>
            <a:gd name="csY11" fmla="*/ 184949 h 1235928"/>
            <a:gd name="csX12" fmla="*/ 372646 w 494368"/>
            <a:gd name="csY12" fmla="*/ 18368 h 1235928"/>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Lst>
          <a:rect l="l" t="t" r="r" b="b"/>
          <a:pathLst>
            <a:path w="494368" h="1235928">
              <a:moveTo>
                <a:pt x="372646" y="18368"/>
              </a:moveTo>
              <a:lnTo>
                <a:pt x="272899" y="1944"/>
              </a:lnTo>
              <a:cubicBezTo>
                <a:pt x="193722" y="-11063"/>
                <a:pt x="118984" y="42575"/>
                <a:pt x="105971" y="121759"/>
              </a:cubicBezTo>
              <a:cubicBezTo>
                <a:pt x="105965" y="121829"/>
                <a:pt x="105952" y="121898"/>
                <a:pt x="105940" y="121968"/>
              </a:cubicBezTo>
              <a:lnTo>
                <a:pt x="70564" y="337506"/>
              </a:lnTo>
              <a:cubicBezTo>
                <a:pt x="69996" y="340853"/>
                <a:pt x="69554" y="344138"/>
                <a:pt x="69238" y="347486"/>
              </a:cubicBezTo>
              <a:lnTo>
                <a:pt x="635" y="1077169"/>
              </a:lnTo>
              <a:cubicBezTo>
                <a:pt x="-6801" y="1157067"/>
                <a:pt x="51942" y="1227862"/>
                <a:pt x="131840" y="1235297"/>
              </a:cubicBezTo>
              <a:cubicBezTo>
                <a:pt x="203930" y="1242005"/>
                <a:pt x="269962" y="1194615"/>
                <a:pt x="286671" y="1124167"/>
              </a:cubicBezTo>
              <a:lnTo>
                <a:pt x="455083" y="410341"/>
              </a:lnTo>
              <a:cubicBezTo>
                <a:pt x="455904" y="407119"/>
                <a:pt x="456536" y="404024"/>
                <a:pt x="457041" y="400486"/>
              </a:cubicBezTo>
              <a:lnTo>
                <a:pt x="492480" y="184949"/>
              </a:lnTo>
              <a:cubicBezTo>
                <a:pt x="505278" y="105885"/>
                <a:pt x="451678" y="31375"/>
                <a:pt x="372646" y="18368"/>
              </a:cubicBezTo>
              <a:close/>
            </a:path>
          </a:pathLst>
        </a:custGeom>
        <a:solidFill>
          <a:srgbClr val="000000"/>
        </a:solidFill>
        <a:ln w="63103" cap="flat">
          <a:noFill/>
          <a:prstDash val="solid"/>
          <a:miter/>
        </a:ln>
      </xdr:spPr>
    </xdr:sp>
    <xdr:clientData/>
  </xdr:twoCellAnchor>
  <xdr:twoCellAnchor editAs="oneCell">
    <xdr:from>
      <xdr:col>19</xdr:col>
      <xdr:colOff>727364</xdr:colOff>
      <xdr:row>50</xdr:row>
      <xdr:rowOff>175073</xdr:rowOff>
    </xdr:from>
    <xdr:to>
      <xdr:col>20</xdr:col>
      <xdr:colOff>171437</xdr:colOff>
      <xdr:row>52</xdr:row>
      <xdr:rowOff>84859</xdr:rowOff>
    </xdr:to>
    <xdr:sp macro="[0]!ActualizarMapaCalor" textlink="">
      <xdr:nvSpPr>
        <xdr:cNvPr id="17" name="Pies">
          <a:extLst>
            <a:ext uri="{FF2B5EF4-FFF2-40B4-BE49-F238E27FC236}">
              <a16:creationId xmlns:a16="http://schemas.microsoft.com/office/drawing/2014/main" id="{1C9E61BD-6A1B-ACD1-94D0-F23909859A3A}"/>
            </a:ext>
          </a:extLst>
        </xdr:cNvPr>
        <xdr:cNvSpPr/>
      </xdr:nvSpPr>
      <xdr:spPr>
        <a:xfrm>
          <a:off x="21259800" y="9180528"/>
          <a:ext cx="524728" cy="270004"/>
        </a:xfrm>
        <a:custGeom>
          <a:avLst/>
          <a:gdLst>
            <a:gd name="csX0" fmla="*/ 261083 w 522166"/>
            <a:gd name="csY0" fmla="*/ 0 h 261146"/>
            <a:gd name="csX1" fmla="*/ 0 w 522166"/>
            <a:gd name="csY1" fmla="*/ 261084 h 261146"/>
            <a:gd name="csX2" fmla="*/ 0 w 522166"/>
            <a:gd name="csY2" fmla="*/ 261147 h 261146"/>
            <a:gd name="csX3" fmla="*/ 522167 w 522166"/>
            <a:gd name="csY3" fmla="*/ 261147 h 261146"/>
            <a:gd name="csX4" fmla="*/ 261083 w 522166"/>
            <a:gd name="csY4" fmla="*/ 0 h 261146"/>
          </a:gdLst>
          <a:ahLst/>
          <a:cxnLst>
            <a:cxn ang="0">
              <a:pos x="csX0" y="csY0"/>
            </a:cxn>
            <a:cxn ang="0">
              <a:pos x="csX1" y="csY1"/>
            </a:cxn>
            <a:cxn ang="0">
              <a:pos x="csX2" y="csY2"/>
            </a:cxn>
            <a:cxn ang="0">
              <a:pos x="csX3" y="csY3"/>
            </a:cxn>
            <a:cxn ang="0">
              <a:pos x="csX4" y="csY4"/>
            </a:cxn>
          </a:cxnLst>
          <a:rect l="l" t="t" r="r" b="b"/>
          <a:pathLst>
            <a:path w="522166" h="261146">
              <a:moveTo>
                <a:pt x="261083" y="0"/>
              </a:moveTo>
              <a:cubicBezTo>
                <a:pt x="116891" y="0"/>
                <a:pt x="0" y="116891"/>
                <a:pt x="0" y="261084"/>
              </a:cubicBezTo>
              <a:cubicBezTo>
                <a:pt x="0" y="261103"/>
                <a:pt x="0" y="261128"/>
                <a:pt x="0" y="261147"/>
              </a:cubicBezTo>
              <a:lnTo>
                <a:pt x="522167" y="261147"/>
              </a:lnTo>
              <a:cubicBezTo>
                <a:pt x="522167" y="116941"/>
                <a:pt x="405289" y="38"/>
                <a:pt x="261083" y="0"/>
              </a:cubicBezTo>
              <a:close/>
            </a:path>
          </a:pathLst>
        </a:custGeom>
        <a:solidFill>
          <a:srgbClr val="000000"/>
        </a:solidFill>
        <a:ln w="63103" cap="flat">
          <a:noFill/>
          <a:prstDash val="solid"/>
          <a:miter/>
        </a:ln>
      </xdr:spPr>
    </xdr:sp>
    <xdr:clientData/>
  </xdr:twoCellAnchor>
  <xdr:twoCellAnchor editAs="oneCell">
    <xdr:from>
      <xdr:col>20</xdr:col>
      <xdr:colOff>234733</xdr:colOff>
      <xdr:row>19</xdr:row>
      <xdr:rowOff>109158</xdr:rowOff>
    </xdr:from>
    <xdr:to>
      <xdr:col>20</xdr:col>
      <xdr:colOff>956944</xdr:colOff>
      <xdr:row>24</xdr:row>
      <xdr:rowOff>121112</xdr:rowOff>
    </xdr:to>
    <xdr:sp macro="[0]!ActualizarMapaCalor" textlink="">
      <xdr:nvSpPr>
        <xdr:cNvPr id="22" name="Cabeza">
          <a:extLst>
            <a:ext uri="{FF2B5EF4-FFF2-40B4-BE49-F238E27FC236}">
              <a16:creationId xmlns:a16="http://schemas.microsoft.com/office/drawing/2014/main" id="{E624706B-C89D-D5F0-B0B9-EBDA5B8FC21A}"/>
            </a:ext>
          </a:extLst>
        </xdr:cNvPr>
        <xdr:cNvSpPr/>
      </xdr:nvSpPr>
      <xdr:spPr>
        <a:xfrm>
          <a:off x="21847824" y="3531231"/>
          <a:ext cx="722211" cy="912499"/>
        </a:xfrm>
        <a:custGeom>
          <a:avLst/>
          <a:gdLst>
            <a:gd name="csX0" fmla="*/ 251671 w 719258"/>
            <a:gd name="csY0" fmla="*/ 914961 h 914960"/>
            <a:gd name="csX1" fmla="*/ 467588 w 719258"/>
            <a:gd name="csY1" fmla="*/ 914961 h 914960"/>
            <a:gd name="csX2" fmla="*/ 647876 w 719258"/>
            <a:gd name="csY2" fmla="*/ 763920 h 914960"/>
            <a:gd name="csX3" fmla="*/ 719259 w 719258"/>
            <a:gd name="csY3" fmla="*/ 359629 h 914960"/>
            <a:gd name="csX4" fmla="*/ 359629 w 719258"/>
            <a:gd name="csY4" fmla="*/ 0 h 914960"/>
            <a:gd name="csX5" fmla="*/ 0 w 719258"/>
            <a:gd name="csY5" fmla="*/ 359629 h 914960"/>
            <a:gd name="csX6" fmla="*/ 71383 w 719258"/>
            <a:gd name="csY6" fmla="*/ 763920 h 914960"/>
            <a:gd name="csX7" fmla="*/ 251671 w 719258"/>
            <a:gd name="csY7" fmla="*/ 914961 h 91496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Lst>
          <a:rect l="l" t="t" r="r" b="b"/>
          <a:pathLst>
            <a:path w="719258" h="914960">
              <a:moveTo>
                <a:pt x="251671" y="914961"/>
              </a:moveTo>
              <a:lnTo>
                <a:pt x="467588" y="914961"/>
              </a:lnTo>
              <a:cubicBezTo>
                <a:pt x="556336" y="914929"/>
                <a:pt x="632298" y="851291"/>
                <a:pt x="647876" y="763920"/>
              </a:cubicBezTo>
              <a:lnTo>
                <a:pt x="719259" y="359629"/>
              </a:lnTo>
              <a:cubicBezTo>
                <a:pt x="719259" y="161011"/>
                <a:pt x="558250" y="0"/>
                <a:pt x="359629" y="0"/>
              </a:cubicBezTo>
              <a:cubicBezTo>
                <a:pt x="161009" y="0"/>
                <a:pt x="0" y="161011"/>
                <a:pt x="0" y="359629"/>
              </a:cubicBezTo>
              <a:lnTo>
                <a:pt x="71383" y="763920"/>
              </a:lnTo>
              <a:cubicBezTo>
                <a:pt x="86961" y="851291"/>
                <a:pt x="162923" y="914929"/>
                <a:pt x="251671" y="914961"/>
              </a:cubicBezTo>
              <a:close/>
            </a:path>
          </a:pathLst>
        </a:custGeom>
        <a:solidFill>
          <a:srgbClr val="000000"/>
        </a:solidFill>
        <a:ln w="63103" cap="flat">
          <a:noFill/>
          <a:prstDash val="solid"/>
          <a:miter/>
        </a:ln>
      </xdr:spPr>
    </xdr:sp>
    <xdr:clientData/>
  </xdr:twoCellAnchor>
  <xdr:twoCellAnchor editAs="oneCell">
    <xdr:from>
      <xdr:col>19</xdr:col>
      <xdr:colOff>1035348</xdr:colOff>
      <xdr:row>42</xdr:row>
      <xdr:rowOff>118475</xdr:rowOff>
    </xdr:from>
    <xdr:to>
      <xdr:col>20</xdr:col>
      <xdr:colOff>391800</xdr:colOff>
      <xdr:row>43</xdr:row>
      <xdr:rowOff>167464</xdr:rowOff>
    </xdr:to>
    <xdr:sp macro="[0]!ActualizarMapaCalor" textlink="">
      <xdr:nvSpPr>
        <xdr:cNvPr id="36" name="Rodillas">
          <a:extLst>
            <a:ext uri="{FF2B5EF4-FFF2-40B4-BE49-F238E27FC236}">
              <a16:creationId xmlns:a16="http://schemas.microsoft.com/office/drawing/2014/main" id="{B9D08076-C3B8-41F7-9C26-1B1B798DF72D}"/>
            </a:ext>
          </a:extLst>
        </xdr:cNvPr>
        <xdr:cNvSpPr/>
      </xdr:nvSpPr>
      <xdr:spPr>
        <a:xfrm rot="434092">
          <a:off x="21567784" y="7683057"/>
          <a:ext cx="4371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20</xdr:col>
      <xdr:colOff>826931</xdr:colOff>
      <xdr:row>42</xdr:row>
      <xdr:rowOff>124635</xdr:rowOff>
    </xdr:from>
    <xdr:to>
      <xdr:col>21</xdr:col>
      <xdr:colOff>186584</xdr:colOff>
      <xdr:row>43</xdr:row>
      <xdr:rowOff>173624</xdr:rowOff>
    </xdr:to>
    <xdr:sp macro="[0]!ActualizarMapaCalor" textlink="">
      <xdr:nvSpPr>
        <xdr:cNvPr id="37" name="Rodillas">
          <a:extLst>
            <a:ext uri="{FF2B5EF4-FFF2-40B4-BE49-F238E27FC236}">
              <a16:creationId xmlns:a16="http://schemas.microsoft.com/office/drawing/2014/main" id="{72BE60F8-A350-44E5-B815-1437554DEECA}"/>
            </a:ext>
          </a:extLst>
        </xdr:cNvPr>
        <xdr:cNvSpPr/>
      </xdr:nvSpPr>
      <xdr:spPr>
        <a:xfrm rot="21007094">
          <a:off x="22440022" y="7689217"/>
          <a:ext cx="440307" cy="22909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273155</xdr:colOff>
      <xdr:row>26</xdr:row>
      <xdr:rowOff>35075</xdr:rowOff>
    </xdr:from>
    <xdr:to>
      <xdr:col>20</xdr:col>
      <xdr:colOff>227205</xdr:colOff>
      <xdr:row>30</xdr:row>
      <xdr:rowOff>139255</xdr:rowOff>
    </xdr:to>
    <xdr:sp macro="[0]!ActualizarMapaCalor" textlink="">
      <xdr:nvSpPr>
        <xdr:cNvPr id="18" name="Brazos">
          <a:extLst>
            <a:ext uri="{FF2B5EF4-FFF2-40B4-BE49-F238E27FC236}">
              <a16:creationId xmlns:a16="http://schemas.microsoft.com/office/drawing/2014/main" id="{15C43DE6-FAE5-F1CD-C893-2334B13C8D63}"/>
            </a:ext>
          </a:extLst>
        </xdr:cNvPr>
        <xdr:cNvSpPr/>
      </xdr:nvSpPr>
      <xdr:spPr>
        <a:xfrm rot="19527444">
          <a:off x="20805591" y="4717911"/>
          <a:ext cx="1034705" cy="824617"/>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20</xdr:col>
      <xdr:colOff>1073777</xdr:colOff>
      <xdr:row>25</xdr:row>
      <xdr:rowOff>93403</xdr:rowOff>
    </xdr:from>
    <xdr:to>
      <xdr:col>21</xdr:col>
      <xdr:colOff>848888</xdr:colOff>
      <xdr:row>31</xdr:row>
      <xdr:rowOff>9523</xdr:rowOff>
    </xdr:to>
    <xdr:sp macro="[0]!ActualizarMapaCalor" textlink="">
      <xdr:nvSpPr>
        <xdr:cNvPr id="40" name="Brazos">
          <a:extLst>
            <a:ext uri="{FF2B5EF4-FFF2-40B4-BE49-F238E27FC236}">
              <a16:creationId xmlns:a16="http://schemas.microsoft.com/office/drawing/2014/main" id="{83EA76C8-2BBC-42AE-8D6C-66095E4900A3}"/>
            </a:ext>
          </a:extLst>
        </xdr:cNvPr>
        <xdr:cNvSpPr/>
      </xdr:nvSpPr>
      <xdr:spPr>
        <a:xfrm rot="16952002">
          <a:off x="22616363" y="4666635"/>
          <a:ext cx="996775" cy="855765"/>
        </a:xfrm>
        <a:custGeom>
          <a:avLst/>
          <a:gdLst>
            <a:gd name="csX0" fmla="*/ 251056 w 1033326"/>
            <a:gd name="csY0" fmla="*/ 813487 h 830980"/>
            <a:gd name="csX1" fmla="*/ 699187 w 1033326"/>
            <a:gd name="csY1" fmla="*/ 536548 h 830980"/>
            <a:gd name="csX2" fmla="*/ 961913 w 1033326"/>
            <a:gd name="csY2" fmla="*/ 356765 h 830980"/>
            <a:gd name="csX3" fmla="*/ 993498 w 1033326"/>
            <a:gd name="csY3" fmla="*/ 92333 h 830980"/>
            <a:gd name="csX4" fmla="*/ 993498 w 1033326"/>
            <a:gd name="csY4" fmla="*/ 92333 h 830980"/>
            <a:gd name="csX5" fmla="*/ 735699 w 1033326"/>
            <a:gd name="csY5" fmla="*/ 25814 h 830980"/>
            <a:gd name="csX6" fmla="*/ 472973 w 1033326"/>
            <a:gd name="csY6" fmla="*/ 205598 h 830980"/>
            <a:gd name="csX7" fmla="*/ 52574 w 1033326"/>
            <a:gd name="csY7" fmla="*/ 523029 h 830980"/>
            <a:gd name="csX8" fmla="*/ 31980 w 1033326"/>
            <a:gd name="csY8" fmla="*/ 732060 h 830980"/>
            <a:gd name="csX9" fmla="*/ 49036 w 1033326"/>
            <a:gd name="csY9" fmla="*/ 756886 h 830980"/>
            <a:gd name="csX10" fmla="*/ 251056 w 1033326"/>
            <a:gd name="csY10" fmla="*/ 813487 h 83098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1033326" h="830980">
              <a:moveTo>
                <a:pt x="251056" y="813487"/>
              </a:moveTo>
              <a:lnTo>
                <a:pt x="699187" y="536548"/>
              </a:lnTo>
              <a:lnTo>
                <a:pt x="961913" y="356765"/>
              </a:lnTo>
              <a:cubicBezTo>
                <a:pt x="1043036" y="292122"/>
                <a:pt x="1057111" y="174265"/>
                <a:pt x="993498" y="92333"/>
              </a:cubicBezTo>
              <a:lnTo>
                <a:pt x="993498" y="92333"/>
              </a:lnTo>
              <a:cubicBezTo>
                <a:pt x="940365" y="3187"/>
                <a:pt x="825326" y="-26497"/>
                <a:pt x="735699" y="25814"/>
              </a:cubicBezTo>
              <a:lnTo>
                <a:pt x="472973" y="205598"/>
              </a:lnTo>
              <a:lnTo>
                <a:pt x="52574" y="523029"/>
              </a:lnTo>
              <a:cubicBezTo>
                <a:pt x="-8588" y="576244"/>
                <a:pt x="-17621" y="667930"/>
                <a:pt x="31980" y="732060"/>
              </a:cubicBezTo>
              <a:lnTo>
                <a:pt x="49036" y="756886"/>
              </a:lnTo>
              <a:cubicBezTo>
                <a:pt x="90779" y="826247"/>
                <a:pt x="179351" y="851061"/>
                <a:pt x="251056" y="813487"/>
              </a:cubicBezTo>
              <a:close/>
            </a:path>
          </a:pathLst>
        </a:custGeom>
        <a:solidFill>
          <a:srgbClr val="000000"/>
        </a:solidFill>
        <a:ln w="63103" cap="flat">
          <a:noFill/>
          <a:prstDash val="solid"/>
          <a:miter/>
        </a:ln>
      </xdr:spPr>
    </xdr:sp>
    <xdr:clientData/>
  </xdr:twoCellAnchor>
  <xdr:twoCellAnchor editAs="oneCell">
    <xdr:from>
      <xdr:col>19</xdr:col>
      <xdr:colOff>422299</xdr:colOff>
      <xdr:row>31</xdr:row>
      <xdr:rowOff>5579</xdr:rowOff>
    </xdr:from>
    <xdr:to>
      <xdr:col>19</xdr:col>
      <xdr:colOff>750332</xdr:colOff>
      <xdr:row>32</xdr:row>
      <xdr:rowOff>64379</xdr:rowOff>
    </xdr:to>
    <xdr:sp macro="[0]!ActualizarMapaCalor" textlink="">
      <xdr:nvSpPr>
        <xdr:cNvPr id="38" name="Codos">
          <a:extLst>
            <a:ext uri="{FF2B5EF4-FFF2-40B4-BE49-F238E27FC236}">
              <a16:creationId xmlns:a16="http://schemas.microsoft.com/office/drawing/2014/main" id="{5657A410-8D5C-4157-904E-E530ABDEB1E3}"/>
            </a:ext>
          </a:extLst>
        </xdr:cNvPr>
        <xdr:cNvSpPr/>
      </xdr:nvSpPr>
      <xdr:spPr>
        <a:xfrm rot="486154">
          <a:off x="20954735" y="5588961"/>
          <a:ext cx="328033" cy="23890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477327</xdr:colOff>
      <xdr:row>30</xdr:row>
      <xdr:rowOff>130248</xdr:rowOff>
    </xdr:from>
    <xdr:to>
      <xdr:col>21</xdr:col>
      <xdr:colOff>805360</xdr:colOff>
      <xdr:row>32</xdr:row>
      <xdr:rowOff>1108</xdr:rowOff>
    </xdr:to>
    <xdr:sp macro="[0]!ActualizarMapaCalor" textlink="">
      <xdr:nvSpPr>
        <xdr:cNvPr id="49" name="Codos">
          <a:extLst>
            <a:ext uri="{FF2B5EF4-FFF2-40B4-BE49-F238E27FC236}">
              <a16:creationId xmlns:a16="http://schemas.microsoft.com/office/drawing/2014/main" id="{DD932D3E-D9D6-48DC-9A75-8729C5CFF131}"/>
            </a:ext>
          </a:extLst>
        </xdr:cNvPr>
        <xdr:cNvSpPr/>
      </xdr:nvSpPr>
      <xdr:spPr>
        <a:xfrm rot="10597759">
          <a:off x="23171072" y="5533521"/>
          <a:ext cx="328033" cy="22909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21</xdr:col>
      <xdr:colOff>272623</xdr:colOff>
      <xdr:row>36</xdr:row>
      <xdr:rowOff>75247</xdr:rowOff>
    </xdr:from>
    <xdr:to>
      <xdr:col>21</xdr:col>
      <xdr:colOff>621387</xdr:colOff>
      <xdr:row>38</xdr:row>
      <xdr:rowOff>8188</xdr:rowOff>
    </xdr:to>
    <xdr:sp macro="[0]!ActualizarMapaCalor" textlink="">
      <xdr:nvSpPr>
        <xdr:cNvPr id="57" name="Manos">
          <a:extLst>
            <a:ext uri="{FF2B5EF4-FFF2-40B4-BE49-F238E27FC236}">
              <a16:creationId xmlns:a16="http://schemas.microsoft.com/office/drawing/2014/main" id="{5417CF2F-AF52-F222-9A5F-2B50316D3B93}"/>
            </a:ext>
          </a:extLst>
        </xdr:cNvPr>
        <xdr:cNvSpPr/>
      </xdr:nvSpPr>
      <xdr:spPr>
        <a:xfrm>
          <a:off x="22966368" y="6559174"/>
          <a:ext cx="348764" cy="293159"/>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19</xdr:col>
      <xdr:colOff>619103</xdr:colOff>
      <xdr:row>36</xdr:row>
      <xdr:rowOff>124834</xdr:rowOff>
    </xdr:from>
    <xdr:to>
      <xdr:col>19</xdr:col>
      <xdr:colOff>973044</xdr:colOff>
      <xdr:row>38</xdr:row>
      <xdr:rowOff>67584</xdr:rowOff>
    </xdr:to>
    <xdr:sp macro="[0]!ActualizarMapaCalor" textlink="">
      <xdr:nvSpPr>
        <xdr:cNvPr id="59" name="Manos">
          <a:extLst>
            <a:ext uri="{FF2B5EF4-FFF2-40B4-BE49-F238E27FC236}">
              <a16:creationId xmlns:a16="http://schemas.microsoft.com/office/drawing/2014/main" id="{724C557B-A0DF-4323-A38F-9B5C9BCF5050}"/>
            </a:ext>
          </a:extLst>
        </xdr:cNvPr>
        <xdr:cNvSpPr/>
      </xdr:nvSpPr>
      <xdr:spPr>
        <a:xfrm>
          <a:off x="21151539" y="6608761"/>
          <a:ext cx="353941" cy="302968"/>
        </a:xfrm>
        <a:prstGeom prst="ellipse">
          <a:avLst/>
        </a:prstGeom>
        <a:solidFill>
          <a:srgbClr val="0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18</xdr:col>
      <xdr:colOff>586155</xdr:colOff>
      <xdr:row>14</xdr:row>
      <xdr:rowOff>73441</xdr:rowOff>
    </xdr:from>
    <xdr:to>
      <xdr:col>28</xdr:col>
      <xdr:colOff>788895</xdr:colOff>
      <xdr:row>16</xdr:row>
      <xdr:rowOff>76033</xdr:rowOff>
    </xdr:to>
    <xdr:sp macro="" textlink="">
      <xdr:nvSpPr>
        <xdr:cNvPr id="77" name="Rectángulo 76">
          <a:extLst>
            <a:ext uri="{FF2B5EF4-FFF2-40B4-BE49-F238E27FC236}">
              <a16:creationId xmlns:a16="http://schemas.microsoft.com/office/drawing/2014/main" id="{7841649A-BE4D-416F-A646-870509DB2F18}"/>
            </a:ext>
          </a:extLst>
        </xdr:cNvPr>
        <xdr:cNvSpPr/>
      </xdr:nvSpPr>
      <xdr:spPr>
        <a:xfrm>
          <a:off x="19989277" y="2675392"/>
          <a:ext cx="10982252" cy="374300"/>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PARTE DEL CUERPO MÁS ACCIDENTADA</a:t>
          </a:r>
        </a:p>
      </xdr:txBody>
    </xdr:sp>
    <xdr:clientData/>
  </xdr:twoCellAnchor>
  <xdr:twoCellAnchor>
    <xdr:from>
      <xdr:col>28</xdr:col>
      <xdr:colOff>952500</xdr:colOff>
      <xdr:row>14</xdr:row>
      <xdr:rowOff>38100</xdr:rowOff>
    </xdr:from>
    <xdr:to>
      <xdr:col>35</xdr:col>
      <xdr:colOff>666750</xdr:colOff>
      <xdr:row>55</xdr:row>
      <xdr:rowOff>19050</xdr:rowOff>
    </xdr:to>
    <xdr:graphicFrame macro="">
      <xdr:nvGraphicFramePr>
        <xdr:cNvPr id="79" name="Gráfico 78">
          <a:extLst>
            <a:ext uri="{FF2B5EF4-FFF2-40B4-BE49-F238E27FC236}">
              <a16:creationId xmlns:a16="http://schemas.microsoft.com/office/drawing/2014/main" id="{4C4F096A-B1E7-4CF2-8196-1AB1521F46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949568</xdr:colOff>
      <xdr:row>14</xdr:row>
      <xdr:rowOff>42493</xdr:rowOff>
    </xdr:from>
    <xdr:to>
      <xdr:col>35</xdr:col>
      <xdr:colOff>674076</xdr:colOff>
      <xdr:row>16</xdr:row>
      <xdr:rowOff>144818</xdr:rowOff>
    </xdr:to>
    <xdr:sp macro="" textlink="">
      <xdr:nvSpPr>
        <xdr:cNvPr id="80" name="Rectángulo 79">
          <a:extLst>
            <a:ext uri="{FF2B5EF4-FFF2-40B4-BE49-F238E27FC236}">
              <a16:creationId xmlns:a16="http://schemas.microsoft.com/office/drawing/2014/main" id="{0EA61936-839C-4FBE-8226-239E424ACA31}"/>
            </a:ext>
          </a:extLst>
        </xdr:cNvPr>
        <xdr:cNvSpPr/>
      </xdr:nvSpPr>
      <xdr:spPr>
        <a:xfrm>
          <a:off x="31353368" y="2709493"/>
          <a:ext cx="6925408" cy="48332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AGENTE CAUNSANTE DE ACCIDENTES</a:t>
          </a:r>
        </a:p>
      </xdr:txBody>
    </xdr:sp>
    <xdr:clientData/>
  </xdr:twoCellAnchor>
  <xdr:twoCellAnchor editAs="oneCell">
    <xdr:from>
      <xdr:col>25</xdr:col>
      <xdr:colOff>21861</xdr:colOff>
      <xdr:row>1</xdr:row>
      <xdr:rowOff>85715</xdr:rowOff>
    </xdr:from>
    <xdr:to>
      <xdr:col>28</xdr:col>
      <xdr:colOff>1007590</xdr:colOff>
      <xdr:row>13</xdr:row>
      <xdr:rowOff>5059</xdr:rowOff>
    </xdr:to>
    <xdr:grpSp>
      <xdr:nvGrpSpPr>
        <xdr:cNvPr id="81" name="Grupo 80">
          <a:extLst>
            <a:ext uri="{FF2B5EF4-FFF2-40B4-BE49-F238E27FC236}">
              <a16:creationId xmlns:a16="http://schemas.microsoft.com/office/drawing/2014/main" id="{88C0B1A0-2AEC-47EF-9A64-4EB88E305A4A}"/>
            </a:ext>
          </a:extLst>
        </xdr:cNvPr>
        <xdr:cNvGrpSpPr/>
      </xdr:nvGrpSpPr>
      <xdr:grpSpPr>
        <a:xfrm>
          <a:off x="27038225" y="265824"/>
          <a:ext cx="4227692" cy="2080653"/>
          <a:chOff x="25939335" y="286307"/>
          <a:chExt cx="4237615" cy="2202872"/>
        </a:xfrm>
      </xdr:grpSpPr>
      <xdr:sp macro="" textlink="">
        <xdr:nvSpPr>
          <xdr:cNvPr id="82" name="Rectángulo: esquinas redondeadas 81">
            <a:extLst>
              <a:ext uri="{FF2B5EF4-FFF2-40B4-BE49-F238E27FC236}">
                <a16:creationId xmlns:a16="http://schemas.microsoft.com/office/drawing/2014/main" id="{B1E06146-97ED-E8D5-4460-C234A812A8D7}"/>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3" name="CuadroTexto 82">
            <a:extLst>
              <a:ext uri="{FF2B5EF4-FFF2-40B4-BE49-F238E27FC236}">
                <a16:creationId xmlns:a16="http://schemas.microsoft.com/office/drawing/2014/main" id="{D16BB658-0435-5401-8B6B-94E18F121DC9}"/>
              </a:ext>
            </a:extLst>
          </xdr:cNvPr>
          <xdr:cNvSpPr txBox="1"/>
        </xdr:nvSpPr>
        <xdr:spPr>
          <a:xfrm>
            <a:off x="25939335" y="550651"/>
            <a:ext cx="3554581"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 ACCIDENTADO POR MES</a:t>
            </a:r>
          </a:p>
        </xdr:txBody>
      </xdr:sp>
      <xdr:sp macro="" textlink="STATS!N9">
        <xdr:nvSpPr>
          <xdr:cNvPr id="84" name="CuadroTexto 83">
            <a:extLst>
              <a:ext uri="{FF2B5EF4-FFF2-40B4-BE49-F238E27FC236}">
                <a16:creationId xmlns:a16="http://schemas.microsoft.com/office/drawing/2014/main" id="{DA5B5317-93EF-5142-2C5B-42B6DE3F2EF5}"/>
              </a:ext>
            </a:extLst>
          </xdr:cNvPr>
          <xdr:cNvSpPr txBox="1"/>
        </xdr:nvSpPr>
        <xdr:spPr>
          <a:xfrm>
            <a:off x="27042309" y="1196400"/>
            <a:ext cx="1515248"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15C68E72-36BD-4AE0-A05D-E80C10608407}"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grpSp>
    <xdr:clientData/>
  </xdr:twoCellAnchor>
  <xdr:twoCellAnchor editAs="oneCell">
    <xdr:from>
      <xdr:col>27</xdr:col>
      <xdr:colOff>872158</xdr:colOff>
      <xdr:row>5</xdr:row>
      <xdr:rowOff>53009</xdr:rowOff>
    </xdr:from>
    <xdr:to>
      <xdr:col>28</xdr:col>
      <xdr:colOff>951123</xdr:colOff>
      <xdr:row>11</xdr:row>
      <xdr:rowOff>74543</xdr:rowOff>
    </xdr:to>
    <xdr:pic>
      <xdr:nvPicPr>
        <xdr:cNvPr id="87" name="Gráfico 86" descr="Presentación con gráfico circular con relleno sólido">
          <a:extLst>
            <a:ext uri="{FF2B5EF4-FFF2-40B4-BE49-F238E27FC236}">
              <a16:creationId xmlns:a16="http://schemas.microsoft.com/office/drawing/2014/main" id="{E9C6278C-DAA2-FD8F-6F90-FFE838C15BB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0033567" y="980661"/>
          <a:ext cx="1159017" cy="1134717"/>
        </a:xfrm>
        <a:prstGeom prst="rect">
          <a:avLst/>
        </a:prstGeom>
      </xdr:spPr>
    </xdr:pic>
    <xdr:clientData/>
  </xdr:twoCellAnchor>
  <xdr:twoCellAnchor>
    <xdr:from>
      <xdr:col>4</xdr:col>
      <xdr:colOff>600024</xdr:colOff>
      <xdr:row>42</xdr:row>
      <xdr:rowOff>177998</xdr:rowOff>
    </xdr:from>
    <xdr:to>
      <xdr:col>18</xdr:col>
      <xdr:colOff>304800</xdr:colOff>
      <xdr:row>75</xdr:row>
      <xdr:rowOff>57150</xdr:rowOff>
    </xdr:to>
    <xdr:graphicFrame macro="">
      <xdr:nvGraphicFramePr>
        <xdr:cNvPr id="88" name="Gráfico 87">
          <a:extLst>
            <a:ext uri="{FF2B5EF4-FFF2-40B4-BE49-F238E27FC236}">
              <a16:creationId xmlns:a16="http://schemas.microsoft.com/office/drawing/2014/main" id="{417933B5-B721-44FD-9425-9D3BC7AC6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xdr:col>
      <xdr:colOff>591662</xdr:colOff>
      <xdr:row>40</xdr:row>
      <xdr:rowOff>73057</xdr:rowOff>
    </xdr:from>
    <xdr:to>
      <xdr:col>18</xdr:col>
      <xdr:colOff>310054</xdr:colOff>
      <xdr:row>42</xdr:row>
      <xdr:rowOff>175381</xdr:rowOff>
    </xdr:to>
    <xdr:sp macro="" textlink="">
      <xdr:nvSpPr>
        <xdr:cNvPr id="89" name="Rectángulo 88">
          <a:extLst>
            <a:ext uri="{FF2B5EF4-FFF2-40B4-BE49-F238E27FC236}">
              <a16:creationId xmlns:a16="http://schemas.microsoft.com/office/drawing/2014/main" id="{B6AAFB77-E493-4160-9674-7376A86799D4}"/>
            </a:ext>
          </a:extLst>
        </xdr:cNvPr>
        <xdr:cNvSpPr/>
      </xdr:nvSpPr>
      <xdr:spPr>
        <a:xfrm>
          <a:off x="4921924" y="7430298"/>
          <a:ext cx="14874309" cy="47018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ACCIDENTES REGISTRADOS</a:t>
          </a:r>
          <a:r>
            <a:rPr lang="es-PE" sz="2400" baseline="0">
              <a:latin typeface="Algerian" panose="04020705040A02060702" pitchFamily="82" charset="0"/>
            </a:rPr>
            <a:t> POR AREA DE TRABAJO</a:t>
          </a:r>
          <a:endParaRPr lang="es-PE" sz="2400">
            <a:latin typeface="Algerian" panose="04020705040A02060702" pitchFamily="82" charset="0"/>
          </a:endParaRPr>
        </a:p>
      </xdr:txBody>
    </xdr:sp>
    <xdr:clientData/>
  </xdr:twoCellAnchor>
  <xdr:twoCellAnchor>
    <xdr:from>
      <xdr:col>10</xdr:col>
      <xdr:colOff>914400</xdr:colOff>
      <xdr:row>16</xdr:row>
      <xdr:rowOff>38100</xdr:rowOff>
    </xdr:from>
    <xdr:to>
      <xdr:col>18</xdr:col>
      <xdr:colOff>209550</xdr:colOff>
      <xdr:row>38</xdr:row>
      <xdr:rowOff>133350</xdr:rowOff>
    </xdr:to>
    <xdr:graphicFrame macro="">
      <xdr:nvGraphicFramePr>
        <xdr:cNvPr id="90" name="Gráfico 89">
          <a:extLst>
            <a:ext uri="{FF2B5EF4-FFF2-40B4-BE49-F238E27FC236}">
              <a16:creationId xmlns:a16="http://schemas.microsoft.com/office/drawing/2014/main" id="{83813865-0366-4068-9CD0-FCC79FC069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10</xdr:col>
      <xdr:colOff>907718</xdr:colOff>
      <xdr:row>14</xdr:row>
      <xdr:rowOff>46603</xdr:rowOff>
    </xdr:from>
    <xdr:to>
      <xdr:col>18</xdr:col>
      <xdr:colOff>216876</xdr:colOff>
      <xdr:row>16</xdr:row>
      <xdr:rowOff>26241</xdr:rowOff>
    </xdr:to>
    <xdr:sp macro="" textlink="">
      <xdr:nvSpPr>
        <xdr:cNvPr id="91" name="Rectángulo 90">
          <a:extLst>
            <a:ext uri="{FF2B5EF4-FFF2-40B4-BE49-F238E27FC236}">
              <a16:creationId xmlns:a16="http://schemas.microsoft.com/office/drawing/2014/main" id="{2CF2AC29-B087-486E-A311-0351B0DF7D09}"/>
            </a:ext>
          </a:extLst>
        </xdr:cNvPr>
        <xdr:cNvSpPr/>
      </xdr:nvSpPr>
      <xdr:spPr>
        <a:xfrm>
          <a:off x="11751564" y="2590511"/>
          <a:ext cx="7984235" cy="343053"/>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ACCIDENTES POR PERFIL</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0.6739</cdr:x>
      <cdr:y>0.53064</cdr:y>
    </cdr:from>
    <cdr:to>
      <cdr:x>0.81614</cdr:x>
      <cdr:y>0.78084</cdr:y>
    </cdr:to>
    <cdr:pic>
      <cdr:nvPicPr>
        <cdr:cNvPr id="3" name="Gráfico 2" descr="Mujer con relleno sólido">
          <a:extLst xmlns:a="http://schemas.openxmlformats.org/drawingml/2006/main">
            <a:ext uri="{FF2B5EF4-FFF2-40B4-BE49-F238E27FC236}">
              <a16:creationId xmlns:a16="http://schemas.microsoft.com/office/drawing/2014/main" id="{1F47D4C3-489E-A372-9BE5-1E8E457FD9B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4137308" y="2084947"/>
          <a:ext cx="873278" cy="983033"/>
        </a:xfrm>
        <a:prstGeom xmlns:a="http://schemas.openxmlformats.org/drawingml/2006/main" prst="rect">
          <a:avLst/>
        </a:prstGeom>
      </cdr:spPr>
    </cdr:pic>
  </cdr:relSizeAnchor>
  <cdr:relSizeAnchor xmlns:cdr="http://schemas.openxmlformats.org/drawingml/2006/chartDrawing">
    <cdr:from>
      <cdr:x>0.67383</cdr:x>
      <cdr:y>0.24942</cdr:y>
    </cdr:from>
    <cdr:to>
      <cdr:x>0.81607</cdr:x>
      <cdr:y>0.49961</cdr:y>
    </cdr:to>
    <cdr:pic>
      <cdr:nvPicPr>
        <cdr:cNvPr id="5" name="Gráfico 4" descr="Hombre con relleno sólido">
          <a:extLst xmlns:a="http://schemas.openxmlformats.org/drawingml/2006/main">
            <a:ext uri="{FF2B5EF4-FFF2-40B4-BE49-F238E27FC236}">
              <a16:creationId xmlns:a16="http://schemas.microsoft.com/office/drawing/2014/main" id="{EF9AFC63-ADAE-BCCA-767C-57FE042AC85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4136864" y="979994"/>
          <a:ext cx="873279" cy="983033"/>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2021</xdr:rowOff>
    </xdr:from>
    <xdr:to>
      <xdr:col>42</xdr:col>
      <xdr:colOff>762000</xdr:colOff>
      <xdr:row>102</xdr:row>
      <xdr:rowOff>114300</xdr:rowOff>
    </xdr:to>
    <xdr:sp macro="" textlink="">
      <xdr:nvSpPr>
        <xdr:cNvPr id="3" name="Rectángulo: esquinas redondeadas 2">
          <a:extLst>
            <a:ext uri="{FF2B5EF4-FFF2-40B4-BE49-F238E27FC236}">
              <a16:creationId xmlns:a16="http://schemas.microsoft.com/office/drawing/2014/main" id="{B93C923B-DED9-4C77-BCAD-7E857282032D}"/>
            </a:ext>
            <a:ext uri="{147F2762-F138-4A5C-976F-8EAC2B608ADB}">
              <a16:predDERef xmlns:a16="http://schemas.microsoft.com/office/drawing/2014/main" pred="{669EDC00-6F5D-484D-A7B6-D0AB8A930D35}"/>
            </a:ext>
          </a:extLst>
        </xdr:cNvPr>
        <xdr:cNvSpPr/>
      </xdr:nvSpPr>
      <xdr:spPr>
        <a:xfrm>
          <a:off x="0" y="2021"/>
          <a:ext cx="43167300" cy="19543279"/>
        </a:xfrm>
        <a:prstGeom prst="roundRect">
          <a:avLst>
            <a:gd name="adj" fmla="val 2187"/>
          </a:avLst>
        </a:prstGeom>
        <a:gradFill flip="none" rotWithShape="1">
          <a:gsLst>
            <a:gs pos="0">
              <a:schemeClr val="accent1">
                <a:lumMod val="75000"/>
              </a:schemeClr>
            </a:gs>
            <a:gs pos="85000">
              <a:srgbClr val="779ECE"/>
            </a:gs>
            <a:gs pos="5000">
              <a:srgbClr val="4971A3"/>
            </a:gs>
            <a:gs pos="41000">
              <a:srgbClr val="5B83B4"/>
            </a:gs>
            <a:gs pos="100000">
              <a:schemeClr val="tx2">
                <a:lumMod val="40000"/>
                <a:lumOff val="60000"/>
              </a:schemeClr>
            </a:gs>
            <a:gs pos="100000">
              <a:schemeClr val="accent1">
                <a:lumMod val="60000"/>
                <a:lumOff val="4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4</xdr:col>
      <xdr:colOff>589731</xdr:colOff>
      <xdr:row>14</xdr:row>
      <xdr:rowOff>106684</xdr:rowOff>
    </xdr:from>
    <xdr:to>
      <xdr:col>10</xdr:col>
      <xdr:colOff>519817</xdr:colOff>
      <xdr:row>16</xdr:row>
      <xdr:rowOff>86322</xdr:rowOff>
    </xdr:to>
    <xdr:sp macro="" textlink="">
      <xdr:nvSpPr>
        <xdr:cNvPr id="37" name="Rectángulo 36">
          <a:extLst>
            <a:ext uri="{FF2B5EF4-FFF2-40B4-BE49-F238E27FC236}">
              <a16:creationId xmlns:a16="http://schemas.microsoft.com/office/drawing/2014/main" id="{7D52F14F-5B8B-47DE-8A65-C3EC10CA4004}"/>
            </a:ext>
          </a:extLst>
        </xdr:cNvPr>
        <xdr:cNvSpPr/>
      </xdr:nvSpPr>
      <xdr:spPr>
        <a:xfrm>
          <a:off x="4917891" y="2667004"/>
          <a:ext cx="6422326"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CAPACITADOS POR TIPO</a:t>
          </a:r>
          <a:r>
            <a:rPr lang="es-PE" sz="2000" baseline="0">
              <a:latin typeface="Algerian" panose="04020705040A02060702" pitchFamily="82" charset="0"/>
            </a:rPr>
            <a:t> DE CAPACITACIÓN</a:t>
          </a:r>
          <a:endParaRPr lang="es-PE" sz="2000">
            <a:latin typeface="Algerian" panose="04020705040A02060702" pitchFamily="82" charset="0"/>
          </a:endParaRPr>
        </a:p>
      </xdr:txBody>
    </xdr:sp>
    <xdr:clientData/>
  </xdr:twoCellAnchor>
  <xdr:twoCellAnchor>
    <xdr:from>
      <xdr:col>18</xdr:col>
      <xdr:colOff>586154</xdr:colOff>
      <xdr:row>14</xdr:row>
      <xdr:rowOff>105507</xdr:rowOff>
    </xdr:from>
    <xdr:to>
      <xdr:col>24</xdr:col>
      <xdr:colOff>488641</xdr:colOff>
      <xdr:row>16</xdr:row>
      <xdr:rowOff>76033</xdr:rowOff>
    </xdr:to>
    <xdr:sp macro="" textlink="">
      <xdr:nvSpPr>
        <xdr:cNvPr id="61" name="Rectángulo 60">
          <a:extLst>
            <a:ext uri="{FF2B5EF4-FFF2-40B4-BE49-F238E27FC236}">
              <a16:creationId xmlns:a16="http://schemas.microsoft.com/office/drawing/2014/main" id="{4AC29038-1F6F-49DF-A34D-5F1B077351AE}"/>
            </a:ext>
          </a:extLst>
        </xdr:cNvPr>
        <xdr:cNvSpPr/>
      </xdr:nvSpPr>
      <xdr:spPr>
        <a:xfrm>
          <a:off x="20105077" y="2649415"/>
          <a:ext cx="6408795" cy="333941"/>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MUJERES</a:t>
          </a:r>
        </a:p>
      </xdr:txBody>
    </xdr:sp>
    <xdr:clientData/>
  </xdr:twoCellAnchor>
  <xdr:twoCellAnchor>
    <xdr:from>
      <xdr:col>4</xdr:col>
      <xdr:colOff>591662</xdr:colOff>
      <xdr:row>40</xdr:row>
      <xdr:rowOff>73057</xdr:rowOff>
    </xdr:from>
    <xdr:to>
      <xdr:col>18</xdr:col>
      <xdr:colOff>310054</xdr:colOff>
      <xdr:row>42</xdr:row>
      <xdr:rowOff>175381</xdr:rowOff>
    </xdr:to>
    <xdr:sp macro="" textlink="">
      <xdr:nvSpPr>
        <xdr:cNvPr id="70" name="Rectángulo 69">
          <a:extLst>
            <a:ext uri="{FF2B5EF4-FFF2-40B4-BE49-F238E27FC236}">
              <a16:creationId xmlns:a16="http://schemas.microsoft.com/office/drawing/2014/main" id="{69878B5E-469A-436C-B352-2A72B2842FE4}"/>
            </a:ext>
          </a:extLst>
        </xdr:cNvPr>
        <xdr:cNvSpPr/>
      </xdr:nvSpPr>
      <xdr:spPr>
        <a:xfrm>
          <a:off x="4914280" y="7277421"/>
          <a:ext cx="14847556" cy="462542"/>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REGISTRO DE TRABAJADORES</a:t>
          </a:r>
          <a:r>
            <a:rPr lang="es-PE" sz="2400" baseline="0">
              <a:latin typeface="Algerian" panose="04020705040A02060702" pitchFamily="82" charset="0"/>
            </a:rPr>
            <a:t> Y EMOS</a:t>
          </a:r>
          <a:endParaRPr lang="es-PE" sz="2400">
            <a:latin typeface="Algerian" panose="04020705040A02060702" pitchFamily="82" charset="0"/>
          </a:endParaRPr>
        </a:p>
      </xdr:txBody>
    </xdr:sp>
    <xdr:clientData/>
  </xdr:twoCellAnchor>
  <xdr:twoCellAnchor>
    <xdr:from>
      <xdr:col>10</xdr:col>
      <xdr:colOff>1022018</xdr:colOff>
      <xdr:row>14</xdr:row>
      <xdr:rowOff>107563</xdr:rowOff>
    </xdr:from>
    <xdr:to>
      <xdr:col>18</xdr:col>
      <xdr:colOff>331176</xdr:colOff>
      <xdr:row>16</xdr:row>
      <xdr:rowOff>87201</xdr:rowOff>
    </xdr:to>
    <xdr:sp macro="" textlink="">
      <xdr:nvSpPr>
        <xdr:cNvPr id="72" name="Rectángulo 71">
          <a:extLst>
            <a:ext uri="{FF2B5EF4-FFF2-40B4-BE49-F238E27FC236}">
              <a16:creationId xmlns:a16="http://schemas.microsoft.com/office/drawing/2014/main" id="{79D4DF95-D67D-40ED-ACF3-0EE06A050AA9}"/>
            </a:ext>
          </a:extLst>
        </xdr:cNvPr>
        <xdr:cNvSpPr/>
      </xdr:nvSpPr>
      <xdr:spPr>
        <a:xfrm>
          <a:off x="11842418" y="2667883"/>
          <a:ext cx="7965478" cy="345398"/>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 DE TRABAJADORES POR ÁREA</a:t>
          </a:r>
          <a:r>
            <a:rPr lang="es-PE" sz="2000" baseline="0">
              <a:latin typeface="Algerian" panose="04020705040A02060702" pitchFamily="82" charset="0"/>
            </a:rPr>
            <a:t> DE TRABAJO</a:t>
          </a:r>
          <a:endParaRPr lang="es-PE" sz="2000">
            <a:latin typeface="Algerian" panose="04020705040A02060702" pitchFamily="82" charset="0"/>
          </a:endParaRPr>
        </a:p>
      </xdr:txBody>
    </xdr:sp>
    <xdr:clientData/>
  </xdr:twoCellAnchor>
  <xdr:twoCellAnchor>
    <xdr:from>
      <xdr:col>4</xdr:col>
      <xdr:colOff>632926</xdr:colOff>
      <xdr:row>1</xdr:row>
      <xdr:rowOff>82388</xdr:rowOff>
    </xdr:from>
    <xdr:to>
      <xdr:col>8</xdr:col>
      <xdr:colOff>853713</xdr:colOff>
      <xdr:row>13</xdr:row>
      <xdr:rowOff>0</xdr:rowOff>
    </xdr:to>
    <xdr:grpSp>
      <xdr:nvGrpSpPr>
        <xdr:cNvPr id="75" name="Grupo 74">
          <a:extLst>
            <a:ext uri="{FF2B5EF4-FFF2-40B4-BE49-F238E27FC236}">
              <a16:creationId xmlns:a16="http://schemas.microsoft.com/office/drawing/2014/main" id="{D4DFB5C7-F32C-3FE9-6AAD-3FD63763092F}"/>
            </a:ext>
          </a:extLst>
        </xdr:cNvPr>
        <xdr:cNvGrpSpPr/>
      </xdr:nvGrpSpPr>
      <xdr:grpSpPr>
        <a:xfrm>
          <a:off x="4947627" y="260518"/>
          <a:ext cx="4535489" cy="2055170"/>
          <a:chOff x="4599029" y="268658"/>
          <a:chExt cx="4540995" cy="2143238"/>
        </a:xfrm>
      </xdr:grpSpPr>
      <xdr:sp macro="" textlink="">
        <xdr:nvSpPr>
          <xdr:cNvPr id="7" name="Rectángulo: esquinas redondeadas 6">
            <a:extLst>
              <a:ext uri="{FF2B5EF4-FFF2-40B4-BE49-F238E27FC236}">
                <a16:creationId xmlns:a16="http://schemas.microsoft.com/office/drawing/2014/main" id="{717E0A6F-A4F9-D7AF-73A6-19813887573B}"/>
              </a:ext>
            </a:extLst>
          </xdr:cNvPr>
          <xdr:cNvSpPr/>
        </xdr:nvSpPr>
        <xdr:spPr>
          <a:xfrm>
            <a:off x="4846681" y="268658"/>
            <a:ext cx="4213573"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8" name="CuadroTexto 7">
            <a:extLst>
              <a:ext uri="{FF2B5EF4-FFF2-40B4-BE49-F238E27FC236}">
                <a16:creationId xmlns:a16="http://schemas.microsoft.com/office/drawing/2014/main" id="{DAB3EC57-35AA-7634-B706-5B12D83A42F5}"/>
              </a:ext>
            </a:extLst>
          </xdr:cNvPr>
          <xdr:cNvSpPr txBox="1"/>
        </xdr:nvSpPr>
        <xdr:spPr>
          <a:xfrm>
            <a:off x="4599029" y="418977"/>
            <a:ext cx="3970984" cy="8413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spAutoFit/>
          </a:bodyPr>
          <a:lstStyle/>
          <a:p>
            <a:pPr algn="ctr"/>
            <a:r>
              <a:rPr lang="es-PE" sz="2400">
                <a:ln>
                  <a:noFill/>
                </a:ln>
                <a:latin typeface="Algerian" panose="04020705040A02060702" pitchFamily="82" charset="0"/>
              </a:rPr>
              <a:t>TRABAJADORES INGRESADOS</a:t>
            </a:r>
          </a:p>
        </xdr:txBody>
      </xdr:sp>
      <xdr:sp macro="" textlink="STATS!G7">
        <xdr:nvSpPr>
          <xdr:cNvPr id="10" name="CuadroTexto 9">
            <a:extLst>
              <a:ext uri="{FF2B5EF4-FFF2-40B4-BE49-F238E27FC236}">
                <a16:creationId xmlns:a16="http://schemas.microsoft.com/office/drawing/2014/main" id="{0BA19B66-DAD1-4EEB-BDEB-70D70B5A6E64}"/>
              </a:ext>
            </a:extLst>
          </xdr:cNvPr>
          <xdr:cNvSpPr txBox="1"/>
        </xdr:nvSpPr>
        <xdr:spPr>
          <a:xfrm>
            <a:off x="6164874" y="1187056"/>
            <a:ext cx="788595" cy="66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5B3E592-1708-4A4B-B96F-DB0CDB2C3326}" type="TxLink">
              <a:rPr lang="en-US" sz="6000" b="0" i="0" u="none" strike="noStrike">
                <a:solidFill>
                  <a:srgbClr val="000000"/>
                </a:solidFill>
                <a:latin typeface="Algerian" panose="04020705040A02060702" pitchFamily="82" charset="0"/>
                <a:ea typeface="Calibri"/>
                <a:cs typeface="Calibri"/>
              </a:rPr>
              <a:pPr algn="ctr"/>
              <a:t>24</a:t>
            </a:fld>
            <a:endParaRPr lang="es-PE" sz="6000">
              <a:latin typeface="Algerian" panose="04020705040A02060702" pitchFamily="82" charset="0"/>
            </a:endParaRPr>
          </a:p>
        </xdr:txBody>
      </xdr:sp>
      <xdr:pic>
        <xdr:nvPicPr>
          <xdr:cNvPr id="74" name="Gráfico 73" descr="Hombre trabajador de la construcción con relleno sólido">
            <a:extLst>
              <a:ext uri="{FF2B5EF4-FFF2-40B4-BE49-F238E27FC236}">
                <a16:creationId xmlns:a16="http://schemas.microsoft.com/office/drawing/2014/main" id="{9CF5B0DA-D4DE-FBB9-A9A3-F8C5283E4A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732644" y="702365"/>
            <a:ext cx="1407380" cy="1407380"/>
          </a:xfrm>
          <a:prstGeom prst="rect">
            <a:avLst/>
          </a:prstGeom>
        </xdr:spPr>
      </xdr:pic>
    </xdr:grpSp>
    <xdr:clientData/>
  </xdr:twoCellAnchor>
  <xdr:twoCellAnchor>
    <xdr:from>
      <xdr:col>9</xdr:col>
      <xdr:colOff>178474</xdr:colOff>
      <xdr:row>1</xdr:row>
      <xdr:rowOff>83128</xdr:rowOff>
    </xdr:from>
    <xdr:to>
      <xdr:col>12</xdr:col>
      <xdr:colOff>952307</xdr:colOff>
      <xdr:row>13</xdr:row>
      <xdr:rowOff>0</xdr:rowOff>
    </xdr:to>
    <xdr:grpSp>
      <xdr:nvGrpSpPr>
        <xdr:cNvPr id="78" name="Grupo 77">
          <a:extLst>
            <a:ext uri="{FF2B5EF4-FFF2-40B4-BE49-F238E27FC236}">
              <a16:creationId xmlns:a16="http://schemas.microsoft.com/office/drawing/2014/main" id="{01BF6730-CF92-A64D-EC9C-D9419C8AE376}"/>
            </a:ext>
          </a:extLst>
        </xdr:cNvPr>
        <xdr:cNvGrpSpPr/>
      </xdr:nvGrpSpPr>
      <xdr:grpSpPr>
        <a:xfrm>
          <a:off x="9886552" y="261258"/>
          <a:ext cx="4009859" cy="2054430"/>
          <a:chOff x="9270486" y="268658"/>
          <a:chExt cx="4008192" cy="2143238"/>
        </a:xfrm>
      </xdr:grpSpPr>
      <xdr:sp macro="" textlink="">
        <xdr:nvSpPr>
          <xdr:cNvPr id="12" name="Rectángulo: esquinas redondeadas 11">
            <a:extLst>
              <a:ext uri="{FF2B5EF4-FFF2-40B4-BE49-F238E27FC236}">
                <a16:creationId xmlns:a16="http://schemas.microsoft.com/office/drawing/2014/main" id="{0979A136-52C4-04D6-109F-C067672085E7}"/>
              </a:ext>
            </a:extLst>
          </xdr:cNvPr>
          <xdr:cNvSpPr/>
        </xdr:nvSpPr>
        <xdr:spPr>
          <a:xfrm>
            <a:off x="9277112" y="268658"/>
            <a:ext cx="3972404" cy="2143238"/>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3" name="CuadroTexto 12">
            <a:extLst>
              <a:ext uri="{FF2B5EF4-FFF2-40B4-BE49-F238E27FC236}">
                <a16:creationId xmlns:a16="http://schemas.microsoft.com/office/drawing/2014/main" id="{3C8454AF-F970-3345-1E85-6FC9632ACF89}"/>
              </a:ext>
            </a:extLst>
          </xdr:cNvPr>
          <xdr:cNvSpPr txBox="1"/>
        </xdr:nvSpPr>
        <xdr:spPr>
          <a:xfrm>
            <a:off x="9270486" y="452959"/>
            <a:ext cx="3332118" cy="66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800">
                <a:latin typeface="Algerian" panose="04020705040A02060702" pitchFamily="82" charset="0"/>
              </a:rPr>
              <a:t>TRABAJADORES ACTIVOS</a:t>
            </a:r>
          </a:p>
        </xdr:txBody>
      </xdr:sp>
      <xdr:sp macro="" textlink="STATS!H7">
        <xdr:nvSpPr>
          <xdr:cNvPr id="14" name="CuadroTexto 13">
            <a:extLst>
              <a:ext uri="{FF2B5EF4-FFF2-40B4-BE49-F238E27FC236}">
                <a16:creationId xmlns:a16="http://schemas.microsoft.com/office/drawing/2014/main" id="{A49A6409-C92F-02F3-8B12-1005862FD638}"/>
              </a:ext>
            </a:extLst>
          </xdr:cNvPr>
          <xdr:cNvSpPr txBox="1"/>
        </xdr:nvSpPr>
        <xdr:spPr>
          <a:xfrm>
            <a:off x="10617881" y="1122027"/>
            <a:ext cx="744826" cy="668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601364CC-0EB6-47AD-BCA2-D27243BAD6E7}" type="TxLink">
              <a:rPr lang="en-US" sz="6000" b="0" i="0" u="none" strike="noStrike">
                <a:solidFill>
                  <a:srgbClr val="000000"/>
                </a:solidFill>
                <a:latin typeface="Algerian" panose="04020705040A02060702" pitchFamily="82" charset="0"/>
                <a:ea typeface="Calibri"/>
                <a:cs typeface="Calibri"/>
              </a:rPr>
              <a:pPr algn="ctr"/>
              <a:t>41</a:t>
            </a:fld>
            <a:endParaRPr lang="es-PE" sz="6000">
              <a:latin typeface="Algerian" panose="04020705040A02060702" pitchFamily="82" charset="0"/>
            </a:endParaRPr>
          </a:p>
        </xdr:txBody>
      </xdr:sp>
      <xdr:pic>
        <xdr:nvPicPr>
          <xdr:cNvPr id="77" name="Gráfico 76" descr="Mujer trabajadora de la construcción con relleno sólido">
            <a:extLst>
              <a:ext uri="{FF2B5EF4-FFF2-40B4-BE49-F238E27FC236}">
                <a16:creationId xmlns:a16="http://schemas.microsoft.com/office/drawing/2014/main" id="{607CE805-2048-858F-76F9-F678037F0B0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926957" y="781879"/>
            <a:ext cx="1351721" cy="1351721"/>
          </a:xfrm>
          <a:prstGeom prst="rect">
            <a:avLst/>
          </a:prstGeom>
        </xdr:spPr>
      </xdr:pic>
    </xdr:grpSp>
    <xdr:clientData/>
  </xdr:twoCellAnchor>
  <xdr:twoCellAnchor>
    <xdr:from>
      <xdr:col>17</xdr:col>
      <xdr:colOff>1008205</xdr:colOff>
      <xdr:row>1</xdr:row>
      <xdr:rowOff>95807</xdr:rowOff>
    </xdr:from>
    <xdr:to>
      <xdr:col>21</xdr:col>
      <xdr:colOff>901333</xdr:colOff>
      <xdr:row>13</xdr:row>
      <xdr:rowOff>12679</xdr:rowOff>
    </xdr:to>
    <xdr:grpSp>
      <xdr:nvGrpSpPr>
        <xdr:cNvPr id="87" name="Grupo 86">
          <a:extLst>
            <a:ext uri="{FF2B5EF4-FFF2-40B4-BE49-F238E27FC236}">
              <a16:creationId xmlns:a16="http://schemas.microsoft.com/office/drawing/2014/main" id="{A1F1C7EA-7BAA-363E-1E5A-52113B2093BE}"/>
            </a:ext>
          </a:extLst>
        </xdr:cNvPr>
        <xdr:cNvGrpSpPr/>
      </xdr:nvGrpSpPr>
      <xdr:grpSpPr>
        <a:xfrm>
          <a:off x="19345686" y="273937"/>
          <a:ext cx="4207829" cy="2054430"/>
          <a:chOff x="17998566" y="275101"/>
          <a:chExt cx="4232045" cy="2068402"/>
        </a:xfrm>
      </xdr:grpSpPr>
      <xdr:sp macro="" textlink="">
        <xdr:nvSpPr>
          <xdr:cNvPr id="27" name="Rectángulo: esquinas redondeadas 26">
            <a:extLst>
              <a:ext uri="{FF2B5EF4-FFF2-40B4-BE49-F238E27FC236}">
                <a16:creationId xmlns:a16="http://schemas.microsoft.com/office/drawing/2014/main" id="{C059652F-63EB-3064-2D60-B661D06F42F7}"/>
              </a:ext>
            </a:extLst>
          </xdr:cNvPr>
          <xdr:cNvSpPr/>
        </xdr:nvSpPr>
        <xdr:spPr>
          <a:xfrm>
            <a:off x="17998566" y="275101"/>
            <a:ext cx="4232045"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8" name="CuadroTexto 27">
            <a:extLst>
              <a:ext uri="{FF2B5EF4-FFF2-40B4-BE49-F238E27FC236}">
                <a16:creationId xmlns:a16="http://schemas.microsoft.com/office/drawing/2014/main" id="{320493AD-B0A6-DA36-45FD-2507AC5C41F7}"/>
              </a:ext>
            </a:extLst>
          </xdr:cNvPr>
          <xdr:cNvSpPr txBox="1"/>
        </xdr:nvSpPr>
        <xdr:spPr>
          <a:xfrm>
            <a:off x="18036540" y="514449"/>
            <a:ext cx="3469790"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VENCIDOS</a:t>
            </a:r>
          </a:p>
        </xdr:txBody>
      </xdr:sp>
      <xdr:sp macro="" textlink="STATS!J5">
        <xdr:nvSpPr>
          <xdr:cNvPr id="29" name="CuadroTexto 28">
            <a:extLst>
              <a:ext uri="{FF2B5EF4-FFF2-40B4-BE49-F238E27FC236}">
                <a16:creationId xmlns:a16="http://schemas.microsoft.com/office/drawing/2014/main" id="{75476128-DDE6-BAE6-D933-75361C8CE09B}"/>
              </a:ext>
            </a:extLst>
          </xdr:cNvPr>
          <xdr:cNvSpPr txBox="1"/>
        </xdr:nvSpPr>
        <xdr:spPr>
          <a:xfrm>
            <a:off x="19321081" y="1101061"/>
            <a:ext cx="793508"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7C26E1D-B373-4FF0-B11F-ECC2F3FD74CF}" type="TxLink">
              <a:rPr lang="en-US" sz="6000" b="0" i="0" u="none" strike="noStrike">
                <a:solidFill>
                  <a:srgbClr val="000000"/>
                </a:solidFill>
                <a:latin typeface="Algerian" panose="04020705040A02060702" pitchFamily="82" charset="0"/>
                <a:ea typeface="Calibri"/>
                <a:cs typeface="Calibri"/>
              </a:rPr>
              <a:pPr algn="ctr"/>
              <a:t>8</a:t>
            </a:fld>
            <a:endParaRPr lang="es-PE" sz="6000">
              <a:latin typeface="Algerian" panose="04020705040A02060702" pitchFamily="82" charset="0"/>
            </a:endParaRPr>
          </a:p>
        </xdr:txBody>
      </xdr:sp>
      <xdr:pic>
        <xdr:nvPicPr>
          <xdr:cNvPr id="80" name="Gráfico 79" descr="Portapapeles mezclado con relleno sólido">
            <a:extLst>
              <a:ext uri="{FF2B5EF4-FFF2-40B4-BE49-F238E27FC236}">
                <a16:creationId xmlns:a16="http://schemas.microsoft.com/office/drawing/2014/main" id="{27F817DE-242B-1C1E-E4DB-19C189D4544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0998927" y="910201"/>
            <a:ext cx="1170791" cy="1150044"/>
          </a:xfrm>
          <a:prstGeom prst="rect">
            <a:avLst/>
          </a:prstGeom>
        </xdr:spPr>
      </xdr:pic>
    </xdr:grpSp>
    <xdr:clientData/>
  </xdr:twoCellAnchor>
  <xdr:twoCellAnchor>
    <xdr:from>
      <xdr:col>22</xdr:col>
      <xdr:colOff>507875</xdr:colOff>
      <xdr:row>1</xdr:row>
      <xdr:rowOff>95807</xdr:rowOff>
    </xdr:from>
    <xdr:to>
      <xdr:col>26</xdr:col>
      <xdr:colOff>402091</xdr:colOff>
      <xdr:row>13</xdr:row>
      <xdr:rowOff>12679</xdr:rowOff>
    </xdr:to>
    <xdr:grpSp>
      <xdr:nvGrpSpPr>
        <xdr:cNvPr id="95" name="Grupo 94">
          <a:extLst>
            <a:ext uri="{FF2B5EF4-FFF2-40B4-BE49-F238E27FC236}">
              <a16:creationId xmlns:a16="http://schemas.microsoft.com/office/drawing/2014/main" id="{1FC28513-59DF-F9A0-551F-8C2D2073E9D5}"/>
            </a:ext>
          </a:extLst>
        </xdr:cNvPr>
        <xdr:cNvGrpSpPr/>
      </xdr:nvGrpSpPr>
      <xdr:grpSpPr>
        <a:xfrm>
          <a:off x="24238732" y="273937"/>
          <a:ext cx="4208917" cy="2054430"/>
          <a:chOff x="22488214" y="275101"/>
          <a:chExt cx="4233134" cy="2068402"/>
        </a:xfrm>
      </xdr:grpSpPr>
      <xdr:sp macro="" textlink="">
        <xdr:nvSpPr>
          <xdr:cNvPr id="32" name="Rectángulo: esquinas redondeadas 31">
            <a:extLst>
              <a:ext uri="{FF2B5EF4-FFF2-40B4-BE49-F238E27FC236}">
                <a16:creationId xmlns:a16="http://schemas.microsoft.com/office/drawing/2014/main" id="{95A1DB28-E4A7-577F-C700-EFCCD9D44A25}"/>
              </a:ext>
            </a:extLst>
          </xdr:cNvPr>
          <xdr:cNvSpPr/>
        </xdr:nvSpPr>
        <xdr:spPr>
          <a:xfrm>
            <a:off x="22488214" y="275101"/>
            <a:ext cx="4233134"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33" name="CuadroTexto 32">
            <a:extLst>
              <a:ext uri="{FF2B5EF4-FFF2-40B4-BE49-F238E27FC236}">
                <a16:creationId xmlns:a16="http://schemas.microsoft.com/office/drawing/2014/main" id="{516ED49F-E801-3CFD-8182-7196BF12A976}"/>
              </a:ext>
            </a:extLst>
          </xdr:cNvPr>
          <xdr:cNvSpPr txBox="1"/>
        </xdr:nvSpPr>
        <xdr:spPr>
          <a:xfrm>
            <a:off x="22488214" y="523309"/>
            <a:ext cx="3550822" cy="637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400">
                <a:latin typeface="Algerian" panose="04020705040A02060702" pitchFamily="82" charset="0"/>
              </a:rPr>
              <a:t>TOTAL SIN EMO</a:t>
            </a:r>
          </a:p>
        </xdr:txBody>
      </xdr:sp>
      <xdr:sp macro="" textlink="STATS!K5">
        <xdr:nvSpPr>
          <xdr:cNvPr id="34" name="CuadroTexto 33">
            <a:extLst>
              <a:ext uri="{FF2B5EF4-FFF2-40B4-BE49-F238E27FC236}">
                <a16:creationId xmlns:a16="http://schemas.microsoft.com/office/drawing/2014/main" id="{C2E7F821-DCA0-E5DB-4474-6EE6370B14AA}"/>
              </a:ext>
            </a:extLst>
          </xdr:cNvPr>
          <xdr:cNvSpPr txBox="1"/>
        </xdr:nvSpPr>
        <xdr:spPr>
          <a:xfrm>
            <a:off x="23818708" y="1107131"/>
            <a:ext cx="793714" cy="64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439C0195-BD0C-4CF4-BAB3-9D660E0089E1}" type="TxLink">
              <a:rPr lang="en-US" sz="6000" b="0" i="0" u="none" strike="noStrike">
                <a:solidFill>
                  <a:srgbClr val="000000"/>
                </a:solidFill>
                <a:latin typeface="Algerian" panose="04020705040A02060702" pitchFamily="82" charset="0"/>
                <a:ea typeface="Calibri"/>
                <a:cs typeface="Calibri"/>
              </a:rPr>
              <a:pPr algn="ctr"/>
              <a:t>0</a:t>
            </a:fld>
            <a:endParaRPr lang="es-PE" sz="6000">
              <a:latin typeface="Algerian" panose="04020705040A02060702" pitchFamily="82" charset="0"/>
            </a:endParaRPr>
          </a:p>
        </xdr:txBody>
      </xdr:sp>
      <xdr:pic>
        <xdr:nvPicPr>
          <xdr:cNvPr id="82" name="Gráfico 81" descr="Lista con relleno sólido">
            <a:extLst>
              <a:ext uri="{FF2B5EF4-FFF2-40B4-BE49-F238E27FC236}">
                <a16:creationId xmlns:a16="http://schemas.microsoft.com/office/drawing/2014/main" id="{45D9A590-5E11-9B6B-9E2B-45B6C51D2D2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344409" y="841756"/>
            <a:ext cx="1262837" cy="1236748"/>
          </a:xfrm>
          <a:prstGeom prst="rect">
            <a:avLst/>
          </a:prstGeom>
        </xdr:spPr>
      </xdr:pic>
    </xdr:grpSp>
    <xdr:clientData/>
  </xdr:twoCellAnchor>
  <xdr:twoCellAnchor>
    <xdr:from>
      <xdr:col>13</xdr:col>
      <xdr:colOff>501880</xdr:colOff>
      <xdr:row>1</xdr:row>
      <xdr:rowOff>95807</xdr:rowOff>
    </xdr:from>
    <xdr:to>
      <xdr:col>17</xdr:col>
      <xdr:colOff>396095</xdr:colOff>
      <xdr:row>13</xdr:row>
      <xdr:rowOff>12679</xdr:rowOff>
    </xdr:to>
    <xdr:grpSp>
      <xdr:nvGrpSpPr>
        <xdr:cNvPr id="86" name="Grupo 85">
          <a:extLst>
            <a:ext uri="{FF2B5EF4-FFF2-40B4-BE49-F238E27FC236}">
              <a16:creationId xmlns:a16="http://schemas.microsoft.com/office/drawing/2014/main" id="{C9D45EE4-7277-8292-E0D0-2156D7DE3713}"/>
            </a:ext>
          </a:extLst>
        </xdr:cNvPr>
        <xdr:cNvGrpSpPr/>
      </xdr:nvGrpSpPr>
      <xdr:grpSpPr>
        <a:xfrm>
          <a:off x="14524659" y="273937"/>
          <a:ext cx="4208917" cy="2054430"/>
          <a:chOff x="13555614" y="275101"/>
          <a:chExt cx="4233133" cy="2068402"/>
        </a:xfrm>
      </xdr:grpSpPr>
      <xdr:sp macro="" textlink="">
        <xdr:nvSpPr>
          <xdr:cNvPr id="22" name="Rectángulo: esquinas redondeadas 21">
            <a:extLst>
              <a:ext uri="{FF2B5EF4-FFF2-40B4-BE49-F238E27FC236}">
                <a16:creationId xmlns:a16="http://schemas.microsoft.com/office/drawing/2014/main" id="{C03F0153-1931-8A4B-9661-F5DBCFA94B60}"/>
              </a:ext>
            </a:extLst>
          </xdr:cNvPr>
          <xdr:cNvSpPr/>
        </xdr:nvSpPr>
        <xdr:spPr>
          <a:xfrm>
            <a:off x="13555614" y="275101"/>
            <a:ext cx="4233133" cy="206840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23" name="CuadroTexto 22">
            <a:extLst>
              <a:ext uri="{FF2B5EF4-FFF2-40B4-BE49-F238E27FC236}">
                <a16:creationId xmlns:a16="http://schemas.microsoft.com/office/drawing/2014/main" id="{211F6D6B-3EFD-D754-9DBE-1FFF392E278C}"/>
              </a:ext>
            </a:extLst>
          </xdr:cNvPr>
          <xdr:cNvSpPr txBox="1"/>
        </xdr:nvSpPr>
        <xdr:spPr>
          <a:xfrm>
            <a:off x="13555614" y="534241"/>
            <a:ext cx="3510297" cy="637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TOTAL EMOS VIGENTES</a:t>
            </a:r>
          </a:p>
        </xdr:txBody>
      </xdr:sp>
      <xdr:sp macro="" textlink="STATS!I5">
        <xdr:nvSpPr>
          <xdr:cNvPr id="24" name="CuadroTexto 23">
            <a:extLst>
              <a:ext uri="{FF2B5EF4-FFF2-40B4-BE49-F238E27FC236}">
                <a16:creationId xmlns:a16="http://schemas.microsoft.com/office/drawing/2014/main" id="{42150332-9E86-8F50-D42E-DF1E944C2645}"/>
              </a:ext>
            </a:extLst>
          </xdr:cNvPr>
          <xdr:cNvSpPr txBox="1"/>
        </xdr:nvSpPr>
        <xdr:spPr>
          <a:xfrm>
            <a:off x="14775782" y="1120468"/>
            <a:ext cx="1066411" cy="6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E4ACCDC6-5930-4CB5-95F9-FDDBA106CF1C}" type="TxLink">
              <a:rPr lang="en-US" sz="6000" b="0" i="0" u="none" strike="noStrike">
                <a:solidFill>
                  <a:srgbClr val="000000"/>
                </a:solidFill>
                <a:latin typeface="Algerian" panose="04020705040A02060702" pitchFamily="82" charset="0"/>
                <a:ea typeface="Calibri"/>
                <a:cs typeface="Calibri"/>
              </a:rPr>
              <a:pPr algn="ctr"/>
              <a:t>32</a:t>
            </a:fld>
            <a:endParaRPr lang="es-PE" sz="6000">
              <a:latin typeface="Algerian" panose="04020705040A02060702" pitchFamily="82" charset="0"/>
            </a:endParaRPr>
          </a:p>
        </xdr:txBody>
      </xdr:sp>
      <xdr:pic>
        <xdr:nvPicPr>
          <xdr:cNvPr id="84" name="Gráfico 83" descr="Lista de comprobación con relleno sólido">
            <a:extLst>
              <a:ext uri="{FF2B5EF4-FFF2-40B4-BE49-F238E27FC236}">
                <a16:creationId xmlns:a16="http://schemas.microsoft.com/office/drawing/2014/main" id="{CD82BB2A-F5B2-E675-45C6-8123CD2BF2D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513119" y="914400"/>
            <a:ext cx="1193536" cy="1137537"/>
          </a:xfrm>
          <a:prstGeom prst="rect">
            <a:avLst/>
          </a:prstGeom>
        </xdr:spPr>
      </xdr:pic>
    </xdr:grpSp>
    <xdr:clientData/>
  </xdr:twoCellAnchor>
  <xdr:twoCellAnchor>
    <xdr:from>
      <xdr:col>26</xdr:col>
      <xdr:colOff>931778</xdr:colOff>
      <xdr:row>1</xdr:row>
      <xdr:rowOff>104765</xdr:rowOff>
    </xdr:from>
    <xdr:to>
      <xdr:col>29</xdr:col>
      <xdr:colOff>1918628</xdr:colOff>
      <xdr:row>13</xdr:row>
      <xdr:rowOff>24109</xdr:rowOff>
    </xdr:to>
    <xdr:grpSp>
      <xdr:nvGrpSpPr>
        <xdr:cNvPr id="98" name="Grupo 97">
          <a:extLst>
            <a:ext uri="{FF2B5EF4-FFF2-40B4-BE49-F238E27FC236}">
              <a16:creationId xmlns:a16="http://schemas.microsoft.com/office/drawing/2014/main" id="{4F8CD1CC-24B6-7E1B-E61E-342844F8AD7F}"/>
            </a:ext>
          </a:extLst>
        </xdr:cNvPr>
        <xdr:cNvGrpSpPr/>
      </xdr:nvGrpSpPr>
      <xdr:grpSpPr>
        <a:xfrm>
          <a:off x="28977336" y="282895"/>
          <a:ext cx="4222876" cy="2056902"/>
          <a:chOff x="26458778" y="276215"/>
          <a:chExt cx="4244400" cy="2205344"/>
        </a:xfrm>
      </xdr:grpSpPr>
      <xdr:grpSp>
        <xdr:nvGrpSpPr>
          <xdr:cNvPr id="64" name="Grupo 63">
            <a:extLst>
              <a:ext uri="{FF2B5EF4-FFF2-40B4-BE49-F238E27FC236}">
                <a16:creationId xmlns:a16="http://schemas.microsoft.com/office/drawing/2014/main" id="{6C22C96E-8AF1-42BD-B429-6B4628789BDA}"/>
              </a:ext>
            </a:extLst>
          </xdr:cNvPr>
          <xdr:cNvGrpSpPr/>
        </xdr:nvGrpSpPr>
        <xdr:grpSpPr>
          <a:xfrm>
            <a:off x="26458778" y="276215"/>
            <a:ext cx="4244400" cy="2205344"/>
            <a:chOff x="25939335" y="286307"/>
            <a:chExt cx="4237615" cy="2202872"/>
          </a:xfrm>
        </xdr:grpSpPr>
        <xdr:sp macro="" textlink="">
          <xdr:nvSpPr>
            <xdr:cNvPr id="65" name="Rectángulo: esquinas redondeadas 64">
              <a:extLst>
                <a:ext uri="{FF2B5EF4-FFF2-40B4-BE49-F238E27FC236}">
                  <a16:creationId xmlns:a16="http://schemas.microsoft.com/office/drawing/2014/main" id="{FC09ED8B-40BA-9BCA-8BA1-E57861EE3886}"/>
                </a:ext>
              </a:extLst>
            </xdr:cNvPr>
            <xdr:cNvSpPr/>
          </xdr:nvSpPr>
          <xdr:spPr>
            <a:xfrm>
              <a:off x="25939335" y="286307"/>
              <a:ext cx="4237615"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66" name="CuadroTexto 65">
              <a:extLst>
                <a:ext uri="{FF2B5EF4-FFF2-40B4-BE49-F238E27FC236}">
                  <a16:creationId xmlns:a16="http://schemas.microsoft.com/office/drawing/2014/main" id="{0991E179-4017-C239-08DB-C877FD9E4FA2}"/>
                </a:ext>
              </a:extLst>
            </xdr:cNvPr>
            <xdr:cNvSpPr txBox="1"/>
          </xdr:nvSpPr>
          <xdr:spPr>
            <a:xfrm>
              <a:off x="26188258" y="778995"/>
              <a:ext cx="3005088" cy="3350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1600">
                  <a:latin typeface="Algerian" panose="04020705040A02060702" pitchFamily="82" charset="0"/>
                </a:rPr>
                <a:t>% EMOS ENTREGADOS AL MES</a:t>
              </a:r>
            </a:p>
          </xdr:txBody>
        </xdr:sp>
        <xdr:sp macro="" textlink="STATS!K7">
          <xdr:nvSpPr>
            <xdr:cNvPr id="67" name="CuadroTexto 66">
              <a:extLst>
                <a:ext uri="{FF2B5EF4-FFF2-40B4-BE49-F238E27FC236}">
                  <a16:creationId xmlns:a16="http://schemas.microsoft.com/office/drawing/2014/main" id="{EB3B4488-AB38-7E5F-ADDD-BC409D03A835}"/>
                </a:ext>
              </a:extLst>
            </xdr:cNvPr>
            <xdr:cNvSpPr txBox="1"/>
          </xdr:nvSpPr>
          <xdr:spPr>
            <a:xfrm>
              <a:off x="26661918" y="1234457"/>
              <a:ext cx="1846725" cy="715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961F38FE-7ADC-49AC-8427-A8397A27A17C}" type="TxLink">
                <a:rPr lang="en-US" sz="6000" b="0" i="0" u="none" strike="noStrike">
                  <a:solidFill>
                    <a:srgbClr val="000000"/>
                  </a:solidFill>
                  <a:latin typeface="Algerian" panose="04020705040A02060702" pitchFamily="82" charset="0"/>
                  <a:ea typeface="Calibri"/>
                  <a:cs typeface="Calibri"/>
                </a:rPr>
                <a:pPr algn="ctr"/>
                <a:t>58%</a:t>
              </a:fld>
              <a:endParaRPr lang="es-PE" sz="6000">
                <a:latin typeface="Algerian" panose="04020705040A02060702" pitchFamily="82" charset="0"/>
              </a:endParaRPr>
            </a:p>
          </xdr:txBody>
        </xdr:sp>
      </xdr:grpSp>
      <xdr:pic>
        <xdr:nvPicPr>
          <xdr:cNvPr id="97" name="Gráfico 96" descr="Gráfico circular con relleno sólido">
            <a:extLst>
              <a:ext uri="{FF2B5EF4-FFF2-40B4-BE49-F238E27FC236}">
                <a16:creationId xmlns:a16="http://schemas.microsoft.com/office/drawing/2014/main" id="{56D67D25-E51B-7577-7DC8-FDD22C035C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9241750" y="1047750"/>
            <a:ext cx="1276350" cy="1276350"/>
          </a:xfrm>
          <a:prstGeom prst="rect">
            <a:avLst/>
          </a:prstGeom>
        </xdr:spPr>
      </xdr:pic>
    </xdr:grpSp>
    <xdr:clientData/>
  </xdr:twoCellAnchor>
  <xdr:twoCellAnchor>
    <xdr:from>
      <xdr:col>30</xdr:col>
      <xdr:colOff>321340</xdr:colOff>
      <xdr:row>1</xdr:row>
      <xdr:rowOff>95807</xdr:rowOff>
    </xdr:from>
    <xdr:to>
      <xdr:col>35</xdr:col>
      <xdr:colOff>548594</xdr:colOff>
      <xdr:row>13</xdr:row>
      <xdr:rowOff>12679</xdr:rowOff>
    </xdr:to>
    <xdr:grpSp>
      <xdr:nvGrpSpPr>
        <xdr:cNvPr id="101" name="Grupo 100">
          <a:extLst>
            <a:ext uri="{FF2B5EF4-FFF2-40B4-BE49-F238E27FC236}">
              <a16:creationId xmlns:a16="http://schemas.microsoft.com/office/drawing/2014/main" id="{CB6AB93B-8888-BBC8-44B7-9FD7E45E1867}"/>
            </a:ext>
          </a:extLst>
        </xdr:cNvPr>
        <xdr:cNvGrpSpPr/>
      </xdr:nvGrpSpPr>
      <xdr:grpSpPr>
        <a:xfrm>
          <a:off x="33710795" y="273937"/>
          <a:ext cx="4136215" cy="2054430"/>
          <a:chOff x="33925540" y="286307"/>
          <a:chExt cx="4227754" cy="2202872"/>
        </a:xfrm>
      </xdr:grpSpPr>
      <xdr:sp macro="" textlink="">
        <xdr:nvSpPr>
          <xdr:cNvPr id="17" name="Rectángulo: esquinas redondeadas 16">
            <a:extLst>
              <a:ext uri="{FF2B5EF4-FFF2-40B4-BE49-F238E27FC236}">
                <a16:creationId xmlns:a16="http://schemas.microsoft.com/office/drawing/2014/main" id="{981ADA74-DE86-0999-64B1-027BEEBA6E5A}"/>
              </a:ext>
            </a:extLst>
          </xdr:cNvPr>
          <xdr:cNvSpPr/>
        </xdr:nvSpPr>
        <xdr:spPr>
          <a:xfrm>
            <a:off x="33925540" y="286307"/>
            <a:ext cx="4227754" cy="2202872"/>
          </a:xfrm>
          <a:prstGeom prst="roundRect">
            <a:avLst/>
          </a:prstGeom>
          <a:gradFill flip="none" rotWithShape="1">
            <a:gsLst>
              <a:gs pos="0">
                <a:schemeClr val="tx2">
                  <a:lumMod val="75000"/>
                </a:schemeClr>
              </a:gs>
              <a:gs pos="46000">
                <a:schemeClr val="tx2">
                  <a:lumMod val="60000"/>
                  <a:lumOff val="40000"/>
                </a:schemeClr>
              </a:gs>
              <a:gs pos="100000">
                <a:schemeClr val="tx2">
                  <a:lumMod val="40000"/>
                  <a:lumOff val="60000"/>
                </a:schemeClr>
              </a:gs>
            </a:gsLst>
            <a:path path="rect">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sp macro="" textlink="">
        <xdr:nvSpPr>
          <xdr:cNvPr id="18" name="CuadroTexto 17">
            <a:extLst>
              <a:ext uri="{FF2B5EF4-FFF2-40B4-BE49-F238E27FC236}">
                <a16:creationId xmlns:a16="http://schemas.microsoft.com/office/drawing/2014/main" id="{1B662F64-B77E-D465-C80D-CCB89740BBA8}"/>
              </a:ext>
            </a:extLst>
          </xdr:cNvPr>
          <xdr:cNvSpPr txBox="1"/>
        </xdr:nvSpPr>
        <xdr:spPr>
          <a:xfrm>
            <a:off x="33925540" y="550651"/>
            <a:ext cx="3546309" cy="678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2000">
                <a:latin typeface="Algerian" panose="04020705040A02060702" pitchFamily="82" charset="0"/>
              </a:rPr>
              <a:t>EMOS REALIZADOS</a:t>
            </a:r>
          </a:p>
        </xdr:txBody>
      </xdr:sp>
      <xdr:sp macro="" textlink="STATS!I7">
        <xdr:nvSpPr>
          <xdr:cNvPr id="19" name="CuadroTexto 18">
            <a:extLst>
              <a:ext uri="{FF2B5EF4-FFF2-40B4-BE49-F238E27FC236}">
                <a16:creationId xmlns:a16="http://schemas.microsoft.com/office/drawing/2014/main" id="{13DAB6A8-F3E9-85CD-7ADB-2AB62519F94E}"/>
              </a:ext>
            </a:extLst>
          </xdr:cNvPr>
          <xdr:cNvSpPr txBox="1"/>
        </xdr:nvSpPr>
        <xdr:spPr>
          <a:xfrm>
            <a:off x="35153423" y="1093091"/>
            <a:ext cx="1016466" cy="954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034D1FBE-B938-4B85-A43B-0E46D0CF5718}" type="TxLink">
              <a:rPr lang="en-US" sz="6000" b="0" i="0" u="none" strike="noStrike">
                <a:solidFill>
                  <a:srgbClr val="000000"/>
                </a:solidFill>
                <a:latin typeface="Algerian" panose="04020705040A02060702" pitchFamily="82" charset="0"/>
                <a:ea typeface="Calibri"/>
                <a:cs typeface="Calibri"/>
              </a:rPr>
              <a:pPr algn="ctr"/>
              <a:t>23</a:t>
            </a:fld>
            <a:endParaRPr lang="es-PE" sz="6000">
              <a:latin typeface="Algerian" panose="04020705040A02060702" pitchFamily="82" charset="0"/>
            </a:endParaRPr>
          </a:p>
        </xdr:txBody>
      </xdr:sp>
      <xdr:pic>
        <xdr:nvPicPr>
          <xdr:cNvPr id="100" name="Gráfico 99" descr="Flecha: curva en sentido contrario de las agujas del reloj con relleno sólido">
            <a:extLst>
              <a:ext uri="{FF2B5EF4-FFF2-40B4-BE49-F238E27FC236}">
                <a16:creationId xmlns:a16="http://schemas.microsoft.com/office/drawing/2014/main" id="{F98A6B62-8915-BA07-F9B9-F3DE0D0775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6766500" y="933450"/>
            <a:ext cx="1314450" cy="1314450"/>
          </a:xfrm>
          <a:prstGeom prst="rect">
            <a:avLst/>
          </a:prstGeom>
        </xdr:spPr>
      </xdr:pic>
    </xdr:grpSp>
    <xdr:clientData/>
  </xdr:twoCellAnchor>
  <xdr:twoCellAnchor>
    <xdr:from>
      <xdr:col>4</xdr:col>
      <xdr:colOff>599089</xdr:colOff>
      <xdr:row>43</xdr:row>
      <xdr:rowOff>1</xdr:rowOff>
    </xdr:from>
    <xdr:to>
      <xdr:col>18</xdr:col>
      <xdr:colOff>310055</xdr:colOff>
      <xdr:row>76</xdr:row>
      <xdr:rowOff>138545</xdr:rowOff>
    </xdr:to>
    <xdr:graphicFrame macro="">
      <xdr:nvGraphicFramePr>
        <xdr:cNvPr id="102" name="Gráfico 101">
          <a:extLst>
            <a:ext uri="{FF2B5EF4-FFF2-40B4-BE49-F238E27FC236}">
              <a16:creationId xmlns:a16="http://schemas.microsoft.com/office/drawing/2014/main" id="{53E64A22-54B2-4557-865E-9F6C85A40F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549854</xdr:colOff>
      <xdr:row>16</xdr:row>
      <xdr:rowOff>87189</xdr:rowOff>
    </xdr:from>
    <xdr:to>
      <xdr:col>35</xdr:col>
      <xdr:colOff>641838</xdr:colOff>
      <xdr:row>55</xdr:row>
      <xdr:rowOff>87189</xdr:rowOff>
    </xdr:to>
    <xdr:grpSp>
      <xdr:nvGrpSpPr>
        <xdr:cNvPr id="112" name="Grupo 111">
          <a:extLst>
            <a:ext uri="{FF2B5EF4-FFF2-40B4-BE49-F238E27FC236}">
              <a16:creationId xmlns:a16="http://schemas.microsoft.com/office/drawing/2014/main" id="{BCA6ECDB-FB71-48DF-065A-13C8B7962D1F}"/>
            </a:ext>
            <a:ext uri="{147F2762-F138-4A5C-976F-8EAC2B608ADB}">
              <a16:predDERef xmlns:a16="http://schemas.microsoft.com/office/drawing/2014/main" pred="{53E64A22-54B2-4557-865E-9F6C85A40F16}"/>
            </a:ext>
          </a:extLst>
        </xdr:cNvPr>
        <xdr:cNvGrpSpPr/>
      </xdr:nvGrpSpPr>
      <xdr:grpSpPr>
        <a:xfrm>
          <a:off x="19966010" y="2937267"/>
          <a:ext cx="17974244" cy="6947065"/>
          <a:chOff x="20139116" y="3124200"/>
          <a:chExt cx="18151384" cy="7429500"/>
        </a:xfrm>
      </xdr:grpSpPr>
      <xdr:grpSp>
        <xdr:nvGrpSpPr>
          <xdr:cNvPr id="111" name="Grupo 110">
            <a:extLst>
              <a:ext uri="{FF2B5EF4-FFF2-40B4-BE49-F238E27FC236}">
                <a16:creationId xmlns:a16="http://schemas.microsoft.com/office/drawing/2014/main" id="{3967AC5A-C43F-A9B0-493D-406B127EE0BD}"/>
              </a:ext>
            </a:extLst>
          </xdr:cNvPr>
          <xdr:cNvGrpSpPr/>
        </xdr:nvGrpSpPr>
        <xdr:grpSpPr>
          <a:xfrm>
            <a:off x="20139116" y="3124200"/>
            <a:ext cx="18151384" cy="7429500"/>
            <a:chOff x="20139116" y="3124200"/>
            <a:chExt cx="18151384" cy="7429500"/>
          </a:xfrm>
        </xdr:grpSpPr>
        <xdr:grpSp>
          <xdr:nvGrpSpPr>
            <xdr:cNvPr id="104" name="Grupo 103">
              <a:extLst>
                <a:ext uri="{FF2B5EF4-FFF2-40B4-BE49-F238E27FC236}">
                  <a16:creationId xmlns:a16="http://schemas.microsoft.com/office/drawing/2014/main" id="{A0E8F8F9-E69E-3AFB-12C2-503BDDD27904}"/>
                </a:ext>
              </a:extLst>
            </xdr:cNvPr>
            <xdr:cNvGrpSpPr/>
          </xdr:nvGrpSpPr>
          <xdr:grpSpPr>
            <a:xfrm>
              <a:off x="20139116" y="3124200"/>
              <a:ext cx="18151384" cy="7429500"/>
              <a:chOff x="6063978" y="11748052"/>
              <a:chExt cx="9945811" cy="2743201"/>
            </a:xfrm>
          </xdr:grpSpPr>
          <xdr:graphicFrame macro="">
            <xdr:nvGraphicFramePr>
              <xdr:cNvPr id="107" name="Gráfico 106">
                <a:extLst>
                  <a:ext uri="{FF2B5EF4-FFF2-40B4-BE49-F238E27FC236}">
                    <a16:creationId xmlns:a16="http://schemas.microsoft.com/office/drawing/2014/main" id="{B0AD20CC-A714-CA02-97F7-504037C176C6}"/>
                  </a:ext>
                </a:extLst>
              </xdr:cNvPr>
              <xdr:cNvGraphicFramePr/>
            </xdr:nvGraphicFramePr>
            <xdr:xfrm>
              <a:off x="9527669" y="11748052"/>
              <a:ext cx="3058392" cy="274320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08" name="Gráfico 107">
                <a:extLst>
                  <a:ext uri="{FF2B5EF4-FFF2-40B4-BE49-F238E27FC236}">
                    <a16:creationId xmlns:a16="http://schemas.microsoft.com/office/drawing/2014/main" id="{B1F46B0F-4B2C-C51C-F0D3-33AA8BB4321C}"/>
                  </a:ext>
                </a:extLst>
              </xdr:cNvPr>
              <xdr:cNvGraphicFramePr/>
            </xdr:nvGraphicFramePr>
            <xdr:xfrm>
              <a:off x="12545393" y="11748053"/>
              <a:ext cx="3464396" cy="27432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109" name="Gráfico 108">
                <a:extLst>
                  <a:ext uri="{FF2B5EF4-FFF2-40B4-BE49-F238E27FC236}">
                    <a16:creationId xmlns:a16="http://schemas.microsoft.com/office/drawing/2014/main" id="{712F5C2E-C0C8-35C2-2215-F22911E31F81}"/>
                  </a:ext>
                </a:extLst>
              </xdr:cNvPr>
              <xdr:cNvGraphicFramePr/>
            </xdr:nvGraphicFramePr>
            <xdr:xfrm>
              <a:off x="6063978" y="11748052"/>
              <a:ext cx="3521766" cy="2743200"/>
            </xdr:xfrm>
            <a:graphic>
              <a:graphicData uri="http://schemas.openxmlformats.org/drawingml/2006/chart">
                <c:chart xmlns:c="http://schemas.openxmlformats.org/drawingml/2006/chart" xmlns:r="http://schemas.openxmlformats.org/officeDocument/2006/relationships" r:id="rId18"/>
              </a:graphicData>
            </a:graphic>
          </xdr:graphicFrame>
        </xdr:grpSp>
        <xdr:sp macro="" textlink="">
          <xdr:nvSpPr>
            <xdr:cNvPr id="106" name="Abrir llave 105">
              <a:extLst>
                <a:ext uri="{FF2B5EF4-FFF2-40B4-BE49-F238E27FC236}">
                  <a16:creationId xmlns:a16="http://schemas.microsoft.com/office/drawing/2014/main" id="{475EA353-890D-504F-4AD2-D793E65D9826}"/>
                </a:ext>
              </a:extLst>
            </xdr:cNvPr>
            <xdr:cNvSpPr/>
          </xdr:nvSpPr>
          <xdr:spPr>
            <a:xfrm rot="10800000">
              <a:off x="316991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sp macro="" textlink="">
        <xdr:nvSpPr>
          <xdr:cNvPr id="110" name="Abrir llave 109">
            <a:extLst>
              <a:ext uri="{FF2B5EF4-FFF2-40B4-BE49-F238E27FC236}">
                <a16:creationId xmlns:a16="http://schemas.microsoft.com/office/drawing/2014/main" id="{DA2D164A-C6C5-4A1E-B63C-4EDCCC53135B}"/>
              </a:ext>
            </a:extLst>
          </xdr:cNvPr>
          <xdr:cNvSpPr/>
        </xdr:nvSpPr>
        <xdr:spPr>
          <a:xfrm>
            <a:off x="26098499" y="4020552"/>
            <a:ext cx="702249" cy="5690559"/>
          </a:xfrm>
          <a:prstGeom prst="leftBrace">
            <a:avLst/>
          </a:prstGeom>
          <a:ln w="28575">
            <a:solidFill>
              <a:schemeClr val="tx1">
                <a:lumMod val="95000"/>
                <a:lumOff val="5000"/>
              </a:schemeClr>
            </a:solidFill>
            <a:prstDash val="sys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PE" sz="1100"/>
          </a:p>
        </xdr:txBody>
      </xdr:sp>
    </xdr:grpSp>
    <xdr:clientData/>
  </xdr:twoCellAnchor>
  <xdr:twoCellAnchor>
    <xdr:from>
      <xdr:col>29</xdr:col>
      <xdr:colOff>461465</xdr:colOff>
      <xdr:row>14</xdr:row>
      <xdr:rowOff>105507</xdr:rowOff>
    </xdr:from>
    <xdr:to>
      <xdr:col>35</xdr:col>
      <xdr:colOff>679939</xdr:colOff>
      <xdr:row>16</xdr:row>
      <xdr:rowOff>89888</xdr:rowOff>
    </xdr:to>
    <xdr:sp macro="" textlink="">
      <xdr:nvSpPr>
        <xdr:cNvPr id="113" name="Rectángulo 112">
          <a:extLst>
            <a:ext uri="{FF2B5EF4-FFF2-40B4-BE49-F238E27FC236}">
              <a16:creationId xmlns:a16="http://schemas.microsoft.com/office/drawing/2014/main" id="{23E6027E-A504-43A1-8021-21441C1E3DDE}"/>
            </a:ext>
          </a:extLst>
        </xdr:cNvPr>
        <xdr:cNvSpPr/>
      </xdr:nvSpPr>
      <xdr:spPr>
        <a:xfrm>
          <a:off x="31908619" y="2649415"/>
          <a:ext cx="6285166" cy="347796"/>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HOMBRES</a:t>
          </a:r>
        </a:p>
      </xdr:txBody>
    </xdr:sp>
    <xdr:clientData/>
  </xdr:twoCellAnchor>
  <xdr:twoCellAnchor>
    <xdr:from>
      <xdr:col>24</xdr:col>
      <xdr:colOff>489175</xdr:colOff>
      <xdr:row>14</xdr:row>
      <xdr:rowOff>105507</xdr:rowOff>
    </xdr:from>
    <xdr:to>
      <xdr:col>29</xdr:col>
      <xdr:colOff>484909</xdr:colOff>
      <xdr:row>16</xdr:row>
      <xdr:rowOff>81897</xdr:rowOff>
    </xdr:to>
    <xdr:sp macro="" textlink="">
      <xdr:nvSpPr>
        <xdr:cNvPr id="114" name="Rectángulo 113">
          <a:extLst>
            <a:ext uri="{FF2B5EF4-FFF2-40B4-BE49-F238E27FC236}">
              <a16:creationId xmlns:a16="http://schemas.microsoft.com/office/drawing/2014/main" id="{A96B3AFD-9A92-44A9-A908-35077602C405}"/>
            </a:ext>
          </a:extLst>
        </xdr:cNvPr>
        <xdr:cNvSpPr/>
      </xdr:nvSpPr>
      <xdr:spPr>
        <a:xfrm>
          <a:off x="26514406" y="2649415"/>
          <a:ext cx="5417657" cy="339805"/>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400">
              <a:latin typeface="Algerian" panose="04020705040A02060702" pitchFamily="82" charset="0"/>
            </a:rPr>
            <a:t>APTITUD DE TRABAJADORES</a:t>
          </a:r>
        </a:p>
      </xdr:txBody>
    </xdr:sp>
    <xdr:clientData/>
  </xdr:twoCellAnchor>
  <xdr:twoCellAnchor>
    <xdr:from>
      <xdr:col>18</xdr:col>
      <xdr:colOff>590550</xdr:colOff>
      <xdr:row>55</xdr:row>
      <xdr:rowOff>152400</xdr:rowOff>
    </xdr:from>
    <xdr:to>
      <xdr:col>35</xdr:col>
      <xdr:colOff>704850</xdr:colOff>
      <xdr:row>76</xdr:row>
      <xdr:rowOff>152400</xdr:rowOff>
    </xdr:to>
    <xdr:grpSp>
      <xdr:nvGrpSpPr>
        <xdr:cNvPr id="15" name="Grupo 14">
          <a:extLst>
            <a:ext uri="{FF2B5EF4-FFF2-40B4-BE49-F238E27FC236}">
              <a16:creationId xmlns:a16="http://schemas.microsoft.com/office/drawing/2014/main" id="{AE3E3829-658B-E24B-AE02-A07B61577B8C}"/>
            </a:ext>
          </a:extLst>
        </xdr:cNvPr>
        <xdr:cNvGrpSpPr/>
      </xdr:nvGrpSpPr>
      <xdr:grpSpPr>
        <a:xfrm>
          <a:off x="20006706" y="9949543"/>
          <a:ext cx="17996560" cy="3740727"/>
          <a:chOff x="19792950" y="10648950"/>
          <a:chExt cx="17849850" cy="4000500"/>
        </a:xfrm>
      </xdr:grpSpPr>
      <xdr:sp macro="" textlink="">
        <xdr:nvSpPr>
          <xdr:cNvPr id="39" name="Rectángulo 38">
            <a:extLst>
              <a:ext uri="{FF2B5EF4-FFF2-40B4-BE49-F238E27FC236}">
                <a16:creationId xmlns:a16="http://schemas.microsoft.com/office/drawing/2014/main" id="{2926C5FF-FBE3-FCD2-1B92-6BC09EEC5506}"/>
              </a:ext>
            </a:extLst>
          </xdr:cNvPr>
          <xdr:cNvSpPr/>
        </xdr:nvSpPr>
        <xdr:spPr>
          <a:xfrm>
            <a:off x="19812000" y="10648950"/>
            <a:ext cx="17811750" cy="317377"/>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NÚMERO</a:t>
            </a:r>
            <a:r>
              <a:rPr lang="es-PE" sz="2000" baseline="0">
                <a:latin typeface="Algerian" panose="04020705040A02060702" pitchFamily="82" charset="0"/>
              </a:rPr>
              <a:t> DE CAPACITACIONES POR MES</a:t>
            </a:r>
            <a:endParaRPr lang="es-PE" sz="2000">
              <a:latin typeface="Algerian" panose="04020705040A02060702" pitchFamily="82" charset="0"/>
            </a:endParaRPr>
          </a:p>
        </xdr:txBody>
      </xdr:sp>
      <xdr:graphicFrame macro="">
        <xdr:nvGraphicFramePr>
          <xdr:cNvPr id="115" name="Gráfico 114">
            <a:extLst>
              <a:ext uri="{FF2B5EF4-FFF2-40B4-BE49-F238E27FC236}">
                <a16:creationId xmlns:a16="http://schemas.microsoft.com/office/drawing/2014/main" id="{4E1714EF-2E62-420B-9B18-839F8E7C378C}"/>
              </a:ext>
            </a:extLst>
          </xdr:cNvPr>
          <xdr:cNvGraphicFramePr>
            <a:graphicFrameLocks/>
          </xdr:cNvGraphicFramePr>
        </xdr:nvGraphicFramePr>
        <xdr:xfrm>
          <a:off x="19792950" y="10989129"/>
          <a:ext cx="17849850" cy="3660321"/>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xdr:from>
      <xdr:col>10</xdr:col>
      <xdr:colOff>1021080</xdr:colOff>
      <xdr:row>16</xdr:row>
      <xdr:rowOff>68580</xdr:rowOff>
    </xdr:from>
    <xdr:to>
      <xdr:col>18</xdr:col>
      <xdr:colOff>335280</xdr:colOff>
      <xdr:row>38</xdr:row>
      <xdr:rowOff>137160</xdr:rowOff>
    </xdr:to>
    <xdr:graphicFrame macro="">
      <xdr:nvGraphicFramePr>
        <xdr:cNvPr id="6" name="Gráfico 5">
          <a:extLst>
            <a:ext uri="{FF2B5EF4-FFF2-40B4-BE49-F238E27FC236}">
              <a16:creationId xmlns:a16="http://schemas.microsoft.com/office/drawing/2014/main" id="{555AAE47-C685-490F-9C6B-4473C59E9E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583593</xdr:colOff>
      <xdr:row>16</xdr:row>
      <xdr:rowOff>83492</xdr:rowOff>
    </xdr:from>
    <xdr:to>
      <xdr:col>10</xdr:col>
      <xdr:colOff>527539</xdr:colOff>
      <xdr:row>38</xdr:row>
      <xdr:rowOff>140677</xdr:rowOff>
    </xdr:to>
    <xdr:graphicFrame macro="">
      <xdr:nvGraphicFramePr>
        <xdr:cNvPr id="9" name="Gráfico 8">
          <a:extLst>
            <a:ext uri="{FF2B5EF4-FFF2-40B4-BE49-F238E27FC236}">
              <a16:creationId xmlns:a16="http://schemas.microsoft.com/office/drawing/2014/main" id="{E776EEF4-7CC6-4A4A-9CF4-BCD869449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41563</xdr:colOff>
      <xdr:row>0</xdr:row>
      <xdr:rowOff>41563</xdr:rowOff>
    </xdr:from>
    <xdr:to>
      <xdr:col>4</xdr:col>
      <xdr:colOff>435428</xdr:colOff>
      <xdr:row>75</xdr:row>
      <xdr:rowOff>174171</xdr:rowOff>
    </xdr:to>
    <xdr:sp macro="" textlink="">
      <xdr:nvSpPr>
        <xdr:cNvPr id="2" name="Rectángulo: esquinas redondeadas 1">
          <a:extLst>
            <a:ext uri="{FF2B5EF4-FFF2-40B4-BE49-F238E27FC236}">
              <a16:creationId xmlns:a16="http://schemas.microsoft.com/office/drawing/2014/main" id="{669EDC00-6F5D-484D-A7B6-D0AB8A930D35}"/>
            </a:ext>
          </a:extLst>
        </xdr:cNvPr>
        <xdr:cNvSpPr/>
      </xdr:nvSpPr>
      <xdr:spPr>
        <a:xfrm>
          <a:off x="41563" y="41563"/>
          <a:ext cx="4661065" cy="14420108"/>
        </a:xfrm>
        <a:prstGeom prst="roundRect">
          <a:avLst/>
        </a:prstGeom>
        <a:gradFill flip="none" rotWithShape="1">
          <a:gsLst>
            <a:gs pos="0">
              <a:schemeClr val="accent1">
                <a:shade val="30000"/>
                <a:satMod val="115000"/>
              </a:schemeClr>
            </a:gs>
            <a:gs pos="69000">
              <a:schemeClr val="accent1">
                <a:lumMod val="60000"/>
                <a:lumOff val="40000"/>
              </a:schemeClr>
            </a:gs>
            <a:gs pos="100000">
              <a:schemeClr val="accent1">
                <a:shade val="100000"/>
                <a:satMod val="115000"/>
              </a:schemeClr>
            </a:gs>
          </a:gsLst>
          <a:path path="circle">
            <a:fillToRect l="50000" t="50000" r="50000" b="5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110837</xdr:colOff>
      <xdr:row>35</xdr:row>
      <xdr:rowOff>76200</xdr:rowOff>
    </xdr:from>
    <xdr:to>
      <xdr:col>4</xdr:col>
      <xdr:colOff>315686</xdr:colOff>
      <xdr:row>71</xdr:row>
      <xdr:rowOff>97972</xdr:rowOff>
    </xdr:to>
    <mc:AlternateContent xmlns:mc="http://schemas.openxmlformats.org/markup-compatibility/2006" xmlns:a14="http://schemas.microsoft.com/office/drawing/2010/main">
      <mc:Choice Requires="a14">
        <xdr:graphicFrame macro="">
          <xdr:nvGraphicFramePr>
            <xdr:cNvPr id="4" name="MES 2">
              <a:extLst>
                <a:ext uri="{FF2B5EF4-FFF2-40B4-BE49-F238E27FC236}">
                  <a16:creationId xmlns:a16="http://schemas.microsoft.com/office/drawing/2014/main" id="{1701E7D1-F661-4E18-849F-CB8EABF814C2}"/>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110837" y="6553200"/>
              <a:ext cx="4515592" cy="6683829"/>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110837</xdr:colOff>
      <xdr:row>13</xdr:row>
      <xdr:rowOff>64942</xdr:rowOff>
    </xdr:from>
    <xdr:to>
      <xdr:col>4</xdr:col>
      <xdr:colOff>304800</xdr:colOff>
      <xdr:row>34</xdr:row>
      <xdr:rowOff>132442</xdr:rowOff>
    </xdr:to>
    <mc:AlternateContent xmlns:mc="http://schemas.openxmlformats.org/markup-compatibility/2006" xmlns:a14="http://schemas.microsoft.com/office/drawing/2010/main">
      <mc:Choice Requires="a14">
        <xdr:graphicFrame macro="">
          <xdr:nvGraphicFramePr>
            <xdr:cNvPr id="5" name="OBRA 3">
              <a:extLst>
                <a:ext uri="{FF2B5EF4-FFF2-40B4-BE49-F238E27FC236}">
                  <a16:creationId xmlns:a16="http://schemas.microsoft.com/office/drawing/2014/main" id="{7E1F617E-BA6B-4FF4-A515-6AD8701D46E8}"/>
                </a:ext>
              </a:extLst>
            </xdr:cNvPr>
            <xdr:cNvGraphicFramePr/>
          </xdr:nvGraphicFramePr>
          <xdr:xfrm>
            <a:off x="0" y="0"/>
            <a:ext cx="0" cy="0"/>
          </xdr:xfrm>
          <a:graphic>
            <a:graphicData uri="http://schemas.microsoft.com/office/drawing/2010/slicer">
              <sle:slicer xmlns:sle="http://schemas.microsoft.com/office/drawing/2010/slicer" name="OBRA 3"/>
            </a:graphicData>
          </a:graphic>
        </xdr:graphicFrame>
      </mc:Choice>
      <mc:Fallback xmlns="">
        <xdr:sp macro="" textlink="">
          <xdr:nvSpPr>
            <xdr:cNvPr id="0" name=""/>
            <xdr:cNvSpPr>
              <a:spLocks noTextEdit="1"/>
            </xdr:cNvSpPr>
          </xdr:nvSpPr>
          <xdr:spPr>
            <a:xfrm>
              <a:off x="110837" y="2470685"/>
              <a:ext cx="4504706" cy="3953700"/>
            </a:xfrm>
            <a:prstGeom prst="rect">
              <a:avLst/>
            </a:prstGeom>
            <a:solidFill>
              <a:prstClr val="white"/>
            </a:solidFill>
            <a:ln w="1">
              <a:solidFill>
                <a:prstClr val="green"/>
              </a:solidFill>
            </a:ln>
          </xdr:spPr>
          <xdr:txBody>
            <a:bodyPr vertOverflow="clip" horzOverflow="clip"/>
            <a:lstStyle/>
            <a:p>
              <a:r>
                <a:rPr lang="es-PE"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4</xdr:col>
      <xdr:colOff>719564</xdr:colOff>
      <xdr:row>78</xdr:row>
      <xdr:rowOff>123096</xdr:rowOff>
    </xdr:from>
    <xdr:to>
      <xdr:col>9</xdr:col>
      <xdr:colOff>849923</xdr:colOff>
      <xdr:row>101</xdr:row>
      <xdr:rowOff>23445</xdr:rowOff>
    </xdr:to>
    <xdr:grpSp>
      <xdr:nvGrpSpPr>
        <xdr:cNvPr id="21" name="Grupo 20">
          <a:extLst>
            <a:ext uri="{FF2B5EF4-FFF2-40B4-BE49-F238E27FC236}">
              <a16:creationId xmlns:a16="http://schemas.microsoft.com/office/drawing/2014/main" id="{CC120FDE-52DD-1CAE-C960-36A85283353C}"/>
            </a:ext>
          </a:extLst>
        </xdr:cNvPr>
        <xdr:cNvGrpSpPr/>
      </xdr:nvGrpSpPr>
      <xdr:grpSpPr>
        <a:xfrm>
          <a:off x="5034265" y="14017226"/>
          <a:ext cx="5523736" cy="3997336"/>
          <a:chOff x="5010210" y="14296296"/>
          <a:chExt cx="5493667" cy="4079626"/>
        </a:xfrm>
      </xdr:grpSpPr>
      <xdr:graphicFrame macro="">
        <xdr:nvGraphicFramePr>
          <xdr:cNvPr id="16" name="Gráfico 15">
            <a:extLst>
              <a:ext uri="{FF2B5EF4-FFF2-40B4-BE49-F238E27FC236}">
                <a16:creationId xmlns:a16="http://schemas.microsoft.com/office/drawing/2014/main" id="{CC5F0ECD-EBD8-4A25-8E13-5350C9995019}"/>
              </a:ext>
            </a:extLst>
          </xdr:cNvPr>
          <xdr:cNvGraphicFramePr>
            <a:graphicFrameLocks/>
          </xdr:cNvGraphicFramePr>
        </xdr:nvGraphicFramePr>
        <xdr:xfrm>
          <a:off x="5014546" y="14633885"/>
          <a:ext cx="5489331" cy="3742037"/>
        </xdr:xfrm>
        <a:graphic>
          <a:graphicData uri="http://schemas.openxmlformats.org/drawingml/2006/chart">
            <c:chart xmlns:c="http://schemas.openxmlformats.org/drawingml/2006/chart" xmlns:r="http://schemas.openxmlformats.org/officeDocument/2006/relationships" r:id="rId22"/>
          </a:graphicData>
        </a:graphic>
      </xdr:graphicFrame>
      <xdr:sp macro="" textlink="">
        <xdr:nvSpPr>
          <xdr:cNvPr id="20" name="Rectángulo 19">
            <a:extLst>
              <a:ext uri="{FF2B5EF4-FFF2-40B4-BE49-F238E27FC236}">
                <a16:creationId xmlns:a16="http://schemas.microsoft.com/office/drawing/2014/main" id="{4BAE7CA1-6F12-42F2-BA5B-08194E949029}"/>
              </a:ext>
            </a:extLst>
          </xdr:cNvPr>
          <xdr:cNvSpPr/>
        </xdr:nvSpPr>
        <xdr:spPr>
          <a:xfrm>
            <a:off x="5010210" y="14296296"/>
            <a:ext cx="5493667" cy="343053"/>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ESTATUS DE EMOS</a:t>
            </a:r>
          </a:p>
        </xdr:txBody>
      </xdr:sp>
    </xdr:grpSp>
    <xdr:clientData/>
  </xdr:twoCellAnchor>
  <xdr:twoCellAnchor>
    <xdr:from>
      <xdr:col>10</xdr:col>
      <xdr:colOff>277091</xdr:colOff>
      <xdr:row>80</xdr:row>
      <xdr:rowOff>71294</xdr:rowOff>
    </xdr:from>
    <xdr:to>
      <xdr:col>18</xdr:col>
      <xdr:colOff>457199</xdr:colOff>
      <xdr:row>101</xdr:row>
      <xdr:rowOff>13855</xdr:rowOff>
    </xdr:to>
    <xdr:graphicFrame macro="">
      <xdr:nvGraphicFramePr>
        <xdr:cNvPr id="25" name="Gráfico 24">
          <a:extLst>
            <a:ext uri="{FF2B5EF4-FFF2-40B4-BE49-F238E27FC236}">
              <a16:creationId xmlns:a16="http://schemas.microsoft.com/office/drawing/2014/main" id="{3508C518-1997-4E16-9004-4F182004B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276219</xdr:colOff>
      <xdr:row>78</xdr:row>
      <xdr:rowOff>95387</xdr:rowOff>
    </xdr:from>
    <xdr:to>
      <xdr:col>18</xdr:col>
      <xdr:colOff>457200</xdr:colOff>
      <xdr:row>80</xdr:row>
      <xdr:rowOff>55418</xdr:rowOff>
    </xdr:to>
    <xdr:sp macro="" textlink="">
      <xdr:nvSpPr>
        <xdr:cNvPr id="26" name="Rectángulo 25">
          <a:extLst>
            <a:ext uri="{FF2B5EF4-FFF2-40B4-BE49-F238E27FC236}">
              <a16:creationId xmlns:a16="http://schemas.microsoft.com/office/drawing/2014/main" id="{02CF0EB5-4A05-41EB-B59F-4E3C498D29BF}"/>
            </a:ext>
          </a:extLst>
        </xdr:cNvPr>
        <xdr:cNvSpPr/>
      </xdr:nvSpPr>
      <xdr:spPr>
        <a:xfrm>
          <a:off x="11082764" y="14143896"/>
          <a:ext cx="8826218" cy="320249"/>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VIGENCIA</a:t>
          </a:r>
          <a:r>
            <a:rPr lang="es-PE" sz="2000" baseline="0">
              <a:latin typeface="Algerian" panose="04020705040A02060702" pitchFamily="82" charset="0"/>
            </a:rPr>
            <a:t> DE EMOS</a:t>
          </a:r>
          <a:endParaRPr lang="es-PE" sz="2000">
            <a:latin typeface="Algerian" panose="04020705040A02060702" pitchFamily="82" charset="0"/>
          </a:endParaRPr>
        </a:p>
      </xdr:txBody>
    </xdr:sp>
    <xdr:clientData/>
  </xdr:twoCellAnchor>
  <xdr:twoCellAnchor>
    <xdr:from>
      <xdr:col>18</xdr:col>
      <xdr:colOff>820271</xdr:colOff>
      <xdr:row>80</xdr:row>
      <xdr:rowOff>69256</xdr:rowOff>
    </xdr:from>
    <xdr:to>
      <xdr:col>24</xdr:col>
      <xdr:colOff>663388</xdr:colOff>
      <xdr:row>101</xdr:row>
      <xdr:rowOff>8964</xdr:rowOff>
    </xdr:to>
    <xdr:graphicFrame macro="">
      <xdr:nvGraphicFramePr>
        <xdr:cNvPr id="30" name="Gráfico 29">
          <a:extLst>
            <a:ext uri="{FF2B5EF4-FFF2-40B4-BE49-F238E27FC236}">
              <a16:creationId xmlns:a16="http://schemas.microsoft.com/office/drawing/2014/main" id="{2C3BFBC8-87E8-4A30-A122-A0E67E095C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xdr:col>
      <xdr:colOff>827140</xdr:colOff>
      <xdr:row>78</xdr:row>
      <xdr:rowOff>114132</xdr:rowOff>
    </xdr:from>
    <xdr:to>
      <xdr:col>24</xdr:col>
      <xdr:colOff>672353</xdr:colOff>
      <xdr:row>80</xdr:row>
      <xdr:rowOff>74163</xdr:rowOff>
    </xdr:to>
    <xdr:sp macro="" textlink="">
      <xdr:nvSpPr>
        <xdr:cNvPr id="31" name="Rectángulo 30">
          <a:extLst>
            <a:ext uri="{FF2B5EF4-FFF2-40B4-BE49-F238E27FC236}">
              <a16:creationId xmlns:a16="http://schemas.microsoft.com/office/drawing/2014/main" id="{498E9157-C4DC-4D0C-A624-3F43AE4C4B36}"/>
            </a:ext>
          </a:extLst>
        </xdr:cNvPr>
        <xdr:cNvSpPr/>
      </xdr:nvSpPr>
      <xdr:spPr>
        <a:xfrm>
          <a:off x="20190905" y="14099073"/>
          <a:ext cx="6299801" cy="318619"/>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EPIDEMIOLOGÍA</a:t>
          </a:r>
          <a:r>
            <a:rPr lang="es-PE" sz="2000" baseline="0">
              <a:latin typeface="Algerian" panose="04020705040A02060702" pitchFamily="82" charset="0"/>
            </a:rPr>
            <a:t> LABORAL</a:t>
          </a:r>
          <a:endParaRPr lang="es-PE" sz="2000">
            <a:latin typeface="Algerian" panose="04020705040A02060702" pitchFamily="82" charset="0"/>
          </a:endParaRPr>
        </a:p>
      </xdr:txBody>
    </xdr:sp>
    <xdr:clientData/>
  </xdr:twoCellAnchor>
  <xdr:twoCellAnchor>
    <xdr:from>
      <xdr:col>24</xdr:col>
      <xdr:colOff>992777</xdr:colOff>
      <xdr:row>80</xdr:row>
      <xdr:rowOff>45562</xdr:rowOff>
    </xdr:from>
    <xdr:to>
      <xdr:col>32</xdr:col>
      <xdr:colOff>424543</xdr:colOff>
      <xdr:row>101</xdr:row>
      <xdr:rowOff>43543</xdr:rowOff>
    </xdr:to>
    <xdr:graphicFrame macro="">
      <xdr:nvGraphicFramePr>
        <xdr:cNvPr id="35" name="Gráfico 34">
          <a:extLst>
            <a:ext uri="{FF2B5EF4-FFF2-40B4-BE49-F238E27FC236}">
              <a16:creationId xmlns:a16="http://schemas.microsoft.com/office/drawing/2014/main" id="{6D2BCDB0-0E46-4A8A-A45E-93CDCE118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xdr:col>
      <xdr:colOff>991708</xdr:colOff>
      <xdr:row>78</xdr:row>
      <xdr:rowOff>106057</xdr:rowOff>
    </xdr:from>
    <xdr:to>
      <xdr:col>32</xdr:col>
      <xdr:colOff>435430</xdr:colOff>
      <xdr:row>80</xdr:row>
      <xdr:rowOff>37390</xdr:rowOff>
    </xdr:to>
    <xdr:sp macro="" textlink="">
      <xdr:nvSpPr>
        <xdr:cNvPr id="36" name="Rectángulo 35">
          <a:extLst>
            <a:ext uri="{FF2B5EF4-FFF2-40B4-BE49-F238E27FC236}">
              <a16:creationId xmlns:a16="http://schemas.microsoft.com/office/drawing/2014/main" id="{8B8C318A-0067-48A6-8C24-BE9BA8396750}"/>
            </a:ext>
          </a:extLst>
        </xdr:cNvPr>
        <xdr:cNvSpPr/>
      </xdr:nvSpPr>
      <xdr:spPr>
        <a:xfrm>
          <a:off x="26753934" y="14577431"/>
          <a:ext cx="8475079" cy="302394"/>
        </a:xfrm>
        <a:prstGeom prst="rect">
          <a:avLst/>
        </a:prstGeom>
        <a:gradFill flip="none" rotWithShape="1">
          <a:gsLst>
            <a:gs pos="0">
              <a:schemeClr val="accent1">
                <a:shade val="30000"/>
                <a:satMod val="115000"/>
              </a:schemeClr>
            </a:gs>
            <a:gs pos="24000">
              <a:schemeClr val="accent1">
                <a:alpha val="74000"/>
                <a:lumMod val="77000"/>
              </a:schemeClr>
            </a:gs>
            <a:gs pos="100000">
              <a:schemeClr val="accent1">
                <a:shade val="67500"/>
                <a:satMod val="115000"/>
              </a:schemeClr>
            </a:gs>
            <a:gs pos="100000">
              <a:schemeClr val="accent1">
                <a:shade val="100000"/>
                <a:satMod val="115000"/>
              </a:schemeClr>
            </a:gs>
          </a:gsLst>
          <a:path path="circle">
            <a:fillToRect l="50000" t="50000" r="50000" b="50000"/>
          </a:path>
          <a:tileRect/>
        </a:gra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PE" sz="2000">
              <a:latin typeface="Algerian" panose="04020705040A02060702" pitchFamily="82" charset="0"/>
            </a:rPr>
            <a:t>CANTIDAD</a:t>
          </a:r>
          <a:r>
            <a:rPr lang="es-PE" sz="2000" baseline="0">
              <a:latin typeface="Algerian" panose="04020705040A02060702" pitchFamily="82" charset="0"/>
            </a:rPr>
            <a:t> DE TRABAJADORES SEGÚN EDAD</a:t>
          </a:r>
          <a:endParaRPr lang="es-PE" sz="2000">
            <a:latin typeface="Algerian" panose="04020705040A02060702" pitchFamily="82"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51.765251273151" createdVersion="8" refreshedVersion="8" minRefreshableVersion="3" recordCount="12" xr:uid="{7EF1DEF8-14C9-4D3C-9181-A7F76C1296E8}">
  <cacheSource type="worksheet">
    <worksheetSource name="Tabla7[MES]"/>
  </cacheSource>
  <cacheFields count="1">
    <cacheField name="MES" numFmtId="0">
      <sharedItems count="12">
        <s v="ENERO"/>
        <s v="FEBRERO"/>
        <s v="MARZO"/>
        <s v="ABRIL"/>
        <s v="MAYO"/>
        <s v="JUNIO"/>
        <s v="JULIO"/>
        <s v="AGOSTO"/>
        <s v="SEPTIEMBRE"/>
        <s v="OCTUBRE"/>
        <s v="NOVIEMBRE"/>
        <s v="DICIEMBRE"/>
      </sharedItems>
    </cacheField>
  </cacheFields>
  <extLst>
    <ext xmlns:x14="http://schemas.microsoft.com/office/spreadsheetml/2009/9/main" uri="{725AE2AE-9491-48be-B2B4-4EB974FC3084}">
      <x14:pivotCacheDefinition pivotCacheId="110306684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72.817910763886" createdVersion="8" refreshedVersion="8" minRefreshableVersion="3" recordCount="2" xr:uid="{ED8C0C0E-7D9E-48E2-A4DD-08964AFDA4EF}">
  <cacheSource type="worksheet">
    <worksheetSource name="Tabla14[AÑO]"/>
  </cacheSource>
  <cacheFields count="1">
    <cacheField name="AÑO" numFmtId="0">
      <sharedItems containsSemiMixedTypes="0" containsString="0" containsNumber="1" containsInteger="1" minValue="2025" maxValue="2026" count="2">
        <n v="2025"/>
        <n v="2026"/>
      </sharedItems>
    </cacheField>
  </cacheFields>
  <extLst>
    <ext xmlns:x14="http://schemas.microsoft.com/office/spreadsheetml/2009/9/main" uri="{725AE2AE-9491-48be-B2B4-4EB974FC3084}">
      <x14:pivotCacheDefinition pivotCacheId="148794619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6081.773274884261" createdVersion="8" refreshedVersion="8" minRefreshableVersion="3" recordCount="1" xr:uid="{4E4E756C-4D1C-491A-BE9F-ACA10012789F}">
  <cacheSource type="worksheet">
    <worksheetSource name="Tabla9[OBRA]"/>
  </cacheSource>
  <cacheFields count="1">
    <cacheField name="OBRA" numFmtId="0">
      <sharedItems containsBlank="1" count="17">
        <s v="VILLALEGRE"/>
        <s v="AGROJOSCH SOCIEDAD ANONIMA CERRADA - AGROJOSCH S.A.C." u="1"/>
        <s v="LABORATORIOS DROGAVET S.A.C." u="1"/>
        <s v="QUIMICA JOSCH SOCIEDAD ANONIMA CERRADA - QUIMICA JOSCH S.A.C." u="1"/>
        <s v="GRUPO DROGAVET S.A.C." u="1"/>
        <m u="1"/>
        <s v="GUILLERMO" u="1"/>
        <s v="FRANCISCO" u="1"/>
        <s v="MIGUEL" u="1"/>
        <s v="ANTONIO" u="1"/>
        <s v="MIRTHA" u="1"/>
        <s v="CONTACTO LABORAL" u="1"/>
        <s v="DOMODOSSOPA" u="1"/>
        <s v="IPESA" u="1"/>
        <s v="ITALTRAC" u="1"/>
        <s v="SANTA ANGELA" u="1"/>
        <s v="DOMODOSSOLA" u="1"/>
      </sharedItems>
    </cacheField>
  </cacheFields>
  <extLst>
    <ext xmlns:x14="http://schemas.microsoft.com/office/spreadsheetml/2009/9/main" uri="{725AE2AE-9491-48be-B2B4-4EB974FC3084}">
      <x14:pivotCacheDefinition pivotCacheId="9190916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r>
  <r>
    <x v="1"/>
  </r>
  <r>
    <x v="2"/>
  </r>
  <r>
    <x v="3"/>
  </r>
  <r>
    <x v="4"/>
  </r>
  <r>
    <x v="5"/>
  </r>
  <r>
    <x v="6"/>
  </r>
  <r>
    <x v="7"/>
  </r>
  <r>
    <x v="8"/>
  </r>
  <r>
    <x v="9"/>
  </r>
  <r>
    <x v="10"/>
  </r>
  <r>
    <x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r>
  <r>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9B4A9AE-CCD2-426C-B04C-0899324FE504}" name="TablaDinámica2" cacheId="2"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C328:C330" firstHeaderRow="1" firstDataRow="1" firstDataCol="1"/>
  <pivotFields count="1">
    <pivotField axis="axisRow" showAll="0">
      <items count="18">
        <item m="1" x="11"/>
        <item m="1" x="16"/>
        <item m="1" x="13"/>
        <item m="1" x="14"/>
        <item m="1" x="15"/>
        <item m="1" x="12"/>
        <item m="1" x="6"/>
        <item m="1" x="7"/>
        <item m="1" x="8"/>
        <item m="1" x="9"/>
        <item m="1" x="10"/>
        <item m="1" x="1"/>
        <item m="1" x="2"/>
        <item m="1" x="3"/>
        <item m="1" x="4"/>
        <item m="1" x="5"/>
        <item x="0"/>
        <item t="default"/>
      </items>
    </pivotField>
  </pivotFields>
  <rowFields count="1">
    <field x="0"/>
  </rowFields>
  <rowItems count="2">
    <i>
      <x v="1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CD77D6-8FBF-4AF6-ADEC-CF9F4C834EFD}" name="TablaDinámica5"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D328:D330" firstHeaderRow="1" firstDataRow="1" firstDataCol="1"/>
  <pivotFields count="1">
    <pivotField axis="axisRow" showAll="0">
      <items count="3">
        <item h="1" x="0"/>
        <item x="1"/>
        <item t="default"/>
      </items>
    </pivotField>
  </pivotFields>
  <rowFields count="1">
    <field x="0"/>
  </rowFields>
  <rowItems count="2">
    <i>
      <x v="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7EC1C96-A065-4124-BB8E-A1C1FA08E5B8}"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28:B330" firstHeaderRow="1" firstDataRow="1" firstDataCol="1"/>
  <pivotFields count="1">
    <pivotField axis="axisRow" showAll="0">
      <items count="13">
        <item x="0"/>
        <item h="1" x="1"/>
        <item h="1" x="2"/>
        <item h="1" x="3"/>
        <item h="1" x="4"/>
        <item h="1" x="5"/>
        <item h="1" x="6"/>
        <item h="1" x="7"/>
        <item h="1" x="8"/>
        <item h="1" x="9"/>
        <item h="1" x="10"/>
        <item h="1" x="11"/>
        <item t="default"/>
      </items>
    </pivotField>
  </pivotFields>
  <rowFields count="1">
    <field x="0"/>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4E25BBEF-8612-489A-B74E-035A917585E6}" sourceName="MES">
  <pivotTables>
    <pivotTable tabId="16" name="TablaDinámica1"/>
  </pivotTables>
  <data>
    <tabular pivotCacheId="1103066843">
      <items count="12">
        <i x="0" s="1"/>
        <i x="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RA1" xr10:uid="{98847F4C-D7D3-4A89-9E2B-6EEFE65143E5}" sourceName="OBRA">
  <pivotTables>
    <pivotTable tabId="16" name="TablaDinámica2"/>
  </pivotTables>
  <data>
    <tabular pivotCacheId="919091613" showMissing="0">
      <items count="17">
        <i x="0" s="1"/>
        <i x="1" s="1" nd="1"/>
        <i x="9" s="1" nd="1"/>
        <i x="11" s="1" nd="1"/>
        <i x="16" s="1" nd="1"/>
        <i x="12" s="1" nd="1"/>
        <i x="7" s="1" nd="1"/>
        <i x="4" s="1" nd="1"/>
        <i x="6" s="1" nd="1"/>
        <i x="13" s="1" nd="1"/>
        <i x="14" s="1" nd="1"/>
        <i x="2" s="1" nd="1"/>
        <i x="8" s="1" nd="1"/>
        <i x="10" s="1" nd="1"/>
        <i x="3" s="1" nd="1"/>
        <i x="15" s="1" nd="1"/>
        <i x="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 xr10:uid="{795DE355-017B-4D4F-91B2-489BDB8D4345}" sourceName="AÑO">
  <pivotTables>
    <pivotTable tabId="16" name="TablaDinámica5"/>
  </pivotTables>
  <data>
    <tabular pivotCacheId="1487946199">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 xr10:uid="{F890C92A-BB8B-4251-BE53-D6383D2C153D}" cache="SegmentaciónDeDatos_AÑO" caption="AÑO"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1" xr10:uid="{7E9B2D9F-224F-4CAF-9627-A189DCEF553C}" cache="SegmentaciónDeDatos_MES" caption="MES" columnCount="2" rowHeight="1008000"/>
  <slicer name="OBRA 2" xr10:uid="{1B40A5CD-4839-47CD-A582-D53A2492D63C}" cache="SegmentaciónDeDatos_OBRA1" caption="OBRA" columnCount="2" rowHeight="118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2" xr10:uid="{3AB0480F-E187-44F5-8D90-A373D1EDF87F}" cache="SegmentaciónDeDatos_MES" caption="MES" columnCount="2" rowHeight="1008000"/>
  <slicer name="OBRA 3" xr10:uid="{8115609E-A91D-4EBC-B9E5-611DD0C648B9}" cache="SegmentaciónDeDatos_OBRA1" caption="OBRA" columnCount="2" rowHeight="11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Trabajadores" displayName="tbl_Trabajadores" ref="A1:AH41" headerRowDxfId="203" dataDxfId="201" totalsRowDxfId="200" headerRowBorderDxfId="202" dataCellStyle="40% - Énfasis1">
  <autoFilter ref="A1:AH41" xr:uid="{00000000-0009-0000-0100-000001000000}"/>
  <tableColumns count="34">
    <tableColumn id="1" xr3:uid="{00000000-0010-0000-0000-000001000000}" name="WorkerID" dataDxfId="199" dataCellStyle="40% - Énfasis1">
      <calculatedColumnFormula>IF(B2&lt;&gt;"", "TR-" &amp; TEXT(1000 + ROW(A2) - 1, "0000"), "")</calculatedColumnFormula>
    </tableColumn>
    <tableColumn id="2" xr3:uid="{00000000-0010-0000-0000-000002000000}" name="DNI" dataDxfId="198" dataCellStyle="40% - Énfasis1"/>
    <tableColumn id="3" xr3:uid="{00000000-0010-0000-0000-000003000000}" name="Nombre" dataDxfId="197" dataCellStyle="40% - Énfasis1"/>
    <tableColumn id="17" xr3:uid="{00000000-0010-0000-0000-000011000000}" name="FechaNacimiento" dataDxfId="196" dataCellStyle="40% - Énfasis1"/>
    <tableColumn id="4" xr3:uid="{00000000-0010-0000-0000-000004000000}" name="Edad" dataDxfId="195" dataCellStyle="40% - Énfasis1">
      <calculatedColumnFormula>IF(D2&lt;&gt;"", DATEDIF(D2, TODAY(), "y"), "")</calculatedColumnFormula>
    </tableColumn>
    <tableColumn id="5" xr3:uid="{00000000-0010-0000-0000-000005000000}" name="Sexo" dataDxfId="194" dataCellStyle="40% - Énfasis1"/>
    <tableColumn id="7" xr3:uid="{00000000-0010-0000-0000-000007000000}" name="Planta" dataDxfId="193" dataCellStyle="40% - Énfasis1"/>
    <tableColumn id="10" xr3:uid="{00000000-0010-0000-0000-00000A000000}" name="Área" dataDxfId="192" dataCellStyle="40% - Énfasis1"/>
    <tableColumn id="11" xr3:uid="{00000000-0010-0000-0000-00000B000000}" name="Cargo" dataDxfId="191" dataCellStyle="40% - Énfasis1"/>
    <tableColumn id="12" xr3:uid="{00000000-0010-0000-0000-00000C000000}" name="LugarProyecto" dataDxfId="190" dataCellStyle="40% - Énfasis1"/>
    <tableColumn id="13" xr3:uid="{00000000-0010-0000-0000-00000D000000}" name="Perfil" dataDxfId="189" dataCellStyle="40% - Énfasis1"/>
    <tableColumn id="14" xr3:uid="{00000000-0010-0000-0000-00000E000000}" name="FechaIngreso" dataDxfId="188" dataCellStyle="40% - Énfasis1"/>
    <tableColumn id="6" xr3:uid="{0DBC5DA5-D6D3-4951-8041-0871B0C91F65}" name="Ultimo EMO" dataDxfId="187" totalsRowDxfId="186" dataCellStyle="40% - Énfasis1">
      <calculatedColumnFormula array="1">_xlfn.XLOOKUP(B2&amp;"", 'Registro EMO'!$C$13:$C$4344&amp;"", 'Registro EMO'!$F$13:$F$4344, "Sin registro", 0, -1)</calculatedColumnFormula>
    </tableColumn>
    <tableColumn id="16" xr3:uid="{735716E3-9366-4C67-B4CF-B40ADCA888C8}" name="Tipo de EMO" dataDxfId="185" dataCellStyle="40% - Énfasis1">
      <calculatedColumnFormula array="1">_xlfn.XLOOKUP(B2&amp;"", 'Registro EMO'!$C$13:$C$4344&amp;"", 'Registro EMO'!$E$13:$E$4344, "Sin registro", 0, -1)</calculatedColumnFormula>
    </tableColumn>
    <tableColumn id="21" xr3:uid="{AC2E396B-4053-4729-BD84-3D9AA5D5502C}" name="EMO Entregado" dataDxfId="184" dataCellStyle="40% - Énfasis1">
      <calculatedColumnFormula>IF(P2="NO", "NO", "SI")</calculatedColumnFormula>
    </tableColumn>
    <tableColumn id="32" xr3:uid="{9FB30348-D9B8-4706-9F4F-F894E43F07F8}" name="Fecha de EMO Entregado" dataDxfId="183" dataCellStyle="40% - Énfasis1">
      <calculatedColumnFormula array="1">_xlfn.LET(
    _xlpm.resultado, _xlfn.XLOOKUP(B2&amp;"", 'Registro EMO'!$C$13:$C$4344&amp;"", 'Registro EMO'!$I$13:$I$4344, "NO", 0, -1),
    IF(_xlpm.resultado=0, "NO", _xlpm.resultado)
)</calculatedColumnFormula>
    </tableColumn>
    <tableColumn id="9" xr3:uid="{ED0492CB-3415-4A9B-BCD4-6E246A4A7255}" name="Vigencia" dataDxfId="182" totalsRowDxfId="181" dataCellStyle="40% - Énfasis1">
      <calculatedColumnFormula>IF(M2="Sin registro", "Pendiente", IF(EDATE(M2, IF(K2="Oficina", 24, 12)) &gt;= TODAY(), "Vigente", "Vencido"))</calculatedColumnFormula>
    </tableColumn>
    <tableColumn id="18" xr3:uid="{094644A7-A574-4A14-932F-05E116E89A7E}" name="Fecha_EMO" dataDxfId="180" totalsRowDxfId="179" dataCellStyle="40% - Énfasis1"/>
    <tableColumn id="19" xr3:uid="{2A69A134-E0BB-46EB-BA76-70E299B45B8A}" name="Tipo_EMO" dataDxfId="178" totalsRowDxfId="177" dataCellStyle="40% - Énfasis1"/>
    <tableColumn id="23" xr3:uid="{98FEFED3-989E-42D6-88B1-826636241EF7}" name="Entregado" dataDxfId="176" totalsRowDxfId="175" dataCellStyle="40% - Énfasis1">
      <calculatedColumnFormula>IF(R2="", "", IF(U2="", "NO", "SI"))</calculatedColumnFormula>
    </tableColumn>
    <tableColumn id="33" xr3:uid="{654ED93F-EF59-40BE-A5F4-6F2B4BA43677}" name="Fecha de Entrega" dataDxfId="174" totalsRowDxfId="173" dataCellStyle="40% - Énfasis1"/>
    <tableColumn id="8" xr3:uid="{00000000-0010-0000-0000-000008000000}" name="APTITUD" dataDxfId="172" totalsRowDxfId="171" dataCellStyle="40% - Énfasis1"/>
    <tableColumn id="15" xr3:uid="{00000000-0010-0000-0000-00000F000000}" name="Observaciones" dataDxfId="170" dataCellStyle="40% - Énfasis1"/>
    <tableColumn id="24" xr3:uid="{5CD8A2FC-D00D-44D7-AFDC-E9F5BDE6A7D2}" name="Restricciones Generales" dataDxfId="169" totalsRowDxfId="168" dataCellStyle="40% - Énfasis1"/>
    <tableColumn id="25" xr3:uid="{87783041-48B5-40A0-AFB7-A059F3B7181F}" name="Programa" dataDxfId="167" totalsRowDxfId="166" dataCellStyle="40% - Énfasis1"/>
    <tableColumn id="34" xr3:uid="{82F26964-1AD7-422B-AB8A-8477923CA688}" name="Advertencia" dataDxfId="165" totalsRowDxfId="164" dataCellStyle="40% - Énfasis1"/>
    <tableColumn id="26" xr3:uid="{A1DB1F19-6D1B-477D-9CC4-11ED214A7DEA}" name="Diagnostico / INTERCONSULTA" dataDxfId="163" totalsRowDxfId="162" dataCellStyle="40% - Énfasis1"/>
    <tableColumn id="27" xr3:uid="{CE50EEF4-4576-4C85-BE98-BBF79EE67822}" name="Diagnostico / INTERCONSULTA 2" dataDxfId="161" totalsRowDxfId="160" dataCellStyle="40% - Énfasis1"/>
    <tableColumn id="28" xr3:uid="{82C6EDF1-DA75-4144-8743-81675B1C6EE0}" name="Diagnostico / INTERCONSULTA 3" dataDxfId="159" totalsRowDxfId="158" dataCellStyle="40% - Énfasis1"/>
    <tableColumn id="29" xr3:uid="{AA0895BD-34DF-4EF5-BC43-36A32D76CAF8}" name="Recomendaciones adicionales" dataDxfId="157" totalsRowDxfId="156" dataCellStyle="40% - Énfasis1"/>
    <tableColumn id="30" xr3:uid="{4E30718F-AC31-4405-895E-59E697FA9173}" name="Conclusiones M.O" dataDxfId="155" totalsRowDxfId="154" dataCellStyle="40% - Énfasis1"/>
    <tableColumn id="20" xr3:uid="{B4F45C76-68DF-41F2-8778-6614FAAC9987}" name="Tipo Capacitación" dataDxfId="153" totalsRowDxfId="152" dataCellStyle="40% - Énfasis1"/>
    <tableColumn id="22" xr3:uid="{3AAE2613-A14C-4A9C-BABA-9A3681A9E921}" name="Fecha Capacitación" dataDxfId="151" totalsRowDxfId="150" dataCellStyle="40% - Énfasis1"/>
    <tableColumn id="31" xr3:uid="{6AC22959-BA5B-4336-AAB1-49B08C37117E}" name="Validación" dataDxfId="149" totalsRowDxfId="148" dataCellStyle="40% - Énfasis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Accidentes" displayName="tbl_Accidentes" ref="A1:O4" headerRowDxfId="147" dataDxfId="145" totalsRowDxfId="144" headerRowBorderDxfId="146" dataCellStyle="40% - Énfasis1">
  <autoFilter ref="A1:O4" xr:uid="{00000000-0009-0000-0100-000002000000}"/>
  <tableColumns count="15">
    <tableColumn id="1" xr3:uid="{00000000-0010-0000-0100-000001000000}" name="AccidenteID" dataDxfId="143" dataCellStyle="40% - Énfasis1">
      <calculatedColumnFormula>IF(B2&lt;&gt;"", "ACC-" &amp; TEXT(4000 + ROW(A2) - 1, "0000"), "")</calculatedColumnFormula>
    </tableColumn>
    <tableColumn id="9" xr3:uid="{00000000-0010-0000-0100-000009000000}" name="Nombre" dataDxfId="142" dataCellStyle="40% - Énfasis1"/>
    <tableColumn id="2" xr3:uid="{00000000-0010-0000-0100-000002000000}" name="DNI" dataDxfId="141" dataCellStyle="40% - Énfasis1"/>
    <tableColumn id="3" xr3:uid="{00000000-0010-0000-0100-000003000000}" name="Fecha" dataDxfId="140" dataCellStyle="40% - Énfasis1"/>
    <tableColumn id="4" xr3:uid="{00000000-0010-0000-0100-000004000000}" name="ParteCuerpo" dataDxfId="139" dataCellStyle="40% - Énfasis1"/>
    <tableColumn id="5" xr3:uid="{00000000-0010-0000-0100-000005000000}" name="Agente" dataDxfId="138" dataCellStyle="40% - Énfasis1"/>
    <tableColumn id="6" xr3:uid="{00000000-0010-0000-0100-000006000000}" name="Diagnóstico" dataDxfId="137" dataCellStyle="40% - Énfasis1"/>
    <tableColumn id="7" xr3:uid="{DDF3A0D6-BD3D-4AFF-81FC-75B53F713EB2}" name="Médico Tratante" dataDxfId="136" dataCellStyle="40% - Énfasis1"/>
    <tableColumn id="13" xr3:uid="{DC591CA9-740D-4EAA-99C0-CA4E939394EE}" name="Requiere Cirugía" dataDxfId="135" dataCellStyle="40% - Énfasis1"/>
    <tableColumn id="10" xr3:uid="{00000000-0010-0000-0100-00000A000000}" name="Clínica" dataDxfId="134" dataCellStyle="40% - Énfasis1"/>
    <tableColumn id="8" xr3:uid="{00000000-0010-0000-0100-000008000000}" name="Declaración_Accidentado" dataDxfId="133" dataCellStyle="40% - Énfasis1"/>
    <tableColumn id="11" xr3:uid="{57D21AC7-C1C5-47D2-9A5F-A6A28D76F384}" name="Tipo Ausencia" dataDxfId="132" totalsRowDxfId="131" dataCellStyle="40% - Énfasis1"/>
    <tableColumn id="14" xr3:uid="{03D81CF2-A970-4915-A5AE-0F49372E5D31}" name="Fecha_Inicio" dataDxfId="130" totalsRowDxfId="129" dataCellStyle="40% - Énfasis1"/>
    <tableColumn id="12" xr3:uid="{5CA25D2D-1945-4771-BD05-C2A838DCB4AF}" name="Días perdidos" dataDxfId="128" totalsRowDxfId="127" dataCellStyle="40% - Énfasis1"/>
    <tableColumn id="15" xr3:uid="{0892B97F-726D-434E-9DB8-D4B60E6DBF20}" name="Aptitud de Reincorporación" dataDxfId="126" totalsRowDxfId="125" dataCellStyle="40% - Énfasis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Atenciones" displayName="tbl_Atenciones" ref="A1:P7" headerRowDxfId="124" dataDxfId="122" totalsRowDxfId="121" headerRowBorderDxfId="123" dataCellStyle="40% - Énfasis1">
  <autoFilter ref="A1:P7" xr:uid="{00000000-000C-0000-FFFF-FFFF02000000}"/>
  <tableColumns count="16">
    <tableColumn id="1" xr3:uid="{00000000-0010-0000-0200-000001000000}" name="AtencionID" dataDxfId="120" dataCellStyle="40% - Énfasis1">
      <calculatedColumnFormula>IF(B2&lt;&gt;"", "ATE-" &amp; TEXT(5000 + ROW(A2) - 1, "0000"), "")</calculatedColumnFormula>
    </tableColumn>
    <tableColumn id="8" xr3:uid="{00000000-0010-0000-0200-000008000000}" name="Nombre" dataDxfId="119" dataCellStyle="40% - Énfasis1"/>
    <tableColumn id="2" xr3:uid="{00000000-0010-0000-0200-000002000000}" name="DNI" dataDxfId="118" dataCellStyle="40% - Énfasis1">
      <calculatedColumnFormula>IF(B2="", "", _xlfn.XLOOKUP(B2, tbl_Trabajadores[Nombre], tbl_Trabajadores[DNI], ""))</calculatedColumnFormula>
    </tableColumn>
    <tableColumn id="3" xr3:uid="{00000000-0010-0000-0200-000003000000}" name="Fecha" dataDxfId="117" dataCellStyle="40% - Énfasis1"/>
    <tableColumn id="4" xr3:uid="{00000000-0010-0000-0200-000004000000}" name="Motivo de Atención" dataDxfId="116" dataCellStyle="40% - Énfasis1"/>
    <tableColumn id="6" xr3:uid="{1E629F73-E3C0-463A-AF49-E63047D10AAE}" name="Diagnóstico" dataDxfId="115" dataCellStyle="40% - Énfasis1"/>
    <tableColumn id="7" xr3:uid="{298CF1D6-EAE4-400D-A4D4-0EB616469CB2}" name="Tratamiento" dataDxfId="114" dataCellStyle="40% - Énfasis1"/>
    <tableColumn id="5" xr3:uid="{60F8AAD7-FCDB-4CBD-AEEB-EF6977BABA9E}" name="AccidenteID" dataDxfId="113" totalsRowDxfId="112" dataCellStyle="40% - Énfasis2"/>
    <tableColumn id="10" xr3:uid="{1C2BBFE7-1DF1-46BE-8CC3-70514CF21317}" name="Cirugía" dataDxfId="111" totalsRowDxfId="110" dataCellStyle="40% - Énfasis2"/>
    <tableColumn id="11" xr3:uid="{1F775D00-3B49-451A-9A87-AD4541CFB05F}" name="Diagnóstico Accidente" dataDxfId="109" totalsRowDxfId="108" dataCellStyle="40% - Énfasis2"/>
    <tableColumn id="9" xr3:uid="{237A681E-F747-4637-979F-8836AA2DF431}" name="Clinica" dataDxfId="107" totalsRowDxfId="106" dataCellStyle="40% - Énfasis2"/>
    <tableColumn id="20" xr3:uid="{15184EFC-9F56-4B47-BE37-E8A2641CC59A}" name="Médico Tratante" dataDxfId="105" totalsRowDxfId="104" dataCellStyle="40% - Énfasis2"/>
    <tableColumn id="12" xr3:uid="{F8D249ED-F245-407A-976C-2A1C7EC36900}" name="Tipo Ausencia" dataDxfId="103" totalsRowDxfId="102" dataCellStyle="40% - Énfasis2"/>
    <tableColumn id="13" xr3:uid="{96F2B202-7675-464C-96CD-F120A93F63CD}" name="Fecha Inicio" dataDxfId="101" totalsRowDxfId="100" dataCellStyle="40% - Énfasis2"/>
    <tableColumn id="14" xr3:uid="{97E356FB-A987-486F-9FC3-E7900CA1A265}" name="Días perdidos" dataDxfId="99" totalsRowDxfId="98" dataCellStyle="40% - Énfasis2"/>
    <tableColumn id="15" xr3:uid="{AD378EAD-668D-4C2D-AF6A-995F21D2DD49}" name="Aptitud de Reincorporación" dataDxfId="97" totalsRowDxfId="96" dataCellStyle="40% - Énfasis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_Vacunaciones" displayName="tbl_Vacunaciones" ref="A1:E2" headerRowDxfId="95" dataDxfId="93" totalsRowDxfId="92" headerRowBorderDxfId="94">
  <autoFilter ref="A1:E2" xr:uid="{00000000-0009-0000-0100-000006000000}"/>
  <tableColumns count="5">
    <tableColumn id="1" xr3:uid="{00000000-0010-0000-0500-000001000000}" name="VacunacionID" dataDxfId="91">
      <calculatedColumnFormula>IF(B2&lt;&gt;"", "VAC-" &amp; TEXT(10000 + ROW(A2) - 1, "0000"), "")</calculatedColumnFormula>
    </tableColumn>
    <tableColumn id="4" xr3:uid="{00000000-0010-0000-0500-000004000000}" name="Nombre" dataDxfId="90"/>
    <tableColumn id="2" xr3:uid="{00000000-0010-0000-0500-000002000000}" name="DNI" dataDxfId="89">
      <calculatedColumnFormula>IF(B2="", "", _xlfn.XLOOKUP(B2, tbl_Trabajadores[Nombre], tbl_Trabajadores[DNI], ""))</calculatedColumnFormula>
    </tableColumn>
    <tableColumn id="3" xr3:uid="{00000000-0010-0000-0500-000003000000}" name="Vacuna" dataDxfId="88"/>
    <tableColumn id="5" xr3:uid="{00000000-0010-0000-0500-000005000000}" name="Fecha" dataDxfId="8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_Seguimiento_Vigilancia" displayName="Tabla_Seguimiento_Vigilancia" ref="A1:L2" totalsRowShown="0" headerRowDxfId="86" dataDxfId="84" headerRowBorderDxfId="85" dataCellStyle="40% - Énfasis1">
  <autoFilter ref="A1:L2" xr:uid="{00000000-0009-0000-0100-000004000000}"/>
  <tableColumns count="12">
    <tableColumn id="1" xr3:uid="{00000000-0010-0000-0300-000001000000}" name="SeguimientoID" dataDxfId="83" dataCellStyle="40% - Énfasis1">
      <calculatedColumnFormula>IF(B2&lt;&gt;"", "SEG-" &amp; TEXT(8000 + ROW(A2) - 1, "0000"), "")</calculatedColumnFormula>
    </tableColumn>
    <tableColumn id="2" xr3:uid="{00000000-0010-0000-0300-000002000000}" name="AccidenteID" dataDxfId="82" dataCellStyle="40% - Énfasis1"/>
    <tableColumn id="10" xr3:uid="{00000000-0010-0000-0300-00000A000000}" name="Nombre" dataDxfId="81" dataCellStyle="40% - Énfasis1"/>
    <tableColumn id="3" xr3:uid="{00000000-0010-0000-0300-000003000000}" name="DNI" dataDxfId="80" dataCellStyle="40% - Énfasis1"/>
    <tableColumn id="4" xr3:uid="{00000000-0010-0000-0300-000004000000}" name="Parte_Cuerpo" dataDxfId="79" dataCellStyle="40% - Énfasis1"/>
    <tableColumn id="6" xr3:uid="{00000000-0010-0000-0300-000006000000}" name="Fecha" dataDxfId="78" dataCellStyle="40% - Énfasis1"/>
    <tableColumn id="5" xr3:uid="{00000000-0010-0000-0300-000005000000}" name="Cirugía" dataDxfId="77" dataCellStyle="40% - Énfasis1"/>
    <tableColumn id="12" xr3:uid="{0C099E59-5343-4F33-A824-F7C2F7C9F446}" name="Clinica" dataDxfId="76" dataCellStyle="40% - Énfasis1"/>
    <tableColumn id="11" xr3:uid="{0BC71936-7B66-4926-9520-42FBE193B82F}" name="Medico Tratante" dataDxfId="75" dataCellStyle="40% - Énfasis1"/>
    <tableColumn id="7" xr3:uid="{00000000-0010-0000-0300-000007000000}" name="Diagnostico" dataDxfId="74" dataCellStyle="40% - Énfasis1"/>
    <tableColumn id="8" xr3:uid="{00000000-0010-0000-0300-000008000000}" name="DM" dataDxfId="73" dataCellStyle="40% - Énfasis1"/>
    <tableColumn id="9" xr3:uid="{00000000-0010-0000-0300-000009000000}" name="Evidencia" dataDxfId="72" dataCellStyle="40% - Énfasis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_Programaciones" displayName="tbl_Programaciones" ref="A1:J2" headerRowDxfId="71" dataDxfId="69" totalsRowDxfId="68" headerRowBorderDxfId="70" dataCellStyle="40% - Énfasis1">
  <autoFilter ref="A1:J2" xr:uid="{00000000-0009-0000-0100-000008000000}"/>
  <tableColumns count="10">
    <tableColumn id="1" xr3:uid="{00000000-0010-0000-0700-000001000000}" name="ProgramacionID" dataDxfId="67" dataCellStyle="40% - Énfasis1">
      <calculatedColumnFormula>IF(B2&lt;&gt;"", "PRG-" &amp; TEXT(2000 + ROW(A2) - 1, "0000"), "")</calculatedColumnFormula>
    </tableColumn>
    <tableColumn id="11" xr3:uid="{00000000-0010-0000-0700-00000B000000}" name="Nombre" dataDxfId="66" dataCellStyle="40% - Énfasis1"/>
    <tableColumn id="2" xr3:uid="{00000000-0010-0000-0700-000002000000}" name="DNI" dataDxfId="65" dataCellStyle="40% - Énfasis1"/>
    <tableColumn id="3" xr3:uid="{00000000-0010-0000-0700-000003000000}" name="Tipo_Programación" dataDxfId="64" dataCellStyle="40% - Énfasis1"/>
    <tableColumn id="5" xr3:uid="{00000000-0010-0000-0700-000005000000}" name="Fecha" dataDxfId="63" dataCellStyle="40% - Énfasis1"/>
    <tableColumn id="6" xr3:uid="{00000000-0010-0000-0700-000006000000}" name="Tipo_Examen" dataDxfId="62" dataCellStyle="40% - Énfasis4"/>
    <tableColumn id="10" xr3:uid="{00000000-0010-0000-0700-00000A000000}" name="ID_Referencia" dataDxfId="61" dataCellStyle="40% - Énfasis2"/>
    <tableColumn id="7" xr3:uid="{00000000-0010-0000-0700-000007000000}" name="Estado" dataDxfId="60" dataCellStyle="40% - Énfasis1"/>
    <tableColumn id="8" xr3:uid="{BC4C86DC-A95B-472D-B008-2771ED8695A0}" name="Motivo Cancelación" dataDxfId="59" totalsRowDxfId="58" dataCellStyle="40% - Énfasis1"/>
    <tableColumn id="4" xr3:uid="{E1FACD55-B816-4798-9BE0-4178D6D6B6BA}" name="Enviado" dataDxfId="57" totalsRowDxfId="56" dataCellStyle="40% - Énfasis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71F51F-E4C3-4FD9-A8DB-0FD8B86C7371}" name="Capacitaciones" displayName="Capacitaciones" ref="A1:E2" totalsRowShown="0" headerRowDxfId="55" dataDxfId="54" dataCellStyle="60% - Énfasis1">
  <autoFilter ref="A1:E2" xr:uid="{FF71F51F-E4C3-4FD9-A8DB-0FD8B86C7371}"/>
  <tableColumns count="5">
    <tableColumn id="1" xr3:uid="{6838242C-F57E-46A6-BB36-BDB60C8B42B5}" name="CapacitacionID" dataDxfId="53" dataCellStyle="60% - Énfasis1">
      <calculatedColumnFormula>IF(B2&lt;&gt;"", "CAPA-" &amp; TEXT(12000 + ROW(A2) - 1, "0000"), "")</calculatedColumnFormula>
    </tableColumn>
    <tableColumn id="2" xr3:uid="{525AFF8F-657B-4B36-AEC6-58AC74D67E1B}" name="Nombre" dataDxfId="52" dataCellStyle="60% - Énfasis1"/>
    <tableColumn id="3" xr3:uid="{6833EF38-543B-47F4-A4A5-0B057B1768FA}" name="DNI" dataDxfId="51" dataCellStyle="60% - Énfasis1"/>
    <tableColumn id="4" xr3:uid="{7A6C6EB8-D3CF-4613-AEC3-526C91F08E8E}" name="Tipo de Capacitación" dataDxfId="50" dataCellStyle="60% - Énfasis1"/>
    <tableColumn id="5" xr3:uid="{60F00CA2-99AE-45F3-BA7D-3D16A3F3F7D6}" name="Fecha" dataDxfId="49" dataCellStyle="60% - Énfasis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73A2EA-D5C2-42DC-A638-066AE072B59F}" name="tbl_VMO_Vigilancia6" displayName="tbl_VMO_Vigilancia6" ref="A1:E2" headerRowDxfId="48" dataDxfId="46" totalsRowDxfId="45" headerRowBorderDxfId="47" dataCellStyle="40% - Énfasis1">
  <autoFilter ref="A1:E2" xr:uid="{00000000-0009-0000-0100-000007000000}"/>
  <tableColumns count="5">
    <tableColumn id="1" xr3:uid="{DF29C711-BA46-411C-B16B-BD88BA4EA938}" name="VMO_ID" dataDxfId="44" dataCellStyle="40% - Énfasis1">
      <calculatedColumnFormula>IF(B2&lt;&gt;"", "VMO_SEG-" &amp; TEXT(7000 + ROW(A2) - 1, "0000"), "")</calculatedColumnFormula>
    </tableColumn>
    <tableColumn id="6" xr3:uid="{E5075E6D-4DBB-4267-9A99-835150FF9FFA}" name="Nombre" dataDxfId="43" dataCellStyle="40% - Énfasis1"/>
    <tableColumn id="2" xr3:uid="{266A4648-0CD1-49C5-85D6-52910DD5BD8A}" name="DNI" dataDxfId="42" dataCellStyle="40% - Énfasis1">
      <calculatedColumnFormula>IF(B2="", "", _xlfn.XLOOKUP(B2, tbl_Trabajadores[Nombre], tbl_Trabajadores[DNI], ""))</calculatedColumnFormula>
    </tableColumn>
    <tableColumn id="4" xr3:uid="{B01D9E4C-12A7-4CCA-8DAC-3F8F2BEC0086}" name="Recomendaciones adicionales" dataDxfId="41" dataCellStyle="40% - Énfasis1"/>
    <tableColumn id="5" xr3:uid="{4777A90B-CB02-4B56-AC20-FD01FADFB56F}" name="Conclusiones M.O" dataDxfId="40" dataCellStyle="40% - Énfasis1"/>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84FC58-D8DC-42F7-B2AF-46513BA466E4}" name="Tabla12" displayName="Tabla12" ref="A12:I52" totalsRowShown="0" headerRowDxfId="39" dataDxfId="38">
  <autoFilter ref="A12:I52" xr:uid="{3684FC58-D8DC-42F7-B2AF-46513BA466E4}"/>
  <tableColumns count="9">
    <tableColumn id="1" xr3:uid="{12148C15-D218-4B73-9E09-9547FCB705BA}" name="N" dataDxfId="37">
      <calculatedColumnFormula>IF(B13&lt;&gt;"", "EMO-" &amp; TEXT(1000 + ROW(A2) - 1, "0000"), "")</calculatedColumnFormula>
    </tableColumn>
    <tableColumn id="2" xr3:uid="{E335CA11-1416-4D81-A787-974EFDAFF54C}" name="NOMBRE" dataDxfId="36"/>
    <tableColumn id="3" xr3:uid="{A609C352-031B-4BDD-8486-746B83EFAFB5}" name="DNI" dataDxfId="35"/>
    <tableColumn id="4" xr3:uid="{E8DE7948-9EAD-4507-98D0-5A9134C2B343}" name="OCUPACION ACTUAL" dataDxfId="34"/>
    <tableColumn id="5" xr3:uid="{612CC3E8-8B85-4D1C-BBE6-5FAD2407230A}" name="TIPO DE EMO" dataDxfId="33"/>
    <tableColumn id="6" xr3:uid="{B9ADD0A2-0A9C-48E3-BB21-28D4D4045291}" name="FECHA" dataDxfId="32"/>
    <tableColumn id="7" xr3:uid="{AD786080-4010-434A-826B-139FD21A7239}" name="APTITUD" dataDxfId="31"/>
    <tableColumn id="8" xr3:uid="{09873352-EC5C-40CD-B7BA-275E8456B823}" name="ENTREGADO" dataDxfId="30"/>
    <tableColumn id="9" xr3:uid="{A4883EFF-006D-4E0B-95BF-AFD013385EED}" name="FECHA ENTREGA" dataDxfId="2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a_Descansos_Medicos" displayName="Tabla_Descansos_Medicos" ref="A1:K2" totalsRowShown="0" headerRowDxfId="28" dataDxfId="26" headerRowBorderDxfId="27" dataCellStyle="60% - Énfasis1">
  <autoFilter ref="A1:K2" xr:uid="{00000000-0009-0000-0100-00000A000000}"/>
  <tableColumns count="11">
    <tableColumn id="1" xr3:uid="{00000000-0010-0000-0900-000001000000}" name="DescansoID" dataDxfId="25" dataCellStyle="60% - Énfasis1">
      <calculatedColumnFormula>IF(C2&lt;&gt;"", "DM-" &amp; TEXT(9000 + ROW(A2) - 1, "0000"), "")</calculatedColumnFormula>
    </tableColumn>
    <tableColumn id="10" xr3:uid="{CF3DD75B-1C82-4ECD-9CE5-BDDF3D170250}" name="AccidenteID" dataDxfId="24" dataCellStyle="60% - Énfasis1"/>
    <tableColumn id="8" xr3:uid="{00000000-0010-0000-0900-000008000000}" name="Nombre" dataDxfId="23" dataCellStyle="60% - Énfasis1"/>
    <tableColumn id="2" xr3:uid="{00000000-0010-0000-0900-000002000000}" name="DNI" dataDxfId="22" dataCellStyle="60% - Énfasis1"/>
    <tableColumn id="9" xr3:uid="{C3975C0C-F70A-4B48-A5F5-4658D545402B}" name="Tipo de Descanso" dataDxfId="21" dataCellStyle="60% - Énfasis1"/>
    <tableColumn id="6" xr3:uid="{00000000-0010-0000-0900-000006000000}" name="Duracion_Dias" dataDxfId="20" dataCellStyle="60% - Énfasis1"/>
    <tableColumn id="3" xr3:uid="{00000000-0010-0000-0900-000003000000}" name="Diagnostico" dataDxfId="19" dataCellStyle="60% - Énfasis1"/>
    <tableColumn id="4" xr3:uid="{00000000-0010-0000-0900-000004000000}" name="FechaInicio" dataDxfId="18" dataCellStyle="60% - Énfasis1"/>
    <tableColumn id="5" xr3:uid="{00000000-0010-0000-0900-000005000000}" name="FechaFin" dataDxfId="17" dataCellStyle="60% - Énfasis1">
      <calculatedColumnFormula>IF(B2="", "",H2+F2)</calculatedColumnFormula>
    </tableColumn>
    <tableColumn id="7" xr3:uid="{00000000-0010-0000-0900-000007000000}" name="Aptitud_Reincorporación" dataDxfId="16" dataCellStyle="60% - Énfasis1"/>
    <tableColumn id="11" xr3:uid="{1D58D55A-B4CC-4C4E-92AC-BDB49AE7B318}" name="Anunciado" dataDxfId="15" dataCellStyle="60% - Énfasis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bl_Anuncios" displayName="tbl_Anuncios" ref="A1:E2" headerRowDxfId="14" dataDxfId="12" totalsRowDxfId="11" headerRowBorderDxfId="13">
  <autoFilter ref="A1:E2" xr:uid="{00000000-0009-0000-0100-00000B000000}"/>
  <tableColumns count="5">
    <tableColumn id="1" xr3:uid="{00000000-0010-0000-0A00-000001000000}" name="AnuncioID" dataDxfId="10">
      <calculatedColumnFormula>IF(B2&lt;&gt;"", "ANU-" &amp; TEXT(11000 + ROW(A2) - 1, "0000"), "")</calculatedColumnFormula>
    </tableColumn>
    <tableColumn id="2" xr3:uid="{00000000-0010-0000-0A00-000002000000}" name="DNI" dataDxfId="9"/>
    <tableColumn id="3" xr3:uid="{00000000-0010-0000-0A00-000003000000}" name="TipoAlerta" dataDxfId="8"/>
    <tableColumn id="4" xr3:uid="{00000000-0010-0000-0A00-000004000000}" name="FechaObjetivo" dataDxfId="7"/>
    <tableColumn id="5" xr3:uid="{00000000-0010-0000-0A00-000005000000}" name="Mensaje" dataDxfId="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53EC345-9076-4AD1-BBE2-CFBA6E27E52F}" name="Tabla7" displayName="Tabla7" ref="C1:C13" totalsRowShown="0" headerRowDxfId="5" dataDxfId="4">
  <autoFilter ref="C1:C13" xr:uid="{253EC345-9076-4AD1-BBE2-CFBA6E27E52F}"/>
  <tableColumns count="1">
    <tableColumn id="1" xr3:uid="{896F15D0-35FE-41FE-94CB-2A8458C76AC7}" name="MES" dataDxfId="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3E5F591-E4F8-462B-BD02-798D9C70EDFB}" name="Tabla14" displayName="Tabla14" ref="C15:C19" totalsRowShown="0" headerRowDxfId="2" dataDxfId="1">
  <autoFilter ref="C15:C19" xr:uid="{33E5F591-E4F8-462B-BD02-798D9C70EDFB}">
    <filterColumn colId="0">
      <filters>
        <filter val="2026"/>
      </filters>
    </filterColumn>
  </autoFilter>
  <tableColumns count="1">
    <tableColumn id="1" xr3:uid="{346A0F90-25C9-4222-B1A9-9B728C3169E3}" name="AÑO" dataDxfId="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EA8539E-4644-4221-B087-8AFA96CC55A3}" name="Tabla9" displayName="Tabla9" ref="D1:D2" totalsRowShown="0">
  <autoFilter ref="D1:D2" xr:uid="{CEA8539E-4644-4221-B087-8AFA96CC55A3}"/>
  <tableColumns count="1">
    <tableColumn id="1" xr3:uid="{93D0274E-1C9C-4386-9CC9-520D8A9D3FBE}" name="OBRA"/>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1:AH72"/>
  <sheetViews>
    <sheetView zoomScale="49" zoomScaleNormal="100" workbookViewId="0">
      <pane xSplit="3" ySplit="1" topLeftCell="D2" activePane="bottomRight" state="frozen"/>
      <selection pane="topRight" activeCell="D1" sqref="D1"/>
      <selection pane="bottomLeft" activeCell="A2" sqref="A2"/>
      <selection pane="bottomRight" activeCell="M3" sqref="M3"/>
    </sheetView>
  </sheetViews>
  <sheetFormatPr baseColWidth="10" defaultColWidth="8.88671875" defaultRowHeight="14.4" x14ac:dyDescent="0.3"/>
  <cols>
    <col min="1" max="1" width="10" style="2" customWidth="1"/>
    <col min="2" max="2" width="15.6640625" style="24" customWidth="1"/>
    <col min="3" max="3" width="64.109375" style="3" customWidth="1"/>
    <col min="4" max="4" width="21.33203125" style="1" customWidth="1"/>
    <col min="5" max="5" width="16.6640625" style="113" customWidth="1"/>
    <col min="6" max="6" width="6" style="2" customWidth="1"/>
    <col min="7" max="7" width="61.5546875" style="2" customWidth="1"/>
    <col min="8" max="8" width="21" style="3" customWidth="1"/>
    <col min="9" max="9" width="36" style="3" customWidth="1"/>
    <col min="10" max="10" width="12.33203125" style="2" hidden="1" customWidth="1"/>
    <col min="11" max="11" width="10.6640625" style="2" customWidth="1"/>
    <col min="12" max="12" width="14" style="1" customWidth="1"/>
    <col min="13" max="13" width="22" style="1" customWidth="1"/>
    <col min="14" max="14" width="30.6640625" style="3" customWidth="1"/>
    <col min="15" max="16" width="22" style="4" customWidth="1"/>
    <col min="17" max="17" width="12.5546875" style="1" customWidth="1"/>
    <col min="18" max="18" width="16.44140625" style="1" customWidth="1"/>
    <col min="19" max="19" width="23.6640625" hidden="1" customWidth="1"/>
    <col min="20" max="20" width="15.6640625" hidden="1" customWidth="1"/>
    <col min="21" max="21" width="16.44140625" hidden="1" customWidth="1"/>
    <col min="22" max="22" width="25.6640625" style="1" customWidth="1"/>
    <col min="23" max="23" width="30.6640625" style="18" customWidth="1"/>
    <col min="24" max="24" width="72.109375" style="155" customWidth="1"/>
    <col min="25" max="25" width="20.6640625" hidden="1" customWidth="1"/>
    <col min="26" max="26" width="60.6640625" customWidth="1"/>
    <col min="27" max="29" width="32.77734375" hidden="1" customWidth="1"/>
    <col min="30" max="30" width="20.6640625" hidden="1" customWidth="1"/>
    <col min="31" max="31" width="15.6640625" hidden="1" customWidth="1"/>
    <col min="32" max="32" width="30.6640625" customWidth="1"/>
    <col min="33" max="33" width="18.6640625" style="82" hidden="1" customWidth="1"/>
    <col min="34" max="34" width="15.6640625" hidden="1" customWidth="1"/>
    <col min="35" max="35" width="0" hidden="1" customWidth="1"/>
  </cols>
  <sheetData>
    <row r="1" spans="1:34" ht="40.200000000000003" customHeight="1" x14ac:dyDescent="0.3">
      <c r="A1" s="115" t="s">
        <v>0</v>
      </c>
      <c r="B1" s="116" t="s">
        <v>1</v>
      </c>
      <c r="C1" s="147" t="s">
        <v>2</v>
      </c>
      <c r="D1" s="117" t="s">
        <v>3</v>
      </c>
      <c r="E1" s="118" t="s">
        <v>4</v>
      </c>
      <c r="F1" s="119" t="s">
        <v>5</v>
      </c>
      <c r="G1" s="119" t="s">
        <v>249</v>
      </c>
      <c r="H1" s="119" t="s">
        <v>7</v>
      </c>
      <c r="I1" s="119" t="s">
        <v>8</v>
      </c>
      <c r="J1" s="119" t="s">
        <v>9</v>
      </c>
      <c r="K1" s="119" t="s">
        <v>10</v>
      </c>
      <c r="L1" s="117" t="s">
        <v>11</v>
      </c>
      <c r="M1" s="120" t="s">
        <v>12</v>
      </c>
      <c r="N1" s="121" t="s">
        <v>13</v>
      </c>
      <c r="O1" s="121" t="s">
        <v>14</v>
      </c>
      <c r="P1" s="141" t="s">
        <v>15</v>
      </c>
      <c r="Q1" s="120" t="s">
        <v>16</v>
      </c>
      <c r="R1" s="122" t="s">
        <v>17</v>
      </c>
      <c r="S1" s="122" t="s">
        <v>18</v>
      </c>
      <c r="T1" s="122" t="s">
        <v>19</v>
      </c>
      <c r="U1" s="122" t="s">
        <v>20</v>
      </c>
      <c r="V1" s="123" t="s">
        <v>21</v>
      </c>
      <c r="W1" s="153" t="s">
        <v>22</v>
      </c>
      <c r="X1" s="154" t="s">
        <v>23</v>
      </c>
      <c r="Y1" s="124" t="s">
        <v>24</v>
      </c>
      <c r="Z1" s="125" t="s">
        <v>25</v>
      </c>
      <c r="AA1" s="124" t="s">
        <v>250</v>
      </c>
      <c r="AB1" s="124" t="s">
        <v>252</v>
      </c>
      <c r="AC1" s="124" t="s">
        <v>253</v>
      </c>
      <c r="AD1" s="124" t="s">
        <v>27</v>
      </c>
      <c r="AE1" s="124" t="s">
        <v>28</v>
      </c>
      <c r="AF1" s="124" t="s">
        <v>29</v>
      </c>
      <c r="AG1" s="126" t="s">
        <v>30</v>
      </c>
      <c r="AH1" s="122" t="s">
        <v>31</v>
      </c>
    </row>
    <row r="2" spans="1:34" ht="43.2" x14ac:dyDescent="0.3">
      <c r="A2" s="11" t="str">
        <f>IF(B2&lt;&gt;"", "TR-" &amp; TEXT(1000 + ROW(A2) - 1, "0000"), "")</f>
        <v>TR-1001</v>
      </c>
      <c r="B2" s="132">
        <v>72944298</v>
      </c>
      <c r="C2" s="152" t="s">
        <v>275</v>
      </c>
      <c r="D2" s="96">
        <v>36133</v>
      </c>
      <c r="E2" s="112">
        <f ca="1">IF(D2&lt;&gt;"", DATEDIF(D2, TODAY(), "y"), "")</f>
        <v>27</v>
      </c>
      <c r="F2" s="138" t="s">
        <v>32</v>
      </c>
      <c r="G2" s="96" t="s">
        <v>288</v>
      </c>
      <c r="H2" s="114" t="s">
        <v>311</v>
      </c>
      <c r="I2" s="144" t="s">
        <v>312</v>
      </c>
      <c r="J2" s="96"/>
      <c r="K2" s="96" t="s">
        <v>313</v>
      </c>
      <c r="L2" s="96">
        <v>46048</v>
      </c>
      <c r="M2" s="96" cm="1">
        <f t="array" ref="M2">_xlfn.XLOOKUP(B2&amp;"", 'Registro EMO'!$C$13:$C$4344&amp;"", 'Registro EMO'!$F$13:$F$4344, "Sin registro", 0, -1)</f>
        <v>46045</v>
      </c>
      <c r="N2" s="11" t="str" cm="1">
        <f t="array" ref="N2">_xlfn.XLOOKUP(B2&amp;"", 'Registro EMO'!$C$13:$C$4344&amp;"", 'Registro EMO'!$E$13:$E$4344, "Sin registro", 0, -1)</f>
        <v>Pre-Ocupacional</v>
      </c>
      <c r="O2" s="11" t="str">
        <f>IF(P2="NO", "NO", "SI")</f>
        <v>NO</v>
      </c>
      <c r="P2" s="134" t="str" cm="1">
        <f t="array" ref="P2">_xlfn.LET(
    _xlpm.resultado, _xlfn.XLOOKUP(B2&amp;"", 'Registro EMO'!$C$13:$C$4344&amp;"", 'Registro EMO'!$I$13:$I$4344, "NO", 0, -1),
    IF(_xlpm.resultado=0, "NO", _xlpm.resultado)
)</f>
        <v>NO</v>
      </c>
      <c r="Q2" s="11" t="str">
        <f t="shared" ref="Q2" ca="1" si="0">IF(M2="Sin registro", "Pendiente", IF(EDATE(M2, IF(K2="Oficina", 24, 12)) &gt;= TODAY(), "Vigente", "Vencido"))</f>
        <v>Vigente</v>
      </c>
      <c r="R2" s="96"/>
      <c r="S2" s="11"/>
      <c r="T2" s="11" t="str">
        <f t="shared" ref="T2" si="1">IF(R2="", "", IF(U2="", "NO", "SI"))</f>
        <v/>
      </c>
      <c r="U2" s="96"/>
      <c r="V2" s="98" t="s">
        <v>345</v>
      </c>
      <c r="W2" s="29" t="s">
        <v>346</v>
      </c>
      <c r="X2" s="133" t="s">
        <v>375</v>
      </c>
      <c r="Y2" s="11" t="s">
        <v>401</v>
      </c>
      <c r="Z2" s="11" t="s">
        <v>400</v>
      </c>
      <c r="AA2" s="11"/>
      <c r="AB2" s="11"/>
      <c r="AC2" s="11"/>
      <c r="AD2" s="11"/>
      <c r="AE2" s="11"/>
      <c r="AF2" s="11"/>
      <c r="AG2" s="99"/>
      <c r="AH2" s="11" t="s">
        <v>33</v>
      </c>
    </row>
    <row r="3" spans="1:34" ht="57.6" x14ac:dyDescent="0.3">
      <c r="A3" s="7" t="str">
        <f t="shared" ref="A3:A26" si="2">IF(B3&lt;&gt;"", "TR-" &amp; TEXT(1000 + ROW(A3) - 1, "0000"), "")</f>
        <v>TR-1002</v>
      </c>
      <c r="B3" s="136">
        <v>40888707</v>
      </c>
      <c r="C3" s="137" t="s">
        <v>300</v>
      </c>
      <c r="D3" s="138">
        <v>29461</v>
      </c>
      <c r="E3" s="112">
        <f t="shared" ref="E3:E26" ca="1" si="3">IF(D3&lt;&gt;"", DATEDIF(D3, TODAY(), "y"), "")</f>
        <v>45</v>
      </c>
      <c r="F3" s="138" t="s">
        <v>32</v>
      </c>
      <c r="G3" s="96" t="s">
        <v>288</v>
      </c>
      <c r="H3" s="139" t="s">
        <v>311</v>
      </c>
      <c r="I3" s="145" t="s">
        <v>314</v>
      </c>
      <c r="J3" s="138"/>
      <c r="K3" s="138" t="s">
        <v>313</v>
      </c>
      <c r="L3" s="96">
        <v>45631</v>
      </c>
      <c r="M3" s="96" cm="1">
        <f t="array" ref="M3">_xlfn.XLOOKUP(B3&amp;"", 'Registro EMO'!$C$13:$C$4344&amp;"", 'Registro EMO'!$F$13:$F$4344, "Sin registro", 0, -1)</f>
        <v>45637</v>
      </c>
      <c r="N3" s="11" t="str" cm="1">
        <f t="array" ref="N3">_xlfn.XLOOKUP(B3&amp;"", 'Registro EMO'!$C$13:$C$4344&amp;"", 'Registro EMO'!$E$13:$E$4344, "Sin registro", 0, -1)</f>
        <v>Periódicos</v>
      </c>
      <c r="O3" s="11" t="str">
        <f t="shared" ref="O3:O26" si="4">IF(P3="NO", "NO", "SI")</f>
        <v>SI</v>
      </c>
      <c r="P3" s="150" cm="1">
        <f t="array" ref="P3">_xlfn.LET(
    _xlpm.resultado, _xlfn.XLOOKUP(B3&amp;"", 'Registro EMO'!$C$13:$C$4344&amp;"", 'Registro EMO'!$I$13:$I$4344, "NO", 0, -1),
    IF(_xlpm.resultado=0, "NO", _xlpm.resultado)
)</f>
        <v>45677</v>
      </c>
      <c r="Q3" s="11" t="str">
        <f t="shared" ref="Q3:Q26" ca="1" si="5">IF(M3="Sin registro", "Pendiente", IF(EDATE(M3, IF(K3="Oficina", 24, 12)) &gt;= TODAY(), "Vigente", "Vencido"))</f>
        <v>Vencido</v>
      </c>
      <c r="R3" s="96"/>
      <c r="S3" s="11"/>
      <c r="T3" s="11" t="str">
        <f t="shared" ref="T3:T26" si="6">IF(R3="", "", IF(U3="", "NO", "SI"))</f>
        <v/>
      </c>
      <c r="U3" s="11"/>
      <c r="V3" s="140" t="s">
        <v>297</v>
      </c>
      <c r="W3" s="29" t="s">
        <v>347</v>
      </c>
      <c r="X3" s="133" t="s">
        <v>376</v>
      </c>
      <c r="Y3" s="11"/>
      <c r="Z3" s="11"/>
      <c r="AA3" s="11"/>
      <c r="AB3" s="11"/>
      <c r="AC3" s="11"/>
      <c r="AD3" s="11"/>
      <c r="AE3" s="11"/>
      <c r="AF3" s="11"/>
      <c r="AG3" s="99"/>
      <c r="AH3" s="11" t="s">
        <v>33</v>
      </c>
    </row>
    <row r="4" spans="1:34" x14ac:dyDescent="0.3">
      <c r="A4" s="7" t="str">
        <f t="shared" si="2"/>
        <v>TR-1003</v>
      </c>
      <c r="B4" s="136">
        <v>70577038</v>
      </c>
      <c r="C4" s="137" t="s">
        <v>301</v>
      </c>
      <c r="D4" s="138">
        <v>37257</v>
      </c>
      <c r="E4" s="112">
        <f t="shared" ca="1" si="3"/>
        <v>24</v>
      </c>
      <c r="F4" s="138" t="s">
        <v>32</v>
      </c>
      <c r="G4" s="96" t="s">
        <v>288</v>
      </c>
      <c r="H4" s="139" t="s">
        <v>315</v>
      </c>
      <c r="I4" s="145" t="s">
        <v>316</v>
      </c>
      <c r="J4" s="138"/>
      <c r="K4" s="138" t="s">
        <v>313</v>
      </c>
      <c r="L4" s="96">
        <v>45745</v>
      </c>
      <c r="M4" s="96" cm="1">
        <f t="array" ref="M4">_xlfn.XLOOKUP(B4&amp;"", 'Registro EMO'!$C$13:$C$4344&amp;"", 'Registro EMO'!$F$13:$F$4344, "Sin registro", 0, -1)</f>
        <v>45745</v>
      </c>
      <c r="N4" s="11" t="str" cm="1">
        <f t="array" ref="N4">_xlfn.XLOOKUP(B4&amp;"", 'Registro EMO'!$C$13:$C$4344&amp;"", 'Registro EMO'!$E$13:$E$4344, "Sin registro", 0, -1)</f>
        <v>Pre-Ocupacional</v>
      </c>
      <c r="O4" s="11" t="str">
        <f t="shared" si="4"/>
        <v>SI</v>
      </c>
      <c r="P4" s="150" cm="1">
        <f t="array" ref="P4">_xlfn.LET(
    _xlpm.resultado, _xlfn.XLOOKUP(B4&amp;"", 'Registro EMO'!$C$13:$C$4344&amp;"", 'Registro EMO'!$I$13:$I$4344, "NO", 0, -1),
    IF(_xlpm.resultado=0, "NO", _xlpm.resultado)
)</f>
        <v>45772</v>
      </c>
      <c r="Q4" s="11" t="str">
        <f t="shared" ca="1" si="5"/>
        <v>Vigente</v>
      </c>
      <c r="R4" s="96"/>
      <c r="S4" s="11"/>
      <c r="T4" s="11" t="str">
        <f t="shared" si="6"/>
        <v/>
      </c>
      <c r="U4" s="11"/>
      <c r="V4" s="98" t="s">
        <v>296</v>
      </c>
      <c r="W4" s="29" t="s">
        <v>348</v>
      </c>
      <c r="X4" s="133" t="s">
        <v>377</v>
      </c>
      <c r="Y4" s="11"/>
      <c r="Z4" s="11"/>
      <c r="AA4" s="11"/>
      <c r="AB4" s="11"/>
      <c r="AC4" s="11"/>
      <c r="AD4" s="11"/>
      <c r="AE4" s="11"/>
      <c r="AF4" s="11"/>
      <c r="AG4" s="99"/>
      <c r="AH4" s="11" t="s">
        <v>33</v>
      </c>
    </row>
    <row r="5" spans="1:34" ht="57.6" x14ac:dyDescent="0.3">
      <c r="A5" s="7" t="str">
        <f t="shared" si="2"/>
        <v>TR-1004</v>
      </c>
      <c r="B5" s="136">
        <v>43776197</v>
      </c>
      <c r="C5" s="137" t="s">
        <v>302</v>
      </c>
      <c r="D5" s="138">
        <v>31680</v>
      </c>
      <c r="E5" s="112">
        <f t="shared" ca="1" si="3"/>
        <v>39</v>
      </c>
      <c r="F5" s="138" t="s">
        <v>32</v>
      </c>
      <c r="G5" s="96" t="s">
        <v>288</v>
      </c>
      <c r="H5" s="139" t="s">
        <v>317</v>
      </c>
      <c r="I5" s="145" t="s">
        <v>318</v>
      </c>
      <c r="J5" s="138"/>
      <c r="K5" s="138" t="s">
        <v>319</v>
      </c>
      <c r="L5" s="96">
        <v>45625</v>
      </c>
      <c r="M5" s="96" cm="1">
        <f t="array" ref="M5">_xlfn.XLOOKUP(B5&amp;"", 'Registro EMO'!$C$13:$C$4344&amp;"", 'Registro EMO'!$F$13:$F$4344, "Sin registro", 0, -1)</f>
        <v>45625</v>
      </c>
      <c r="N5" s="11" t="str" cm="1">
        <f t="array" ref="N5">_xlfn.XLOOKUP(B5&amp;"", 'Registro EMO'!$C$13:$C$4344&amp;"", 'Registro EMO'!$E$13:$E$4344, "Sin registro", 0, -1)</f>
        <v>Periódicos</v>
      </c>
      <c r="O5" s="11" t="str">
        <f t="shared" si="4"/>
        <v>SI</v>
      </c>
      <c r="P5" s="150" cm="1">
        <f t="array" ref="P5">_xlfn.LET(
    _xlpm.resultado, _xlfn.XLOOKUP(B5&amp;"", 'Registro EMO'!$C$13:$C$4344&amp;"", 'Registro EMO'!$I$13:$I$4344, "NO", 0, -1),
    IF(_xlpm.resultado=0, "NO", _xlpm.resultado)
)</f>
        <v>45684</v>
      </c>
      <c r="Q5" s="11" t="str">
        <f t="shared" ca="1" si="5"/>
        <v>Vigente</v>
      </c>
      <c r="R5" s="96"/>
      <c r="S5" s="11"/>
      <c r="T5" s="11" t="str">
        <f t="shared" si="6"/>
        <v/>
      </c>
      <c r="U5" s="11"/>
      <c r="V5" s="140" t="s">
        <v>296</v>
      </c>
      <c r="W5" s="29" t="s">
        <v>349</v>
      </c>
      <c r="X5" s="133" t="s">
        <v>378</v>
      </c>
      <c r="Y5" s="11"/>
      <c r="Z5" s="11"/>
      <c r="AA5" s="11"/>
      <c r="AB5" s="11"/>
      <c r="AC5" s="11"/>
      <c r="AD5" s="11"/>
      <c r="AE5" s="11"/>
      <c r="AF5" s="11"/>
      <c r="AG5" s="99"/>
      <c r="AH5" s="11" t="s">
        <v>33</v>
      </c>
    </row>
    <row r="6" spans="1:34" ht="57.6" x14ac:dyDescent="0.3">
      <c r="A6" s="7" t="str">
        <f t="shared" si="2"/>
        <v>TR-1005</v>
      </c>
      <c r="B6" s="136">
        <v>47119779</v>
      </c>
      <c r="C6" s="137" t="s">
        <v>263</v>
      </c>
      <c r="D6" s="138">
        <v>33028</v>
      </c>
      <c r="E6" s="112">
        <f t="shared" ca="1" si="3"/>
        <v>35</v>
      </c>
      <c r="F6" s="138" t="s">
        <v>32</v>
      </c>
      <c r="G6" s="96" t="s">
        <v>288</v>
      </c>
      <c r="H6" s="139" t="s">
        <v>320</v>
      </c>
      <c r="I6" s="145" t="s">
        <v>291</v>
      </c>
      <c r="J6" s="138"/>
      <c r="K6" s="138" t="s">
        <v>313</v>
      </c>
      <c r="L6" s="96">
        <v>46028</v>
      </c>
      <c r="M6" s="96" cm="1">
        <f t="array" ref="M6">_xlfn.XLOOKUP(B6&amp;"", 'Registro EMO'!$C$13:$C$4344&amp;"", 'Registro EMO'!$F$13:$F$4344, "Sin registro", 0, -1)</f>
        <v>46028</v>
      </c>
      <c r="N6" s="11" t="str" cm="1">
        <f t="array" ref="N6">_xlfn.XLOOKUP(B6&amp;"", 'Registro EMO'!$C$13:$C$4344&amp;"", 'Registro EMO'!$E$13:$E$4344, "Sin registro", 0, -1)</f>
        <v>Pre-Ocupacional</v>
      </c>
      <c r="O6" s="11" t="str">
        <f t="shared" si="4"/>
        <v>NO</v>
      </c>
      <c r="P6" s="134" t="str" cm="1">
        <f t="array" ref="P6">_xlfn.LET(
    _xlpm.resultado, _xlfn.XLOOKUP(B6&amp;"", 'Registro EMO'!$C$13:$C$4344&amp;"", 'Registro EMO'!$I$13:$I$4344, "NO", 0, -1),
    IF(_xlpm.resultado=0, "NO", _xlpm.resultado)
)</f>
        <v>NO</v>
      </c>
      <c r="Q6" s="11" t="str">
        <f t="shared" ca="1" si="5"/>
        <v>Vigente</v>
      </c>
      <c r="R6" s="96"/>
      <c r="S6" s="11"/>
      <c r="T6" s="11" t="str">
        <f t="shared" si="6"/>
        <v/>
      </c>
      <c r="U6" s="11"/>
      <c r="V6" s="98" t="s">
        <v>296</v>
      </c>
      <c r="W6" s="29" t="s">
        <v>350</v>
      </c>
      <c r="X6" s="133" t="s">
        <v>379</v>
      </c>
      <c r="Y6" s="11"/>
      <c r="Z6" s="11"/>
      <c r="AA6" s="11"/>
      <c r="AB6" s="11"/>
      <c r="AC6" s="11"/>
      <c r="AD6" s="11"/>
      <c r="AE6" s="11"/>
      <c r="AF6" s="11"/>
      <c r="AG6" s="99"/>
      <c r="AH6" s="11" t="s">
        <v>33</v>
      </c>
    </row>
    <row r="7" spans="1:34" x14ac:dyDescent="0.3">
      <c r="A7" s="7" t="str">
        <f t="shared" si="2"/>
        <v>TR-1006</v>
      </c>
      <c r="B7" s="136">
        <v>45420391</v>
      </c>
      <c r="C7" s="137" t="s">
        <v>271</v>
      </c>
      <c r="D7" s="138">
        <v>32403</v>
      </c>
      <c r="E7" s="112">
        <f t="shared" ca="1" si="3"/>
        <v>37</v>
      </c>
      <c r="F7" s="138" t="s">
        <v>34</v>
      </c>
      <c r="G7" s="96" t="s">
        <v>288</v>
      </c>
      <c r="H7" s="139" t="s">
        <v>321</v>
      </c>
      <c r="I7" s="145" t="s">
        <v>292</v>
      </c>
      <c r="J7" s="138"/>
      <c r="K7" s="138" t="s">
        <v>313</v>
      </c>
      <c r="L7" s="96">
        <v>46031</v>
      </c>
      <c r="M7" s="96" cm="1">
        <f t="array" ref="M7">_xlfn.XLOOKUP(B7&amp;"", 'Registro EMO'!$C$13:$C$4344&amp;"", 'Registro EMO'!$F$13:$F$4344, "Sin registro", 0, -1)</f>
        <v>46031</v>
      </c>
      <c r="N7" s="11" t="str" cm="1">
        <f t="array" ref="N7">_xlfn.XLOOKUP(B7&amp;"", 'Registro EMO'!$C$13:$C$4344&amp;"", 'Registro EMO'!$E$13:$E$4344, "Sin registro", 0, -1)</f>
        <v>Pre-Ocupacional</v>
      </c>
      <c r="O7" s="11" t="str">
        <f t="shared" si="4"/>
        <v>SI</v>
      </c>
      <c r="P7" s="150" cm="1">
        <f t="array" ref="P7">_xlfn.LET(
    _xlpm.resultado, _xlfn.XLOOKUP(B7&amp;"", 'Registro EMO'!$C$13:$C$4344&amp;"", 'Registro EMO'!$I$13:$I$4344, "NO", 0, -1),
    IF(_xlpm.resultado=0, "NO", _xlpm.resultado)
)</f>
        <v>46043</v>
      </c>
      <c r="Q7" s="11" t="str">
        <f t="shared" ca="1" si="5"/>
        <v>Vigente</v>
      </c>
      <c r="R7" s="96"/>
      <c r="S7" s="11"/>
      <c r="T7" s="11" t="str">
        <f t="shared" si="6"/>
        <v/>
      </c>
      <c r="U7" s="11"/>
      <c r="V7" s="98" t="s">
        <v>297</v>
      </c>
      <c r="W7" s="29" t="s">
        <v>351</v>
      </c>
      <c r="X7" s="133" t="s">
        <v>380</v>
      </c>
      <c r="Y7" s="11"/>
      <c r="Z7" s="11"/>
      <c r="AA7" s="11"/>
      <c r="AB7" s="11"/>
      <c r="AC7" s="11"/>
      <c r="AD7" s="11"/>
      <c r="AE7" s="11"/>
      <c r="AF7" s="11"/>
      <c r="AG7" s="99"/>
      <c r="AH7" s="11" t="s">
        <v>33</v>
      </c>
    </row>
    <row r="8" spans="1:34" x14ac:dyDescent="0.3">
      <c r="A8" s="7" t="str">
        <f t="shared" si="2"/>
        <v>TR-1007</v>
      </c>
      <c r="B8" s="136">
        <v>6266082</v>
      </c>
      <c r="C8" s="137" t="s">
        <v>303</v>
      </c>
      <c r="D8" s="138">
        <v>20729</v>
      </c>
      <c r="E8" s="112">
        <f t="shared" ca="1" si="3"/>
        <v>69</v>
      </c>
      <c r="F8" s="138" t="s">
        <v>32</v>
      </c>
      <c r="G8" s="96" t="s">
        <v>288</v>
      </c>
      <c r="H8" s="139" t="s">
        <v>322</v>
      </c>
      <c r="I8" s="145" t="s">
        <v>291</v>
      </c>
      <c r="J8" s="138"/>
      <c r="K8" s="138" t="s">
        <v>313</v>
      </c>
      <c r="L8" s="96">
        <v>45595</v>
      </c>
      <c r="M8" s="96" cm="1">
        <f t="array" ref="M8">_xlfn.XLOOKUP(B8&amp;"", 'Registro EMO'!$C$13:$C$4344&amp;"", 'Registro EMO'!$F$13:$F$4344, "Sin registro", 0, -1)</f>
        <v>45595</v>
      </c>
      <c r="N8" s="11" t="str" cm="1">
        <f t="array" ref="N8">_xlfn.XLOOKUP(B8&amp;"", 'Registro EMO'!$C$13:$C$4344&amp;"", 'Registro EMO'!$E$13:$E$4344, "Sin registro", 0, -1)</f>
        <v>Periódicos</v>
      </c>
      <c r="O8" s="11" t="str">
        <f t="shared" si="4"/>
        <v>SI</v>
      </c>
      <c r="P8" s="150" cm="1">
        <f t="array" ref="P8">_xlfn.LET(
    _xlpm.resultado, _xlfn.XLOOKUP(B8&amp;"", 'Registro EMO'!$C$13:$C$4344&amp;"", 'Registro EMO'!$I$13:$I$4344, "NO", 0, -1),
    IF(_xlpm.resultado=0, "NO", _xlpm.resultado)
)</f>
        <v>45684</v>
      </c>
      <c r="Q8" s="11" t="str">
        <f t="shared" ca="1" si="5"/>
        <v>Vencido</v>
      </c>
      <c r="R8" s="96"/>
      <c r="S8" s="11"/>
      <c r="T8" s="11" t="str">
        <f t="shared" si="6"/>
        <v/>
      </c>
      <c r="U8" s="11"/>
      <c r="V8" s="140" t="s">
        <v>296</v>
      </c>
      <c r="W8" s="29" t="s">
        <v>348</v>
      </c>
      <c r="X8" s="133" t="s">
        <v>377</v>
      </c>
      <c r="Y8" s="11"/>
      <c r="Z8" s="11"/>
      <c r="AA8" s="11"/>
      <c r="AB8" s="11"/>
      <c r="AC8" s="11"/>
      <c r="AD8" s="11"/>
      <c r="AE8" s="11"/>
      <c r="AF8" s="11"/>
      <c r="AG8" s="99"/>
      <c r="AH8" s="11" t="s">
        <v>33</v>
      </c>
    </row>
    <row r="9" spans="1:34" ht="57.6" x14ac:dyDescent="0.3">
      <c r="A9" s="7" t="str">
        <f t="shared" si="2"/>
        <v>TR-1008</v>
      </c>
      <c r="B9" s="136">
        <v>46683846</v>
      </c>
      <c r="C9" s="137" t="s">
        <v>282</v>
      </c>
      <c r="D9" s="138">
        <v>33160</v>
      </c>
      <c r="E9" s="112">
        <f t="shared" ca="1" si="3"/>
        <v>35</v>
      </c>
      <c r="F9" s="138" t="s">
        <v>32</v>
      </c>
      <c r="G9" s="96" t="s">
        <v>288</v>
      </c>
      <c r="H9" s="139" t="s">
        <v>311</v>
      </c>
      <c r="I9" s="145" t="s">
        <v>323</v>
      </c>
      <c r="J9" s="138"/>
      <c r="K9" s="138" t="s">
        <v>313</v>
      </c>
      <c r="L9" s="96">
        <v>46063</v>
      </c>
      <c r="M9" s="96" cm="1">
        <f t="array" ref="M9">_xlfn.XLOOKUP(B9&amp;"", 'Registro EMO'!$C$13:$C$4344&amp;"", 'Registro EMO'!$F$13:$F$4344, "Sin registro", 0, -1)</f>
        <v>46063</v>
      </c>
      <c r="N9" s="11" t="str" cm="1">
        <f t="array" ref="N9">_xlfn.XLOOKUP(B9&amp;"", 'Registro EMO'!$C$13:$C$4344&amp;"", 'Registro EMO'!$E$13:$E$4344, "Sin registro", 0, -1)</f>
        <v>Pre-Ocupacional</v>
      </c>
      <c r="O9" s="11" t="str">
        <f t="shared" si="4"/>
        <v>NO</v>
      </c>
      <c r="P9" s="134" t="str" cm="1">
        <f t="array" ref="P9">_xlfn.LET(
    _xlpm.resultado, _xlfn.XLOOKUP(B9&amp;"", 'Registro EMO'!$C$13:$C$4344&amp;"", 'Registro EMO'!$I$13:$I$4344, "NO", 0, -1),
    IF(_xlpm.resultado=0, "NO", _xlpm.resultado)
)</f>
        <v>NO</v>
      </c>
      <c r="Q9" s="11" t="str">
        <f t="shared" ca="1" si="5"/>
        <v>Vigente</v>
      </c>
      <c r="R9" s="96"/>
      <c r="S9" s="11"/>
      <c r="T9" s="11" t="str">
        <f t="shared" si="6"/>
        <v/>
      </c>
      <c r="U9" s="11"/>
      <c r="V9" s="140" t="s">
        <v>296</v>
      </c>
      <c r="W9" s="29" t="s">
        <v>352</v>
      </c>
      <c r="X9" s="133" t="s">
        <v>376</v>
      </c>
      <c r="Y9" s="11"/>
      <c r="Z9" s="11"/>
      <c r="AA9" s="11"/>
      <c r="AB9" s="11"/>
      <c r="AC9" s="11"/>
      <c r="AD9" s="11"/>
      <c r="AE9" s="11"/>
      <c r="AF9" s="11"/>
      <c r="AG9" s="99"/>
      <c r="AH9" s="11" t="s">
        <v>33</v>
      </c>
    </row>
    <row r="10" spans="1:34" x14ac:dyDescent="0.3">
      <c r="A10" s="7" t="str">
        <f t="shared" si="2"/>
        <v>TR-1009</v>
      </c>
      <c r="B10" s="136">
        <v>75963161</v>
      </c>
      <c r="C10" s="137" t="s">
        <v>283</v>
      </c>
      <c r="D10" s="138">
        <v>37453</v>
      </c>
      <c r="E10" s="112">
        <f t="shared" ca="1" si="3"/>
        <v>23</v>
      </c>
      <c r="F10" s="138" t="s">
        <v>32</v>
      </c>
      <c r="G10" s="96" t="s">
        <v>288</v>
      </c>
      <c r="H10" s="139" t="s">
        <v>315</v>
      </c>
      <c r="I10" s="145" t="s">
        <v>295</v>
      </c>
      <c r="J10" s="138"/>
      <c r="K10" s="138" t="s">
        <v>313</v>
      </c>
      <c r="L10" s="96">
        <v>46064</v>
      </c>
      <c r="M10" s="96" cm="1">
        <f t="array" ref="M10">_xlfn.XLOOKUP(B10&amp;"", 'Registro EMO'!$C$13:$C$4344&amp;"", 'Registro EMO'!$F$13:$F$4344, "Sin registro", 0, -1)</f>
        <v>46064</v>
      </c>
      <c r="N10" s="11" t="str" cm="1">
        <f t="array" ref="N10">_xlfn.XLOOKUP(B10&amp;"", 'Registro EMO'!$C$13:$C$4344&amp;"", 'Registro EMO'!$E$13:$E$4344, "Sin registro", 0, -1)</f>
        <v>Pre-Ocupacional</v>
      </c>
      <c r="O10" s="11" t="str">
        <f t="shared" si="4"/>
        <v>NO</v>
      </c>
      <c r="P10" s="134" t="str" cm="1">
        <f t="array" ref="P10">_xlfn.LET(
    _xlpm.resultado, _xlfn.XLOOKUP(B10&amp;"", 'Registro EMO'!$C$13:$C$4344&amp;"", 'Registro EMO'!$I$13:$I$4344, "NO", 0, -1),
    IF(_xlpm.resultado=0, "NO", _xlpm.resultado)
)</f>
        <v>NO</v>
      </c>
      <c r="Q10" s="11" t="str">
        <f t="shared" ca="1" si="5"/>
        <v>Vigente</v>
      </c>
      <c r="R10" s="96"/>
      <c r="S10" s="11"/>
      <c r="T10" s="11" t="str">
        <f t="shared" si="6"/>
        <v/>
      </c>
      <c r="U10" s="11"/>
      <c r="V10" s="98" t="s">
        <v>297</v>
      </c>
      <c r="W10" s="29"/>
      <c r="X10" s="133"/>
      <c r="Y10" s="11"/>
      <c r="Z10" s="11"/>
      <c r="AA10" s="11"/>
      <c r="AB10" s="11"/>
      <c r="AC10" s="11"/>
      <c r="AD10" s="11"/>
      <c r="AE10" s="11"/>
      <c r="AF10" s="11"/>
      <c r="AG10" s="99"/>
      <c r="AH10" s="11" t="s">
        <v>33</v>
      </c>
    </row>
    <row r="11" spans="1:34" x14ac:dyDescent="0.3">
      <c r="A11" s="7" t="str">
        <f t="shared" si="2"/>
        <v>TR-1010</v>
      </c>
      <c r="B11" s="136">
        <v>74591068</v>
      </c>
      <c r="C11" s="137" t="s">
        <v>269</v>
      </c>
      <c r="D11" s="138">
        <v>38834</v>
      </c>
      <c r="E11" s="112">
        <f t="shared" ca="1" si="3"/>
        <v>19</v>
      </c>
      <c r="F11" s="138" t="s">
        <v>32</v>
      </c>
      <c r="G11" s="96" t="s">
        <v>288</v>
      </c>
      <c r="H11" s="139" t="s">
        <v>320</v>
      </c>
      <c r="I11" s="145" t="s">
        <v>291</v>
      </c>
      <c r="J11" s="138"/>
      <c r="K11" s="138" t="s">
        <v>313</v>
      </c>
      <c r="L11" s="96">
        <v>46029</v>
      </c>
      <c r="M11" s="96" cm="1">
        <f t="array" ref="M11">_xlfn.XLOOKUP(B11&amp;"", 'Registro EMO'!$C$13:$C$4344&amp;"", 'Registro EMO'!$F$13:$F$4344, "Sin registro", 0, -1)</f>
        <v>46029</v>
      </c>
      <c r="N11" s="11" t="str" cm="1">
        <f t="array" ref="N11">_xlfn.XLOOKUP(B11&amp;"", 'Registro EMO'!$C$13:$C$4344&amp;"", 'Registro EMO'!$E$13:$E$4344, "Sin registro", 0, -1)</f>
        <v>Pre-Ocupacional</v>
      </c>
      <c r="O11" s="11" t="str">
        <f t="shared" si="4"/>
        <v>SI</v>
      </c>
      <c r="P11" s="150" cm="1">
        <f t="array" ref="P11">_xlfn.LET(
    _xlpm.resultado, _xlfn.XLOOKUP(B11&amp;"", 'Registro EMO'!$C$13:$C$4344&amp;"", 'Registro EMO'!$I$13:$I$4344, "NO", 0, -1),
    IF(_xlpm.resultado=0, "NO", _xlpm.resultado)
)</f>
        <v>45838</v>
      </c>
      <c r="Q11" s="11" t="str">
        <f t="shared" ca="1" si="5"/>
        <v>Vigente</v>
      </c>
      <c r="R11" s="96"/>
      <c r="S11" s="11"/>
      <c r="T11" s="11" t="str">
        <f t="shared" si="6"/>
        <v/>
      </c>
      <c r="U11" s="11"/>
      <c r="V11" s="98" t="s">
        <v>297</v>
      </c>
      <c r="W11" s="29" t="s">
        <v>353</v>
      </c>
      <c r="X11" s="133" t="s">
        <v>353</v>
      </c>
      <c r="Y11" s="11"/>
      <c r="Z11" s="11"/>
      <c r="AA11" s="11"/>
      <c r="AB11" s="11"/>
      <c r="AC11" s="11"/>
      <c r="AD11" s="11"/>
      <c r="AE11" s="11"/>
      <c r="AF11" s="11"/>
      <c r="AG11" s="99"/>
      <c r="AH11" s="11" t="s">
        <v>33</v>
      </c>
    </row>
    <row r="12" spans="1:34" ht="43.2" x14ac:dyDescent="0.3">
      <c r="A12" s="7" t="str">
        <f t="shared" si="2"/>
        <v>TR-1011</v>
      </c>
      <c r="B12" s="136">
        <v>46100109</v>
      </c>
      <c r="C12" s="137" t="s">
        <v>262</v>
      </c>
      <c r="D12" s="138">
        <v>32646</v>
      </c>
      <c r="E12" s="112">
        <f t="shared" ca="1" si="3"/>
        <v>36</v>
      </c>
      <c r="F12" s="138" t="s">
        <v>32</v>
      </c>
      <c r="G12" s="96" t="s">
        <v>288</v>
      </c>
      <c r="H12" s="139" t="s">
        <v>324</v>
      </c>
      <c r="I12" s="145" t="s">
        <v>325</v>
      </c>
      <c r="J12" s="138"/>
      <c r="K12" s="138" t="s">
        <v>313</v>
      </c>
      <c r="L12" s="96">
        <v>46034</v>
      </c>
      <c r="M12" s="96" cm="1">
        <f t="array" ref="M12">_xlfn.XLOOKUP(B12&amp;"", 'Registro EMO'!$C$13:$C$4344&amp;"", 'Registro EMO'!$F$13:$F$4344, "Sin registro", 0, -1)</f>
        <v>46028</v>
      </c>
      <c r="N12" s="11" t="str" cm="1">
        <f t="array" ref="N12">_xlfn.XLOOKUP(B12&amp;"", 'Registro EMO'!$C$13:$C$4344&amp;"", 'Registro EMO'!$E$13:$E$4344, "Sin registro", 0, -1)</f>
        <v>Pre-Ocupacional</v>
      </c>
      <c r="O12" s="11" t="str">
        <f t="shared" si="4"/>
        <v>NO</v>
      </c>
      <c r="P12" s="134" t="str" cm="1">
        <f t="array" ref="P12">_xlfn.LET(
    _xlpm.resultado, _xlfn.XLOOKUP(B12&amp;"", 'Registro EMO'!$C$13:$C$4344&amp;"", 'Registro EMO'!$I$13:$I$4344, "NO", 0, -1),
    IF(_xlpm.resultado=0, "NO", _xlpm.resultado)
)</f>
        <v>NO</v>
      </c>
      <c r="Q12" s="11" t="str">
        <f t="shared" ca="1" si="5"/>
        <v>Vigente</v>
      </c>
      <c r="R12" s="96"/>
      <c r="S12" s="11"/>
      <c r="T12" s="11" t="str">
        <f t="shared" si="6"/>
        <v/>
      </c>
      <c r="U12" s="11"/>
      <c r="V12" s="98" t="s">
        <v>297</v>
      </c>
      <c r="W12" s="29" t="s">
        <v>354</v>
      </c>
      <c r="X12" s="133" t="s">
        <v>381</v>
      </c>
      <c r="Y12" s="11"/>
      <c r="Z12" s="11"/>
      <c r="AA12" s="11"/>
      <c r="AB12" s="11"/>
      <c r="AC12" s="11"/>
      <c r="AD12" s="11"/>
      <c r="AE12" s="11"/>
      <c r="AF12" s="11"/>
      <c r="AG12" s="99"/>
      <c r="AH12" s="11" t="s">
        <v>33</v>
      </c>
    </row>
    <row r="13" spans="1:34" ht="86.4" x14ac:dyDescent="0.3">
      <c r="A13" s="7" t="str">
        <f t="shared" si="2"/>
        <v>TR-1012</v>
      </c>
      <c r="B13" s="136">
        <v>27408361</v>
      </c>
      <c r="C13" s="137" t="s">
        <v>267</v>
      </c>
      <c r="D13" s="138">
        <v>27428</v>
      </c>
      <c r="E13" s="112">
        <f t="shared" ca="1" si="3"/>
        <v>51</v>
      </c>
      <c r="F13" s="138" t="s">
        <v>32</v>
      </c>
      <c r="G13" s="96" t="s">
        <v>288</v>
      </c>
      <c r="H13" s="139" t="s">
        <v>320</v>
      </c>
      <c r="I13" s="145" t="s">
        <v>326</v>
      </c>
      <c r="J13" s="138"/>
      <c r="K13" s="138" t="s">
        <v>313</v>
      </c>
      <c r="L13" s="96">
        <v>45839</v>
      </c>
      <c r="M13" s="96" cm="1">
        <f t="array" ref="M13">_xlfn.XLOOKUP(B13&amp;"", 'Registro EMO'!$C$13:$C$4344&amp;"", 'Registro EMO'!$F$13:$F$4344, "Sin registro", 0, -1)</f>
        <v>46029</v>
      </c>
      <c r="N13" s="11" t="str" cm="1">
        <f t="array" ref="N13">_xlfn.XLOOKUP(B13&amp;"", 'Registro EMO'!$C$13:$C$4344&amp;"", 'Registro EMO'!$E$13:$E$4344, "Sin registro", 0, -1)</f>
        <v>Pre-Ocupacional</v>
      </c>
      <c r="O13" s="11" t="str">
        <f t="shared" si="4"/>
        <v>SI</v>
      </c>
      <c r="P13" s="150" cm="1">
        <f t="array" ref="P13">_xlfn.LET(
    _xlpm.resultado, _xlfn.XLOOKUP(B13&amp;"", 'Registro EMO'!$C$13:$C$4344&amp;"", 'Registro EMO'!$I$13:$I$4344, "NO", 0, -1),
    IF(_xlpm.resultado=0, "NO", _xlpm.resultado)
)</f>
        <v>46048</v>
      </c>
      <c r="Q13" s="11" t="str">
        <f t="shared" ca="1" si="5"/>
        <v>Vigente</v>
      </c>
      <c r="R13" s="96"/>
      <c r="S13" s="11"/>
      <c r="T13" s="11" t="str">
        <f t="shared" si="6"/>
        <v/>
      </c>
      <c r="U13" s="11"/>
      <c r="V13" s="140" t="s">
        <v>296</v>
      </c>
      <c r="W13" s="29" t="s">
        <v>355</v>
      </c>
      <c r="X13" s="133" t="s">
        <v>382</v>
      </c>
      <c r="Y13" s="11"/>
      <c r="Z13" s="11"/>
      <c r="AA13" s="11"/>
      <c r="AB13" s="11"/>
      <c r="AC13" s="11"/>
      <c r="AD13" s="11"/>
      <c r="AE13" s="11"/>
      <c r="AF13" s="11"/>
      <c r="AG13" s="99"/>
      <c r="AH13" s="11" t="s">
        <v>33</v>
      </c>
    </row>
    <row r="14" spans="1:34" ht="43.2" x14ac:dyDescent="0.3">
      <c r="A14" s="7" t="str">
        <f t="shared" si="2"/>
        <v>TR-1013</v>
      </c>
      <c r="B14" s="136">
        <v>74053510</v>
      </c>
      <c r="C14" s="137" t="s">
        <v>304</v>
      </c>
      <c r="D14" s="138">
        <v>34145</v>
      </c>
      <c r="E14" s="112">
        <f t="shared" ca="1" si="3"/>
        <v>32</v>
      </c>
      <c r="F14" s="138" t="s">
        <v>32</v>
      </c>
      <c r="G14" s="96" t="s">
        <v>288</v>
      </c>
      <c r="H14" s="139" t="s">
        <v>317</v>
      </c>
      <c r="I14" s="145" t="s">
        <v>327</v>
      </c>
      <c r="J14" s="138"/>
      <c r="K14" s="138" t="s">
        <v>313</v>
      </c>
      <c r="L14" s="96">
        <v>45624</v>
      </c>
      <c r="M14" s="96" cm="1">
        <f t="array" ref="M14">_xlfn.XLOOKUP(B14&amp;"", 'Registro EMO'!$C$13:$C$4344&amp;"", 'Registro EMO'!$F$13:$F$4344, "Sin registro", 0, -1)</f>
        <v>45624</v>
      </c>
      <c r="N14" s="11" t="str" cm="1">
        <f t="array" ref="N14">_xlfn.XLOOKUP(B14&amp;"", 'Registro EMO'!$C$13:$C$4344&amp;"", 'Registro EMO'!$E$13:$E$4344, "Sin registro", 0, -1)</f>
        <v>Pre-Ocupacional</v>
      </c>
      <c r="O14" s="11" t="str">
        <f t="shared" si="4"/>
        <v>SI</v>
      </c>
      <c r="P14" s="150" cm="1">
        <f t="array" ref="P14">_xlfn.LET(
    _xlpm.resultado, _xlfn.XLOOKUP(B14&amp;"", 'Registro EMO'!$C$13:$C$4344&amp;"", 'Registro EMO'!$I$13:$I$4344, "NO", 0, -1),
    IF(_xlpm.resultado=0, "NO", _xlpm.resultado)
)</f>
        <v>45684</v>
      </c>
      <c r="Q14" s="11" t="str">
        <f t="shared" ca="1" si="5"/>
        <v>Vencido</v>
      </c>
      <c r="R14" s="96"/>
      <c r="S14" s="11"/>
      <c r="T14" s="11" t="str">
        <f t="shared" si="6"/>
        <v/>
      </c>
      <c r="U14" s="11"/>
      <c r="V14" s="98" t="s">
        <v>297</v>
      </c>
      <c r="W14" s="29" t="s">
        <v>356</v>
      </c>
      <c r="X14" s="133" t="s">
        <v>383</v>
      </c>
      <c r="Y14" s="11"/>
      <c r="Z14" s="11"/>
      <c r="AA14" s="11"/>
      <c r="AB14" s="11"/>
      <c r="AC14" s="11"/>
      <c r="AD14" s="11"/>
      <c r="AE14" s="11"/>
      <c r="AF14" s="11"/>
      <c r="AG14" s="99"/>
      <c r="AH14" s="11" t="s">
        <v>33</v>
      </c>
    </row>
    <row r="15" spans="1:34" ht="43.2" x14ac:dyDescent="0.3">
      <c r="A15" s="7" t="str">
        <f t="shared" si="2"/>
        <v>TR-1014</v>
      </c>
      <c r="B15" s="136">
        <v>10003815</v>
      </c>
      <c r="C15" s="137" t="s">
        <v>305</v>
      </c>
      <c r="D15" s="138">
        <v>27091</v>
      </c>
      <c r="E15" s="112">
        <f t="shared" ca="1" si="3"/>
        <v>52</v>
      </c>
      <c r="F15" s="138" t="s">
        <v>32</v>
      </c>
      <c r="G15" s="96" t="s">
        <v>288</v>
      </c>
      <c r="H15" s="139" t="s">
        <v>328</v>
      </c>
      <c r="I15" s="145" t="s">
        <v>329</v>
      </c>
      <c r="J15" s="138"/>
      <c r="K15" s="138" t="s">
        <v>313</v>
      </c>
      <c r="L15" s="96">
        <v>45574</v>
      </c>
      <c r="M15" s="96" cm="1">
        <f t="array" ref="M15">_xlfn.XLOOKUP(B15&amp;"", 'Registro EMO'!$C$13:$C$4344&amp;"", 'Registro EMO'!$F$13:$F$4344, "Sin registro", 0, -1)</f>
        <v>45574</v>
      </c>
      <c r="N15" s="11" t="str" cm="1">
        <f t="array" ref="N15">_xlfn.XLOOKUP(B15&amp;"", 'Registro EMO'!$C$13:$C$4344&amp;"", 'Registro EMO'!$E$13:$E$4344, "Sin registro", 0, -1)</f>
        <v>Periódicos</v>
      </c>
      <c r="O15" s="11" t="str">
        <f t="shared" si="4"/>
        <v>SI</v>
      </c>
      <c r="P15" s="150" cm="1">
        <f t="array" ref="P15">_xlfn.LET(
    _xlpm.resultado, _xlfn.XLOOKUP(B15&amp;"", 'Registro EMO'!$C$13:$C$4344&amp;"", 'Registro EMO'!$I$13:$I$4344, "NO", 0, -1),
    IF(_xlpm.resultado=0, "NO", _xlpm.resultado)
)</f>
        <v>45684</v>
      </c>
      <c r="Q15" s="11" t="str">
        <f t="shared" ca="1" si="5"/>
        <v>Vencido</v>
      </c>
      <c r="R15" s="96"/>
      <c r="S15" s="11"/>
      <c r="T15" s="11" t="str">
        <f t="shared" si="6"/>
        <v/>
      </c>
      <c r="U15" s="11"/>
      <c r="V15" s="98" t="s">
        <v>297</v>
      </c>
      <c r="W15" s="29" t="s">
        <v>348</v>
      </c>
      <c r="X15" s="133" t="s">
        <v>384</v>
      </c>
      <c r="Y15" s="11"/>
      <c r="Z15" s="11"/>
      <c r="AA15" s="11"/>
      <c r="AB15" s="11"/>
      <c r="AC15" s="11"/>
      <c r="AD15" s="11"/>
      <c r="AE15" s="11"/>
      <c r="AF15" s="11"/>
      <c r="AG15" s="99"/>
      <c r="AH15" s="11" t="s">
        <v>33</v>
      </c>
    </row>
    <row r="16" spans="1:34" ht="43.2" x14ac:dyDescent="0.3">
      <c r="A16" s="7" t="str">
        <f t="shared" si="2"/>
        <v>TR-1015</v>
      </c>
      <c r="B16" s="136">
        <v>43532414</v>
      </c>
      <c r="C16" s="137" t="s">
        <v>306</v>
      </c>
      <c r="D16" s="138">
        <v>31480</v>
      </c>
      <c r="E16" s="112">
        <f t="shared" ca="1" si="3"/>
        <v>40</v>
      </c>
      <c r="F16" s="138" t="s">
        <v>34</v>
      </c>
      <c r="G16" s="96" t="s">
        <v>288</v>
      </c>
      <c r="H16" s="139" t="s">
        <v>317</v>
      </c>
      <c r="I16" s="145" t="s">
        <v>330</v>
      </c>
      <c r="J16" s="138"/>
      <c r="K16" s="138" t="s">
        <v>313</v>
      </c>
      <c r="L16" s="96">
        <v>45623</v>
      </c>
      <c r="M16" s="96" cm="1">
        <f t="array" ref="M16">_xlfn.XLOOKUP(B16&amp;"", 'Registro EMO'!$C$13:$C$4344&amp;"", 'Registro EMO'!$F$13:$F$4344, "Sin registro", 0, -1)</f>
        <v>45623</v>
      </c>
      <c r="N16" s="11" t="str" cm="1">
        <f t="array" ref="N16">_xlfn.XLOOKUP(B16&amp;"", 'Registro EMO'!$C$13:$C$4344&amp;"", 'Registro EMO'!$E$13:$E$4344, "Sin registro", 0, -1)</f>
        <v>Periódicos</v>
      </c>
      <c r="O16" s="11" t="str">
        <f t="shared" si="4"/>
        <v>SI</v>
      </c>
      <c r="P16" s="150" cm="1">
        <f t="array" ref="P16">_xlfn.LET(
    _xlpm.resultado, _xlfn.XLOOKUP(B16&amp;"", 'Registro EMO'!$C$13:$C$4344&amp;"", 'Registro EMO'!$I$13:$I$4344, "NO", 0, -1),
    IF(_xlpm.resultado=0, "NO", _xlpm.resultado)
)</f>
        <v>45747</v>
      </c>
      <c r="Q16" s="11" t="str">
        <f t="shared" ca="1" si="5"/>
        <v>Vencido</v>
      </c>
      <c r="R16" s="96"/>
      <c r="S16" s="11"/>
      <c r="T16" s="11" t="str">
        <f t="shared" si="6"/>
        <v/>
      </c>
      <c r="U16" s="11"/>
      <c r="V16" s="140" t="s">
        <v>296</v>
      </c>
      <c r="W16" s="29" t="s">
        <v>357</v>
      </c>
      <c r="X16" s="133" t="s">
        <v>385</v>
      </c>
      <c r="Y16" s="11"/>
      <c r="Z16" s="11"/>
      <c r="AA16" s="11"/>
      <c r="AB16" s="11"/>
      <c r="AC16" s="11"/>
      <c r="AD16" s="11"/>
      <c r="AE16" s="11"/>
      <c r="AF16" s="11"/>
      <c r="AG16" s="99"/>
      <c r="AH16" s="11" t="s">
        <v>33</v>
      </c>
    </row>
    <row r="17" spans="1:34" x14ac:dyDescent="0.3">
      <c r="A17" s="7" t="str">
        <f t="shared" si="2"/>
        <v>TR-1016</v>
      </c>
      <c r="B17" s="136">
        <v>42566193</v>
      </c>
      <c r="C17" s="137" t="s">
        <v>307</v>
      </c>
      <c r="D17" s="138">
        <v>30890</v>
      </c>
      <c r="E17" s="112">
        <f t="shared" ca="1" si="3"/>
        <v>41</v>
      </c>
      <c r="F17" s="138" t="s">
        <v>32</v>
      </c>
      <c r="G17" s="96" t="s">
        <v>288</v>
      </c>
      <c r="H17" s="139" t="s">
        <v>317</v>
      </c>
      <c r="I17" s="145" t="s">
        <v>331</v>
      </c>
      <c r="J17" s="138"/>
      <c r="K17" s="138" t="s">
        <v>313</v>
      </c>
      <c r="L17" s="96">
        <v>45624</v>
      </c>
      <c r="M17" s="96" cm="1">
        <f t="array" ref="M17">_xlfn.XLOOKUP(B17&amp;"", 'Registro EMO'!$C$13:$C$4344&amp;"", 'Registro EMO'!$F$13:$F$4344, "Sin registro", 0, -1)</f>
        <v>45624</v>
      </c>
      <c r="N17" s="11" t="str" cm="1">
        <f t="array" ref="N17">_xlfn.XLOOKUP(B17&amp;"", 'Registro EMO'!$C$13:$C$4344&amp;"", 'Registro EMO'!$E$13:$E$4344, "Sin registro", 0, -1)</f>
        <v>Pre-Ocupacional</v>
      </c>
      <c r="O17" s="11" t="str">
        <f t="shared" si="4"/>
        <v>SI</v>
      </c>
      <c r="P17" s="150" cm="1">
        <f t="array" ref="P17">_xlfn.LET(
    _xlpm.resultado, _xlfn.XLOOKUP(B17&amp;"", 'Registro EMO'!$C$13:$C$4344&amp;"", 'Registro EMO'!$I$13:$I$4344, "NO", 0, -1),
    IF(_xlpm.resultado=0, "NO", _xlpm.resultado)
)</f>
        <v>45684</v>
      </c>
      <c r="Q17" s="11" t="str">
        <f t="shared" ca="1" si="5"/>
        <v>Vencido</v>
      </c>
      <c r="R17" s="96"/>
      <c r="S17" s="11"/>
      <c r="T17" s="11" t="str">
        <f t="shared" si="6"/>
        <v/>
      </c>
      <c r="U17" s="11"/>
      <c r="V17" s="98" t="s">
        <v>345</v>
      </c>
      <c r="W17" s="29" t="s">
        <v>348</v>
      </c>
      <c r="X17" s="133" t="s">
        <v>377</v>
      </c>
      <c r="Y17" s="11"/>
      <c r="Z17" s="11"/>
      <c r="AA17" s="11"/>
      <c r="AB17" s="11"/>
      <c r="AC17" s="11"/>
      <c r="AD17" s="11"/>
      <c r="AE17" s="11"/>
      <c r="AF17" s="11"/>
      <c r="AG17" s="99"/>
      <c r="AH17" s="11" t="s">
        <v>33</v>
      </c>
    </row>
    <row r="18" spans="1:34" ht="100.8" x14ac:dyDescent="0.3">
      <c r="A18" s="7" t="str">
        <f t="shared" si="2"/>
        <v>TR-1017</v>
      </c>
      <c r="B18" s="136">
        <v>60130077</v>
      </c>
      <c r="C18" s="137" t="s">
        <v>278</v>
      </c>
      <c r="D18" s="138">
        <v>37786</v>
      </c>
      <c r="E18" s="112">
        <f t="shared" ca="1" si="3"/>
        <v>22</v>
      </c>
      <c r="F18" s="138" t="s">
        <v>32</v>
      </c>
      <c r="G18" s="96" t="s">
        <v>288</v>
      </c>
      <c r="H18" s="139" t="s">
        <v>328</v>
      </c>
      <c r="I18" s="145" t="s">
        <v>294</v>
      </c>
      <c r="J18" s="138"/>
      <c r="K18" s="138" t="s">
        <v>313</v>
      </c>
      <c r="L18" s="96">
        <v>46049</v>
      </c>
      <c r="M18" s="96" cm="1">
        <f t="array" ref="M18">_xlfn.XLOOKUP(B18&amp;"", 'Registro EMO'!$C$13:$C$4344&amp;"", 'Registro EMO'!$F$13:$F$4344, "Sin registro", 0, -1)</f>
        <v>46049</v>
      </c>
      <c r="N18" s="11" t="str" cm="1">
        <f t="array" ref="N18">_xlfn.XLOOKUP(B18&amp;"", 'Registro EMO'!$C$13:$C$4344&amp;"", 'Registro EMO'!$E$13:$E$4344, "Sin registro", 0, -1)</f>
        <v>Pre-Ocupacional</v>
      </c>
      <c r="O18" s="11" t="str">
        <f t="shared" si="4"/>
        <v>NO</v>
      </c>
      <c r="P18" s="134" t="str" cm="1">
        <f t="array" ref="P18">_xlfn.LET(
    _xlpm.resultado, _xlfn.XLOOKUP(B18&amp;"", 'Registro EMO'!$C$13:$C$4344&amp;"", 'Registro EMO'!$I$13:$I$4344, "NO", 0, -1),
    IF(_xlpm.resultado=0, "NO", _xlpm.resultado)
)</f>
        <v>NO</v>
      </c>
      <c r="Q18" s="11" t="str">
        <f t="shared" ca="1" si="5"/>
        <v>Vigente</v>
      </c>
      <c r="R18" s="96"/>
      <c r="S18" s="11"/>
      <c r="T18" s="11" t="str">
        <f t="shared" si="6"/>
        <v/>
      </c>
      <c r="U18" s="11"/>
      <c r="V18" s="140" t="s">
        <v>296</v>
      </c>
      <c r="W18" s="29" t="s">
        <v>358</v>
      </c>
      <c r="X18" s="133" t="s">
        <v>386</v>
      </c>
      <c r="Y18" s="11"/>
      <c r="Z18" s="11"/>
      <c r="AA18" s="11"/>
      <c r="AB18" s="11"/>
      <c r="AC18" s="11"/>
      <c r="AD18" s="11"/>
      <c r="AE18" s="11"/>
      <c r="AF18" s="11"/>
      <c r="AG18" s="99"/>
      <c r="AH18" s="11" t="s">
        <v>33</v>
      </c>
    </row>
    <row r="19" spans="1:34" x14ac:dyDescent="0.3">
      <c r="A19" s="7" t="str">
        <f t="shared" si="2"/>
        <v>TR-1018</v>
      </c>
      <c r="B19" s="136">
        <v>77385279</v>
      </c>
      <c r="C19" s="137" t="s">
        <v>258</v>
      </c>
      <c r="D19" s="138">
        <v>35354</v>
      </c>
      <c r="E19" s="112">
        <f t="shared" ca="1" si="3"/>
        <v>29</v>
      </c>
      <c r="F19" s="138" t="s">
        <v>32</v>
      </c>
      <c r="G19" s="96" t="s">
        <v>288</v>
      </c>
      <c r="H19" s="139" t="s">
        <v>332</v>
      </c>
      <c r="I19" s="145" t="s">
        <v>326</v>
      </c>
      <c r="J19" s="138"/>
      <c r="K19" s="138" t="s">
        <v>313</v>
      </c>
      <c r="L19" s="96">
        <v>46025</v>
      </c>
      <c r="M19" s="96" cm="1">
        <f t="array" ref="M19">_xlfn.XLOOKUP(B19&amp;"", 'Registro EMO'!$C$13:$C$4344&amp;"", 'Registro EMO'!$F$13:$F$4344, "Sin registro", 0, -1)</f>
        <v>46025</v>
      </c>
      <c r="N19" s="11" t="str" cm="1">
        <f t="array" ref="N19">_xlfn.XLOOKUP(B19&amp;"", 'Registro EMO'!$C$13:$C$4344&amp;"", 'Registro EMO'!$E$13:$E$4344, "Sin registro", 0, -1)</f>
        <v>Pre-Ocupacional</v>
      </c>
      <c r="O19" s="11" t="str">
        <f t="shared" si="4"/>
        <v>SI</v>
      </c>
      <c r="P19" s="150" cm="1">
        <f t="array" ref="P19">_xlfn.LET(
    _xlpm.resultado, _xlfn.XLOOKUP(B19&amp;"", 'Registro EMO'!$C$13:$C$4344&amp;"", 'Registro EMO'!$I$13:$I$4344, "NO", 0, -1),
    IF(_xlpm.resultado=0, "NO", _xlpm.resultado)
)</f>
        <v>46048</v>
      </c>
      <c r="Q19" s="11" t="str">
        <f t="shared" ca="1" si="5"/>
        <v>Vigente</v>
      </c>
      <c r="R19" s="96"/>
      <c r="S19" s="11"/>
      <c r="T19" s="11" t="str">
        <f t="shared" si="6"/>
        <v/>
      </c>
      <c r="U19" s="11"/>
      <c r="V19" s="140" t="s">
        <v>297</v>
      </c>
      <c r="W19" s="29" t="s">
        <v>359</v>
      </c>
      <c r="X19" s="133" t="s">
        <v>380</v>
      </c>
      <c r="Y19" s="11"/>
      <c r="Z19" s="11"/>
      <c r="AA19" s="11"/>
      <c r="AB19" s="11"/>
      <c r="AC19" s="11"/>
      <c r="AD19" s="11"/>
      <c r="AE19" s="11"/>
      <c r="AF19" s="11"/>
      <c r="AG19" s="99"/>
      <c r="AH19" s="11" t="s">
        <v>33</v>
      </c>
    </row>
    <row r="20" spans="1:34" ht="115.2" x14ac:dyDescent="0.3">
      <c r="A20" s="7" t="str">
        <f t="shared" si="2"/>
        <v>TR-1019</v>
      </c>
      <c r="B20" s="136">
        <v>9644497</v>
      </c>
      <c r="C20" s="137" t="s">
        <v>276</v>
      </c>
      <c r="D20" s="138">
        <v>25875</v>
      </c>
      <c r="E20" s="112">
        <f t="shared" ca="1" si="3"/>
        <v>55</v>
      </c>
      <c r="F20" s="138" t="s">
        <v>32</v>
      </c>
      <c r="G20" s="96" t="s">
        <v>288</v>
      </c>
      <c r="H20" s="139" t="s">
        <v>333</v>
      </c>
      <c r="I20" s="145" t="s">
        <v>293</v>
      </c>
      <c r="J20" s="138"/>
      <c r="K20" s="138" t="s">
        <v>313</v>
      </c>
      <c r="L20" s="96">
        <v>46048</v>
      </c>
      <c r="M20" s="96" cm="1">
        <f t="array" ref="M20">_xlfn.XLOOKUP(B20&amp;"", 'Registro EMO'!$C$13:$C$4344&amp;"", 'Registro EMO'!$F$13:$F$4344, "Sin registro", 0, -1)</f>
        <v>46045</v>
      </c>
      <c r="N20" s="11" t="str" cm="1">
        <f t="array" ref="N20">_xlfn.XLOOKUP(B20&amp;"", 'Registro EMO'!$C$13:$C$4344&amp;"", 'Registro EMO'!$E$13:$E$4344, "Sin registro", 0, -1)</f>
        <v>Pre-Ocupacional</v>
      </c>
      <c r="O20" s="11" t="str">
        <f t="shared" si="4"/>
        <v>NO</v>
      </c>
      <c r="P20" s="134" t="str" cm="1">
        <f t="array" ref="P20">_xlfn.LET(
    _xlpm.resultado, _xlfn.XLOOKUP(B20&amp;"", 'Registro EMO'!$C$13:$C$4344&amp;"", 'Registro EMO'!$I$13:$I$4344, "NO", 0, -1),
    IF(_xlpm.resultado=0, "NO", _xlpm.resultado)
)</f>
        <v>NO</v>
      </c>
      <c r="Q20" s="11" t="str">
        <f t="shared" ca="1" si="5"/>
        <v>Vigente</v>
      </c>
      <c r="R20" s="96"/>
      <c r="S20" s="11"/>
      <c r="T20" s="11" t="str">
        <f t="shared" si="6"/>
        <v/>
      </c>
      <c r="U20" s="11"/>
      <c r="V20" s="98" t="s">
        <v>296</v>
      </c>
      <c r="W20" s="29" t="s">
        <v>360</v>
      </c>
      <c r="X20" s="133" t="s">
        <v>387</v>
      </c>
      <c r="Y20" s="11"/>
      <c r="Z20" s="11"/>
      <c r="AA20" s="11"/>
      <c r="AB20" s="11"/>
      <c r="AC20" s="11"/>
      <c r="AD20" s="11"/>
      <c r="AE20" s="11"/>
      <c r="AF20" s="11"/>
      <c r="AG20" s="99"/>
      <c r="AH20" s="11" t="s">
        <v>33</v>
      </c>
    </row>
    <row r="21" spans="1:34" x14ac:dyDescent="0.3">
      <c r="A21" s="7" t="str">
        <f t="shared" si="2"/>
        <v>TR-1020</v>
      </c>
      <c r="B21" s="136">
        <v>76056978</v>
      </c>
      <c r="C21" s="137" t="s">
        <v>273</v>
      </c>
      <c r="D21" s="138">
        <v>36195</v>
      </c>
      <c r="E21" s="112">
        <f t="shared" ca="1" si="3"/>
        <v>27</v>
      </c>
      <c r="F21" s="138" t="s">
        <v>32</v>
      </c>
      <c r="G21" s="96" t="s">
        <v>288</v>
      </c>
      <c r="H21" s="139" t="s">
        <v>315</v>
      </c>
      <c r="I21" s="145" t="s">
        <v>334</v>
      </c>
      <c r="J21" s="138"/>
      <c r="K21" s="138" t="s">
        <v>313</v>
      </c>
      <c r="L21" s="96">
        <v>46036</v>
      </c>
      <c r="M21" s="96" cm="1">
        <f t="array" ref="M21">_xlfn.XLOOKUP(B21&amp;"", 'Registro EMO'!$C$13:$C$4344&amp;"", 'Registro EMO'!$F$13:$F$4344, "Sin registro", 0, -1)</f>
        <v>46032</v>
      </c>
      <c r="N21" s="11" t="str" cm="1">
        <f t="array" ref="N21">_xlfn.XLOOKUP(B21&amp;"", 'Registro EMO'!$C$13:$C$4344&amp;"", 'Registro EMO'!$E$13:$E$4344, "Sin registro", 0, -1)</f>
        <v>Pre-Ocupacional</v>
      </c>
      <c r="O21" s="11" t="str">
        <f t="shared" si="4"/>
        <v>NO</v>
      </c>
      <c r="P21" s="134" t="str" cm="1">
        <f t="array" ref="P21">_xlfn.LET(
    _xlpm.resultado, _xlfn.XLOOKUP(B21&amp;"", 'Registro EMO'!$C$13:$C$4344&amp;"", 'Registro EMO'!$I$13:$I$4344, "NO", 0, -1),
    IF(_xlpm.resultado=0, "NO", _xlpm.resultado)
)</f>
        <v>NO</v>
      </c>
      <c r="Q21" s="11" t="str">
        <f t="shared" ca="1" si="5"/>
        <v>Vigente</v>
      </c>
      <c r="R21" s="96"/>
      <c r="S21" s="11"/>
      <c r="T21" s="11" t="str">
        <f t="shared" si="6"/>
        <v/>
      </c>
      <c r="U21" s="11"/>
      <c r="V21" s="140" t="s">
        <v>296</v>
      </c>
      <c r="W21" s="29" t="s">
        <v>361</v>
      </c>
      <c r="X21" s="133" t="s">
        <v>377</v>
      </c>
      <c r="Y21" s="11"/>
      <c r="Z21" s="11"/>
      <c r="AA21" s="11"/>
      <c r="AB21" s="11"/>
      <c r="AC21" s="11"/>
      <c r="AD21" s="11"/>
      <c r="AE21" s="11"/>
      <c r="AF21" s="11"/>
      <c r="AG21" s="99"/>
      <c r="AH21" s="11" t="s">
        <v>33</v>
      </c>
    </row>
    <row r="22" spans="1:34" ht="43.2" x14ac:dyDescent="0.3">
      <c r="A22" s="7" t="str">
        <f t="shared" si="2"/>
        <v>TR-1021</v>
      </c>
      <c r="B22" s="136">
        <v>46142359</v>
      </c>
      <c r="C22" s="137" t="s">
        <v>268</v>
      </c>
      <c r="D22" s="138">
        <v>32813</v>
      </c>
      <c r="E22" s="112">
        <f t="shared" ca="1" si="3"/>
        <v>36</v>
      </c>
      <c r="F22" s="138" t="s">
        <v>32</v>
      </c>
      <c r="G22" s="96" t="s">
        <v>288</v>
      </c>
      <c r="H22" s="139" t="s">
        <v>320</v>
      </c>
      <c r="I22" s="145" t="s">
        <v>290</v>
      </c>
      <c r="J22" s="138"/>
      <c r="K22" s="138" t="s">
        <v>313</v>
      </c>
      <c r="L22" s="96">
        <v>46035</v>
      </c>
      <c r="M22" s="96" cm="1">
        <f t="array" ref="M22">_xlfn.XLOOKUP(B22&amp;"", 'Registro EMO'!$C$13:$C$4344&amp;"", 'Registro EMO'!$F$13:$F$4344, "Sin registro", 0, -1)</f>
        <v>45839</v>
      </c>
      <c r="N22" s="11" t="str" cm="1">
        <f t="array" ref="N22">_xlfn.XLOOKUP(B22&amp;"", 'Registro EMO'!$C$13:$C$4344&amp;"", 'Registro EMO'!$E$13:$E$4344, "Sin registro", 0, -1)</f>
        <v>Pre-Ocupacional</v>
      </c>
      <c r="O22" s="11" t="str">
        <f t="shared" si="4"/>
        <v>SI</v>
      </c>
      <c r="P22" s="150" cm="1">
        <f t="array" ref="P22">_xlfn.LET(
    _xlpm.resultado, _xlfn.XLOOKUP(B22&amp;"", 'Registro EMO'!$C$13:$C$4344&amp;"", 'Registro EMO'!$I$13:$I$4344, "NO", 0, -1),
    IF(_xlpm.resultado=0, "NO", _xlpm.resultado)
)</f>
        <v>46048</v>
      </c>
      <c r="Q22" s="11" t="str">
        <f t="shared" ca="1" si="5"/>
        <v>Vigente</v>
      </c>
      <c r="R22" s="96"/>
      <c r="S22" s="11"/>
      <c r="T22" s="11" t="str">
        <f t="shared" si="6"/>
        <v/>
      </c>
      <c r="U22" s="11"/>
      <c r="V22" s="98" t="s">
        <v>296</v>
      </c>
      <c r="W22" s="29" t="s">
        <v>362</v>
      </c>
      <c r="X22" s="133" t="s">
        <v>388</v>
      </c>
      <c r="Y22" s="11"/>
      <c r="Z22" s="11"/>
      <c r="AA22" s="11"/>
      <c r="AB22" s="11"/>
      <c r="AC22" s="11"/>
      <c r="AD22" s="11"/>
      <c r="AE22" s="11"/>
      <c r="AF22" s="11"/>
      <c r="AG22" s="99"/>
      <c r="AH22" s="11" t="s">
        <v>33</v>
      </c>
    </row>
    <row r="23" spans="1:34" ht="28.8" x14ac:dyDescent="0.3">
      <c r="A23" s="7" t="str">
        <f t="shared" si="2"/>
        <v>TR-1022</v>
      </c>
      <c r="B23" s="136">
        <v>76552792</v>
      </c>
      <c r="C23" s="137" t="s">
        <v>260</v>
      </c>
      <c r="D23" s="138">
        <v>35462</v>
      </c>
      <c r="E23" s="112">
        <f t="shared" ca="1" si="3"/>
        <v>29</v>
      </c>
      <c r="F23" s="138" t="s">
        <v>32</v>
      </c>
      <c r="G23" s="96" t="s">
        <v>288</v>
      </c>
      <c r="H23" s="139" t="s">
        <v>320</v>
      </c>
      <c r="I23" s="145" t="s">
        <v>326</v>
      </c>
      <c r="J23" s="138"/>
      <c r="K23" s="138" t="s">
        <v>313</v>
      </c>
      <c r="L23" s="96">
        <v>46027</v>
      </c>
      <c r="M23" s="96" cm="1">
        <f t="array" ref="M23">_xlfn.XLOOKUP(B23&amp;"", 'Registro EMO'!$C$13:$C$4344&amp;"", 'Registro EMO'!$F$13:$F$4344, "Sin registro", 0, -1)</f>
        <v>46027</v>
      </c>
      <c r="N23" s="11" t="str" cm="1">
        <f t="array" ref="N23">_xlfn.XLOOKUP(B23&amp;"", 'Registro EMO'!$C$13:$C$4344&amp;"", 'Registro EMO'!$E$13:$E$4344, "Sin registro", 0, -1)</f>
        <v>Pre-Ocupacional</v>
      </c>
      <c r="O23" s="11" t="str">
        <f t="shared" si="4"/>
        <v>NO</v>
      </c>
      <c r="P23" s="134" t="str" cm="1">
        <f t="array" ref="P23">_xlfn.LET(
    _xlpm.resultado, _xlfn.XLOOKUP(B23&amp;"", 'Registro EMO'!$C$13:$C$4344&amp;"", 'Registro EMO'!$I$13:$I$4344, "NO", 0, -1),
    IF(_xlpm.resultado=0, "NO", _xlpm.resultado)
)</f>
        <v>NO</v>
      </c>
      <c r="Q23" s="11" t="str">
        <f t="shared" ca="1" si="5"/>
        <v>Vigente</v>
      </c>
      <c r="R23" s="96"/>
      <c r="S23" s="11"/>
      <c r="T23" s="11" t="str">
        <f t="shared" si="6"/>
        <v/>
      </c>
      <c r="U23" s="11"/>
      <c r="V23" s="98" t="s">
        <v>296</v>
      </c>
      <c r="W23" s="29" t="s">
        <v>363</v>
      </c>
      <c r="X23" s="133" t="s">
        <v>375</v>
      </c>
      <c r="Y23" s="11"/>
      <c r="Z23" s="11"/>
      <c r="AA23" s="11"/>
      <c r="AB23" s="11"/>
      <c r="AC23" s="11"/>
      <c r="AD23" s="11"/>
      <c r="AE23" s="11"/>
      <c r="AF23" s="11"/>
      <c r="AG23" s="99"/>
      <c r="AH23" s="11" t="s">
        <v>33</v>
      </c>
    </row>
    <row r="24" spans="1:34" ht="86.4" x14ac:dyDescent="0.3">
      <c r="A24" s="7" t="str">
        <f t="shared" si="2"/>
        <v>TR-1023</v>
      </c>
      <c r="B24" s="136">
        <v>10017711</v>
      </c>
      <c r="C24" s="137" t="s">
        <v>277</v>
      </c>
      <c r="D24" s="138">
        <v>26494</v>
      </c>
      <c r="E24" s="112">
        <f t="shared" ca="1" si="3"/>
        <v>53</v>
      </c>
      <c r="F24" s="138" t="s">
        <v>34</v>
      </c>
      <c r="G24" s="96" t="s">
        <v>288</v>
      </c>
      <c r="H24" s="139" t="s">
        <v>321</v>
      </c>
      <c r="I24" s="145" t="s">
        <v>292</v>
      </c>
      <c r="J24" s="138"/>
      <c r="K24" s="138" t="s">
        <v>313</v>
      </c>
      <c r="L24" s="96">
        <v>46045</v>
      </c>
      <c r="M24" s="96" cm="1">
        <f t="array" ref="M24">_xlfn.XLOOKUP(B24&amp;"", 'Registro EMO'!$C$13:$C$4344&amp;"", 'Registro EMO'!$F$13:$F$4344, "Sin registro", 0, -1)</f>
        <v>46045</v>
      </c>
      <c r="N24" s="11" t="str" cm="1">
        <f t="array" ref="N24">_xlfn.XLOOKUP(B24&amp;"", 'Registro EMO'!$C$13:$C$4344&amp;"", 'Registro EMO'!$E$13:$E$4344, "Sin registro", 0, -1)</f>
        <v>Pre-Ocupacional</v>
      </c>
      <c r="O24" s="11" t="str">
        <f t="shared" si="4"/>
        <v>NO</v>
      </c>
      <c r="P24" s="134" t="str" cm="1">
        <f t="array" ref="P24">_xlfn.LET(
    _xlpm.resultado, _xlfn.XLOOKUP(B24&amp;"", 'Registro EMO'!$C$13:$C$4344&amp;"", 'Registro EMO'!$I$13:$I$4344, "NO", 0, -1),
    IF(_xlpm.resultado=0, "NO", _xlpm.resultado)
)</f>
        <v>NO</v>
      </c>
      <c r="Q24" s="11" t="str">
        <f t="shared" ca="1" si="5"/>
        <v>Vigente</v>
      </c>
      <c r="R24" s="96"/>
      <c r="S24" s="11"/>
      <c r="T24" s="11" t="str">
        <f t="shared" si="6"/>
        <v/>
      </c>
      <c r="U24" s="11"/>
      <c r="V24" s="98" t="s">
        <v>296</v>
      </c>
      <c r="W24" s="29" t="s">
        <v>364</v>
      </c>
      <c r="X24" s="133" t="s">
        <v>389</v>
      </c>
      <c r="Y24" s="11"/>
      <c r="Z24" s="11"/>
      <c r="AA24" s="11"/>
      <c r="AB24" s="11"/>
      <c r="AC24" s="11"/>
      <c r="AD24" s="11"/>
      <c r="AE24" s="11"/>
      <c r="AF24" s="11"/>
      <c r="AG24" s="99"/>
      <c r="AH24" s="11" t="s">
        <v>33</v>
      </c>
    </row>
    <row r="25" spans="1:34" x14ac:dyDescent="0.3">
      <c r="A25" s="7" t="str">
        <f t="shared" si="2"/>
        <v>TR-1024</v>
      </c>
      <c r="B25" s="136">
        <v>43881306</v>
      </c>
      <c r="C25" s="137" t="s">
        <v>308</v>
      </c>
      <c r="D25" s="138">
        <v>31669</v>
      </c>
      <c r="E25" s="112">
        <f t="shared" ca="1" si="3"/>
        <v>39</v>
      </c>
      <c r="F25" s="138" t="s">
        <v>32</v>
      </c>
      <c r="G25" s="96" t="s">
        <v>288</v>
      </c>
      <c r="H25" s="139" t="s">
        <v>317</v>
      </c>
      <c r="I25" s="145" t="s">
        <v>335</v>
      </c>
      <c r="J25" s="138"/>
      <c r="K25" s="138" t="s">
        <v>319</v>
      </c>
      <c r="L25" s="96">
        <v>45625</v>
      </c>
      <c r="M25" s="96" cm="1">
        <f t="array" ref="M25">_xlfn.XLOOKUP(B25&amp;"", 'Registro EMO'!$C$13:$C$4344&amp;"", 'Registro EMO'!$F$13:$F$4344, "Sin registro", 0, -1)</f>
        <v>45625</v>
      </c>
      <c r="N25" s="11" t="str" cm="1">
        <f t="array" ref="N25">_xlfn.XLOOKUP(B25&amp;"", 'Registro EMO'!$C$13:$C$4344&amp;"", 'Registro EMO'!$E$13:$E$4344, "Sin registro", 0, -1)</f>
        <v>Periódicos</v>
      </c>
      <c r="O25" s="11" t="str">
        <f t="shared" si="4"/>
        <v>SI</v>
      </c>
      <c r="P25" s="150" cm="1">
        <f t="array" ref="P25">_xlfn.LET(
    _xlpm.resultado, _xlfn.XLOOKUP(B25&amp;"", 'Registro EMO'!$C$13:$C$4344&amp;"", 'Registro EMO'!$I$13:$I$4344, "NO", 0, -1),
    IF(_xlpm.resultado=0, "NO", _xlpm.resultado)
)</f>
        <v>46048</v>
      </c>
      <c r="Q25" s="11" t="str">
        <f t="shared" ca="1" si="5"/>
        <v>Vigente</v>
      </c>
      <c r="R25" s="96"/>
      <c r="S25" s="11"/>
      <c r="T25" s="11" t="str">
        <f t="shared" si="6"/>
        <v/>
      </c>
      <c r="U25" s="11"/>
      <c r="V25" s="98" t="s">
        <v>296</v>
      </c>
      <c r="W25" s="29" t="s">
        <v>348</v>
      </c>
      <c r="X25" s="133" t="s">
        <v>377</v>
      </c>
      <c r="Y25" s="11"/>
      <c r="Z25" s="11"/>
      <c r="AA25" s="11"/>
      <c r="AB25" s="11"/>
      <c r="AC25" s="11"/>
      <c r="AD25" s="11"/>
      <c r="AE25" s="11"/>
      <c r="AF25" s="11"/>
      <c r="AG25" s="99"/>
      <c r="AH25" s="11" t="s">
        <v>33</v>
      </c>
    </row>
    <row r="26" spans="1:34" x14ac:dyDescent="0.3">
      <c r="A26" s="7" t="str">
        <f t="shared" si="2"/>
        <v>TR-1025</v>
      </c>
      <c r="B26" s="136">
        <v>47069747</v>
      </c>
      <c r="C26" s="137" t="s">
        <v>272</v>
      </c>
      <c r="D26" s="138">
        <v>33390</v>
      </c>
      <c r="E26" s="112">
        <f t="shared" ca="1" si="3"/>
        <v>34</v>
      </c>
      <c r="F26" s="138" t="s">
        <v>34</v>
      </c>
      <c r="G26" s="96" t="s">
        <v>288</v>
      </c>
      <c r="H26" s="139" t="s">
        <v>321</v>
      </c>
      <c r="I26" s="145" t="s">
        <v>292</v>
      </c>
      <c r="J26" s="138"/>
      <c r="K26" s="138" t="s">
        <v>313</v>
      </c>
      <c r="L26" s="96">
        <v>46031</v>
      </c>
      <c r="M26" s="96" cm="1">
        <f t="array" ref="M26">_xlfn.XLOOKUP(B26&amp;"", 'Registro EMO'!$C$13:$C$4344&amp;"", 'Registro EMO'!$F$13:$F$4344, "Sin registro", 0, -1)</f>
        <v>46031</v>
      </c>
      <c r="N26" s="11" t="str" cm="1">
        <f t="array" ref="N26">_xlfn.XLOOKUP(B26&amp;"", 'Registro EMO'!$C$13:$C$4344&amp;"", 'Registro EMO'!$E$13:$E$4344, "Sin registro", 0, -1)</f>
        <v>Pre-Ocupacional</v>
      </c>
      <c r="O26" s="11" t="str">
        <f t="shared" si="4"/>
        <v>SI</v>
      </c>
      <c r="P26" s="150" cm="1">
        <f t="array" ref="P26">_xlfn.LET(
    _xlpm.resultado, _xlfn.XLOOKUP(B26&amp;"", 'Registro EMO'!$C$13:$C$4344&amp;"", 'Registro EMO'!$I$13:$I$4344, "NO", 0, -1),
    IF(_xlpm.resultado=0, "NO", _xlpm.resultado)
)</f>
        <v>46043</v>
      </c>
      <c r="Q26" s="11" t="str">
        <f t="shared" ca="1" si="5"/>
        <v>Vigente</v>
      </c>
      <c r="R26" s="96"/>
      <c r="S26" s="11"/>
      <c r="T26" s="11" t="str">
        <f t="shared" si="6"/>
        <v/>
      </c>
      <c r="U26" s="11"/>
      <c r="V26" s="140" t="s">
        <v>297</v>
      </c>
      <c r="W26" s="29" t="s">
        <v>359</v>
      </c>
      <c r="X26" s="133" t="s">
        <v>380</v>
      </c>
      <c r="Y26" s="11"/>
      <c r="Z26" s="11"/>
      <c r="AA26" s="11"/>
      <c r="AB26" s="11"/>
      <c r="AC26" s="11"/>
      <c r="AD26" s="11"/>
      <c r="AE26" s="11"/>
      <c r="AF26" s="11"/>
      <c r="AG26" s="99"/>
      <c r="AH26" s="11" t="s">
        <v>33</v>
      </c>
    </row>
    <row r="27" spans="1:34" ht="43.2" x14ac:dyDescent="0.3">
      <c r="A27" s="7" t="str">
        <f t="shared" ref="A27:A34" si="7">IF(B27&lt;&gt;"", "TR-" &amp; TEXT(1000 + ROW(A27) - 1, "0000"), "")</f>
        <v>TR-1026</v>
      </c>
      <c r="B27" s="136">
        <v>43827159</v>
      </c>
      <c r="C27" s="137" t="s">
        <v>257</v>
      </c>
      <c r="D27" s="138">
        <v>31570</v>
      </c>
      <c r="E27" s="112">
        <f t="shared" ref="E27:E34" ca="1" si="8">IF(D27&lt;&gt;"", DATEDIF(D27, TODAY(), "y"), "")</f>
        <v>39</v>
      </c>
      <c r="F27" s="138" t="s">
        <v>32</v>
      </c>
      <c r="G27" s="96" t="s">
        <v>288</v>
      </c>
      <c r="H27" s="139" t="s">
        <v>332</v>
      </c>
      <c r="I27" s="145" t="s">
        <v>290</v>
      </c>
      <c r="J27" s="138"/>
      <c r="K27" s="138" t="s">
        <v>313</v>
      </c>
      <c r="L27" s="96">
        <v>46025</v>
      </c>
      <c r="M27" s="96" cm="1">
        <f t="array" ref="M27">_xlfn.XLOOKUP(B27&amp;"", 'Registro EMO'!$C$13:$C$4344&amp;"", 'Registro EMO'!$F$13:$F$4344, "Sin registro", 0, -1)</f>
        <v>46025</v>
      </c>
      <c r="N27" s="11" t="str" cm="1">
        <f t="array" ref="N27">_xlfn.XLOOKUP(B27&amp;"", 'Registro EMO'!$C$13:$C$4344&amp;"", 'Registro EMO'!$E$13:$E$4344, "Sin registro", 0, -1)</f>
        <v>Pre-Ocupacional</v>
      </c>
      <c r="O27" s="11" t="str">
        <f t="shared" ref="O27:O34" si="9">IF(P27="NO", "NO", "SI")</f>
        <v>NO</v>
      </c>
      <c r="P27" s="134" t="str" cm="1">
        <f t="array" ref="P27">_xlfn.LET(
    _xlpm.resultado, _xlfn.XLOOKUP(B27&amp;"", 'Registro EMO'!$C$13:$C$4344&amp;"", 'Registro EMO'!$I$13:$I$4344, "NO", 0, -1),
    IF(_xlpm.resultado=0, "NO", _xlpm.resultado)
)</f>
        <v>NO</v>
      </c>
      <c r="Q27" s="11" t="str">
        <f t="shared" ref="Q27:Q34" ca="1" si="10">IF(M27="Sin registro", "Pendiente", IF(EDATE(M27, IF(K27="Oficina", 24, 12)) &gt;= TODAY(), "Vigente", "Vencido"))</f>
        <v>Vigente</v>
      </c>
      <c r="R27" s="96"/>
      <c r="S27" s="11"/>
      <c r="T27" s="11" t="str">
        <f t="shared" ref="T27:T34" si="11">IF(R27="", "", IF(U27="", "NO", "SI"))</f>
        <v/>
      </c>
      <c r="U27" s="11"/>
      <c r="V27" s="98" t="s">
        <v>296</v>
      </c>
      <c r="W27" s="29" t="s">
        <v>346</v>
      </c>
      <c r="X27" s="133" t="s">
        <v>390</v>
      </c>
      <c r="Y27" s="11"/>
      <c r="Z27" s="11"/>
      <c r="AA27" s="11"/>
      <c r="AB27" s="11"/>
      <c r="AC27" s="11"/>
      <c r="AD27" s="11"/>
      <c r="AE27" s="11"/>
      <c r="AF27" s="11"/>
      <c r="AG27" s="99"/>
      <c r="AH27" s="11" t="s">
        <v>33</v>
      </c>
    </row>
    <row r="28" spans="1:34" ht="43.2" x14ac:dyDescent="0.3">
      <c r="A28" s="7" t="str">
        <f t="shared" si="7"/>
        <v>TR-1027</v>
      </c>
      <c r="B28" s="136">
        <v>42727114</v>
      </c>
      <c r="C28" s="137" t="s">
        <v>255</v>
      </c>
      <c r="D28" s="138">
        <v>29911</v>
      </c>
      <c r="E28" s="112">
        <f t="shared" ca="1" si="8"/>
        <v>44</v>
      </c>
      <c r="F28" s="138" t="s">
        <v>32</v>
      </c>
      <c r="G28" s="96" t="s">
        <v>288</v>
      </c>
      <c r="H28" s="139" t="s">
        <v>332</v>
      </c>
      <c r="I28" s="145" t="s">
        <v>326</v>
      </c>
      <c r="J28" s="138" t="s">
        <v>336</v>
      </c>
      <c r="K28" s="138" t="s">
        <v>313</v>
      </c>
      <c r="L28" s="96">
        <v>46035</v>
      </c>
      <c r="M28" s="96" cm="1">
        <f t="array" ref="M28">_xlfn.XLOOKUP(B28&amp;"", 'Registro EMO'!$C$13:$C$4344&amp;"", 'Registro EMO'!$F$13:$F$4344, "Sin registro", 0, -1)</f>
        <v>46048</v>
      </c>
      <c r="N28" s="11" t="str" cm="1">
        <f t="array" ref="N28">_xlfn.XLOOKUP(B28&amp;"", 'Registro EMO'!$C$13:$C$4344&amp;"", 'Registro EMO'!$E$13:$E$4344, "Sin registro", 0, -1)</f>
        <v>Pre-Ocupacional</v>
      </c>
      <c r="O28" s="11" t="str">
        <f t="shared" si="9"/>
        <v>NO</v>
      </c>
      <c r="P28" s="134" t="str" cm="1">
        <f t="array" ref="P28">_xlfn.LET(
    _xlpm.resultado, _xlfn.XLOOKUP(B28&amp;"", 'Registro EMO'!$C$13:$C$4344&amp;"", 'Registro EMO'!$I$13:$I$4344, "NO", 0, -1),
    IF(_xlpm.resultado=0, "NO", _xlpm.resultado)
)</f>
        <v>NO</v>
      </c>
      <c r="Q28" s="11" t="str">
        <f t="shared" ca="1" si="10"/>
        <v>Vigente</v>
      </c>
      <c r="R28" s="96"/>
      <c r="S28" s="11"/>
      <c r="T28" s="11" t="str">
        <f t="shared" si="11"/>
        <v/>
      </c>
      <c r="U28" s="11"/>
      <c r="V28" s="98" t="s">
        <v>296</v>
      </c>
      <c r="W28" s="29" t="s">
        <v>365</v>
      </c>
      <c r="X28" s="133" t="s">
        <v>391</v>
      </c>
      <c r="Y28" s="11"/>
      <c r="Z28" s="11"/>
      <c r="AA28" s="11"/>
      <c r="AB28" s="11"/>
      <c r="AC28" s="11"/>
      <c r="AD28" s="11"/>
      <c r="AE28" s="11"/>
      <c r="AF28" s="11"/>
      <c r="AG28" s="99"/>
      <c r="AH28" s="11" t="s">
        <v>33</v>
      </c>
    </row>
    <row r="29" spans="1:34" ht="57.6" x14ac:dyDescent="0.3">
      <c r="A29" s="7" t="str">
        <f t="shared" si="7"/>
        <v>TR-1028</v>
      </c>
      <c r="B29" s="136">
        <v>71141780</v>
      </c>
      <c r="C29" s="137" t="s">
        <v>309</v>
      </c>
      <c r="D29" s="138">
        <v>34846</v>
      </c>
      <c r="E29" s="112">
        <f t="shared" ca="1" si="8"/>
        <v>30</v>
      </c>
      <c r="F29" s="138" t="s">
        <v>32</v>
      </c>
      <c r="G29" s="96" t="s">
        <v>288</v>
      </c>
      <c r="H29" s="139" t="s">
        <v>317</v>
      </c>
      <c r="I29" s="145" t="s">
        <v>337</v>
      </c>
      <c r="J29" s="138"/>
      <c r="K29" s="138" t="s">
        <v>319</v>
      </c>
      <c r="L29" s="96">
        <v>45623</v>
      </c>
      <c r="M29" s="96" cm="1">
        <f t="array" ref="M29">_xlfn.XLOOKUP(B29&amp;"", 'Registro EMO'!$C$13:$C$4344&amp;"", 'Registro EMO'!$F$13:$F$4344, "Sin registro", 0, -1)</f>
        <v>45623</v>
      </c>
      <c r="N29" s="11" t="str" cm="1">
        <f t="array" ref="N29">_xlfn.XLOOKUP(B29&amp;"", 'Registro EMO'!$C$13:$C$4344&amp;"", 'Registro EMO'!$E$13:$E$4344, "Sin registro", 0, -1)</f>
        <v>Periódicos</v>
      </c>
      <c r="O29" s="11" t="str">
        <f t="shared" si="9"/>
        <v>SI</v>
      </c>
      <c r="P29" s="150" cm="1">
        <f t="array" ref="P29">_xlfn.LET(
    _xlpm.resultado, _xlfn.XLOOKUP(B29&amp;"", 'Registro EMO'!$C$13:$C$4344&amp;"", 'Registro EMO'!$I$13:$I$4344, "NO", 0, -1),
    IF(_xlpm.resultado=0, "NO", _xlpm.resultado)
)</f>
        <v>46049</v>
      </c>
      <c r="Q29" s="11" t="str">
        <f t="shared" ca="1" si="10"/>
        <v>Vigente</v>
      </c>
      <c r="R29" s="96"/>
      <c r="S29" s="11"/>
      <c r="T29" s="11" t="str">
        <f t="shared" si="11"/>
        <v/>
      </c>
      <c r="U29" s="11"/>
      <c r="V29" s="140" t="s">
        <v>296</v>
      </c>
      <c r="W29" s="29" t="s">
        <v>352</v>
      </c>
      <c r="X29" s="133" t="s">
        <v>376</v>
      </c>
      <c r="Y29" s="11"/>
      <c r="Z29" s="11"/>
      <c r="AA29" s="11"/>
      <c r="AB29" s="11"/>
      <c r="AC29" s="11"/>
      <c r="AD29" s="11"/>
      <c r="AE29" s="11"/>
      <c r="AF29" s="11"/>
      <c r="AG29" s="99"/>
      <c r="AH29" s="11" t="s">
        <v>33</v>
      </c>
    </row>
    <row r="30" spans="1:34" x14ac:dyDescent="0.3">
      <c r="A30" s="7" t="str">
        <f t="shared" si="7"/>
        <v>TR-1029</v>
      </c>
      <c r="B30" s="136">
        <v>72696609</v>
      </c>
      <c r="C30" s="137" t="s">
        <v>279</v>
      </c>
      <c r="D30" s="138">
        <v>37924</v>
      </c>
      <c r="E30" s="112">
        <f t="shared" ca="1" si="8"/>
        <v>22</v>
      </c>
      <c r="F30" s="138" t="s">
        <v>32</v>
      </c>
      <c r="G30" s="96" t="s">
        <v>288</v>
      </c>
      <c r="H30" s="139" t="s">
        <v>320</v>
      </c>
      <c r="I30" s="145" t="s">
        <v>326</v>
      </c>
      <c r="J30" s="138"/>
      <c r="K30" s="138" t="s">
        <v>313</v>
      </c>
      <c r="L30" s="96">
        <v>46049</v>
      </c>
      <c r="M30" s="96" cm="1">
        <f t="array" ref="M30">_xlfn.XLOOKUP(B30&amp;"", 'Registro EMO'!$C$13:$C$4344&amp;"", 'Registro EMO'!$F$13:$F$4344, "Sin registro", 0, -1)</f>
        <v>46049</v>
      </c>
      <c r="N30" s="11" t="str" cm="1">
        <f t="array" ref="N30">_xlfn.XLOOKUP(B30&amp;"", 'Registro EMO'!$C$13:$C$4344&amp;"", 'Registro EMO'!$E$13:$E$4344, "Sin registro", 0, -1)</f>
        <v>Pre-Ocupacional</v>
      </c>
      <c r="O30" s="11" t="str">
        <f t="shared" si="9"/>
        <v>NO</v>
      </c>
      <c r="P30" s="134" t="str" cm="1">
        <f t="array" ref="P30">_xlfn.LET(
    _xlpm.resultado, _xlfn.XLOOKUP(B30&amp;"", 'Registro EMO'!$C$13:$C$4344&amp;"", 'Registro EMO'!$I$13:$I$4344, "NO", 0, -1),
    IF(_xlpm.resultado=0, "NO", _xlpm.resultado)
)</f>
        <v>NO</v>
      </c>
      <c r="Q30" s="11" t="str">
        <f t="shared" ca="1" si="10"/>
        <v>Vigente</v>
      </c>
      <c r="R30" s="96"/>
      <c r="S30" s="11"/>
      <c r="T30" s="11" t="str">
        <f t="shared" si="11"/>
        <v/>
      </c>
      <c r="U30" s="11"/>
      <c r="V30" s="140" t="s">
        <v>297</v>
      </c>
      <c r="W30" s="29" t="s">
        <v>353</v>
      </c>
      <c r="X30" s="133" t="s">
        <v>353</v>
      </c>
      <c r="Y30" s="11"/>
      <c r="Z30" s="11"/>
      <c r="AA30" s="11"/>
      <c r="AB30" s="11"/>
      <c r="AC30" s="11"/>
      <c r="AD30" s="11"/>
      <c r="AE30" s="11"/>
      <c r="AF30" s="11"/>
      <c r="AG30" s="99"/>
      <c r="AH30" s="11" t="s">
        <v>33</v>
      </c>
    </row>
    <row r="31" spans="1:34" ht="72" x14ac:dyDescent="0.3">
      <c r="A31" s="7" t="str">
        <f t="shared" si="7"/>
        <v>TR-1030</v>
      </c>
      <c r="B31" s="136">
        <v>61791545</v>
      </c>
      <c r="C31" s="137" t="s">
        <v>261</v>
      </c>
      <c r="D31" s="138">
        <v>37616</v>
      </c>
      <c r="E31" s="112">
        <f t="shared" ca="1" si="8"/>
        <v>23</v>
      </c>
      <c r="F31" s="138" t="s">
        <v>32</v>
      </c>
      <c r="G31" s="96" t="s">
        <v>288</v>
      </c>
      <c r="H31" s="139" t="s">
        <v>311</v>
      </c>
      <c r="I31" s="145" t="s">
        <v>338</v>
      </c>
      <c r="J31" s="138"/>
      <c r="K31" s="138" t="s">
        <v>313</v>
      </c>
      <c r="L31" s="96">
        <v>46034</v>
      </c>
      <c r="M31" s="96" cm="1">
        <f t="array" ref="M31">_xlfn.XLOOKUP(B31&amp;"", 'Registro EMO'!$C$13:$C$4344&amp;"", 'Registro EMO'!$F$13:$F$4344, "Sin registro", 0, -1)</f>
        <v>46027</v>
      </c>
      <c r="N31" s="11" t="str" cm="1">
        <f t="array" ref="N31">_xlfn.XLOOKUP(B31&amp;"", 'Registro EMO'!$C$13:$C$4344&amp;"", 'Registro EMO'!$E$13:$E$4344, "Sin registro", 0, -1)</f>
        <v>Pre-Ocupacional</v>
      </c>
      <c r="O31" s="11" t="str">
        <f t="shared" si="9"/>
        <v>SI</v>
      </c>
      <c r="P31" s="150" cm="1">
        <f t="array" ref="P31">_xlfn.LET(
    _xlpm.resultado, _xlfn.XLOOKUP(B31&amp;"", 'Registro EMO'!$C$13:$C$4344&amp;"", 'Registro EMO'!$I$13:$I$4344, "NO", 0, -1),
    IF(_xlpm.resultado=0, "NO", _xlpm.resultado)
)</f>
        <v>46049</v>
      </c>
      <c r="Q31" s="11" t="str">
        <f t="shared" ca="1" si="10"/>
        <v>Vigente</v>
      </c>
      <c r="R31" s="96"/>
      <c r="S31" s="11"/>
      <c r="T31" s="11" t="str">
        <f t="shared" si="11"/>
        <v/>
      </c>
      <c r="U31" s="11"/>
      <c r="V31" s="140" t="s">
        <v>297</v>
      </c>
      <c r="W31" s="29" t="s">
        <v>366</v>
      </c>
      <c r="X31" s="133" t="s">
        <v>392</v>
      </c>
      <c r="Y31" s="11"/>
      <c r="Z31" s="11"/>
      <c r="AA31" s="11"/>
      <c r="AB31" s="11"/>
      <c r="AC31" s="11"/>
      <c r="AD31" s="11"/>
      <c r="AE31" s="11"/>
      <c r="AF31" s="11"/>
      <c r="AG31" s="99"/>
      <c r="AH31" s="11" t="s">
        <v>33</v>
      </c>
    </row>
    <row r="32" spans="1:34" ht="43.2" x14ac:dyDescent="0.3">
      <c r="A32" s="7" t="str">
        <f t="shared" si="7"/>
        <v>TR-1031</v>
      </c>
      <c r="B32" s="136">
        <v>75282121</v>
      </c>
      <c r="C32" s="137" t="s">
        <v>256</v>
      </c>
      <c r="D32" s="138">
        <v>35398</v>
      </c>
      <c r="E32" s="112">
        <f t="shared" ca="1" si="8"/>
        <v>29</v>
      </c>
      <c r="F32" s="138" t="s">
        <v>32</v>
      </c>
      <c r="G32" s="96" t="s">
        <v>288</v>
      </c>
      <c r="H32" s="139" t="s">
        <v>332</v>
      </c>
      <c r="I32" s="145" t="s">
        <v>289</v>
      </c>
      <c r="J32" s="138"/>
      <c r="K32" s="138" t="s">
        <v>313</v>
      </c>
      <c r="L32" s="96">
        <v>46029</v>
      </c>
      <c r="M32" s="96" cm="1">
        <f t="array" ref="M32">_xlfn.XLOOKUP(B32&amp;"", 'Registro EMO'!$C$13:$C$4344&amp;"", 'Registro EMO'!$F$13:$F$4344, "Sin registro", 0, -1)</f>
        <v>46025</v>
      </c>
      <c r="N32" s="11" t="str" cm="1">
        <f t="array" ref="N32">_xlfn.XLOOKUP(B32&amp;"", 'Registro EMO'!$C$13:$C$4344&amp;"", 'Registro EMO'!$E$13:$E$4344, "Sin registro", 0, -1)</f>
        <v>Pre-Ocupacional</v>
      </c>
      <c r="O32" s="11" t="str">
        <f t="shared" si="9"/>
        <v>SI</v>
      </c>
      <c r="P32" s="150" cm="1">
        <f t="array" ref="P32">_xlfn.LET(
    _xlpm.resultado, _xlfn.XLOOKUP(B32&amp;"", 'Registro EMO'!$C$13:$C$4344&amp;"", 'Registro EMO'!$I$13:$I$4344, "NO", 0, -1),
    IF(_xlpm.resultado=0, "NO", _xlpm.resultado)
)</f>
        <v>46049</v>
      </c>
      <c r="Q32" s="11" t="str">
        <f t="shared" ca="1" si="10"/>
        <v>Vigente</v>
      </c>
      <c r="R32" s="96"/>
      <c r="S32" s="11"/>
      <c r="T32" s="11" t="str">
        <f t="shared" si="11"/>
        <v/>
      </c>
      <c r="U32" s="11"/>
      <c r="V32" s="98" t="s">
        <v>297</v>
      </c>
      <c r="W32" s="29" t="s">
        <v>367</v>
      </c>
      <c r="X32" s="133" t="s">
        <v>393</v>
      </c>
      <c r="Y32" s="11"/>
      <c r="Z32" s="11"/>
      <c r="AA32" s="11"/>
      <c r="AB32" s="11"/>
      <c r="AC32" s="11"/>
      <c r="AD32" s="11"/>
      <c r="AE32" s="11"/>
      <c r="AF32" s="11"/>
      <c r="AG32" s="99"/>
      <c r="AH32" s="11" t="s">
        <v>33</v>
      </c>
    </row>
    <row r="33" spans="1:34" ht="57.6" x14ac:dyDescent="0.3">
      <c r="A33" s="7" t="str">
        <f t="shared" si="7"/>
        <v>TR-1032</v>
      </c>
      <c r="B33" s="136">
        <v>41641826</v>
      </c>
      <c r="C33" s="137" t="s">
        <v>310</v>
      </c>
      <c r="D33" s="138">
        <v>30330</v>
      </c>
      <c r="E33" s="112">
        <f t="shared" ca="1" si="8"/>
        <v>43</v>
      </c>
      <c r="F33" s="138" t="s">
        <v>32</v>
      </c>
      <c r="G33" s="96" t="s">
        <v>288</v>
      </c>
      <c r="H33" s="139" t="s">
        <v>317</v>
      </c>
      <c r="I33" s="145" t="s">
        <v>339</v>
      </c>
      <c r="J33" s="138"/>
      <c r="K33" s="138" t="s">
        <v>319</v>
      </c>
      <c r="L33" s="96">
        <v>45278</v>
      </c>
      <c r="M33" s="96" cm="1">
        <f t="array" ref="M33">_xlfn.XLOOKUP(B33&amp;"", 'Registro EMO'!$C$13:$C$4344&amp;"", 'Registro EMO'!$F$13:$F$4344, "Sin registro", 0, -1)</f>
        <v>45278</v>
      </c>
      <c r="N33" s="11" t="str" cm="1">
        <f t="array" ref="N33">_xlfn.XLOOKUP(B33&amp;"", 'Registro EMO'!$C$13:$C$4344&amp;"", 'Registro EMO'!$E$13:$E$4344, "Sin registro", 0, -1)</f>
        <v>Periódicos</v>
      </c>
      <c r="O33" s="11" t="str">
        <f t="shared" si="9"/>
        <v>SI</v>
      </c>
      <c r="P33" s="150" cm="1">
        <f t="array" ref="P33">_xlfn.LET(
    _xlpm.resultado, _xlfn.XLOOKUP(B33&amp;"", 'Registro EMO'!$C$13:$C$4344&amp;"", 'Registro EMO'!$I$13:$I$4344, "NO", 0, -1),
    IF(_xlpm.resultado=0, "NO", _xlpm.resultado)
)</f>
        <v>46049</v>
      </c>
      <c r="Q33" s="11" t="str">
        <f t="shared" ca="1" si="10"/>
        <v>Vencido</v>
      </c>
      <c r="R33" s="96"/>
      <c r="S33" s="11"/>
      <c r="T33" s="11" t="str">
        <f t="shared" si="11"/>
        <v/>
      </c>
      <c r="U33" s="11"/>
      <c r="V33" s="140" t="s">
        <v>296</v>
      </c>
      <c r="W33" s="29" t="s">
        <v>352</v>
      </c>
      <c r="X33" s="133" t="s">
        <v>376</v>
      </c>
      <c r="Y33" s="11"/>
      <c r="Z33" s="11"/>
      <c r="AA33" s="11"/>
      <c r="AB33" s="11"/>
      <c r="AC33" s="11"/>
      <c r="AD33" s="11"/>
      <c r="AE33" s="11"/>
      <c r="AF33" s="11"/>
      <c r="AG33" s="99"/>
      <c r="AH33" s="11" t="s">
        <v>33</v>
      </c>
    </row>
    <row r="34" spans="1:34" ht="57.6" x14ac:dyDescent="0.3">
      <c r="A34" s="7" t="str">
        <f t="shared" si="7"/>
        <v>TR-1033</v>
      </c>
      <c r="B34" s="136">
        <v>41048622</v>
      </c>
      <c r="C34" s="142" t="s">
        <v>274</v>
      </c>
      <c r="D34" s="138">
        <v>29023</v>
      </c>
      <c r="E34" s="112">
        <f t="shared" ca="1" si="8"/>
        <v>46</v>
      </c>
      <c r="F34" s="138" t="s">
        <v>34</v>
      </c>
      <c r="G34" s="96" t="s">
        <v>288</v>
      </c>
      <c r="H34" s="143" t="s">
        <v>321</v>
      </c>
      <c r="I34" s="146" t="s">
        <v>292</v>
      </c>
      <c r="J34" s="138"/>
      <c r="K34" s="138" t="s">
        <v>313</v>
      </c>
      <c r="L34" s="96">
        <v>46032</v>
      </c>
      <c r="M34" s="96" cm="1">
        <f t="array" ref="M34">_xlfn.XLOOKUP(B34&amp;"", 'Registro EMO'!$C$13:$C$4344&amp;"", 'Registro EMO'!$F$13:$F$4344, "Sin registro", 0, -1)</f>
        <v>46032</v>
      </c>
      <c r="N34" s="11" t="str" cm="1">
        <f t="array" ref="N34">_xlfn.XLOOKUP(B34&amp;"", 'Registro EMO'!$C$13:$C$4344&amp;"", 'Registro EMO'!$E$13:$E$4344, "Sin registro", 0, -1)</f>
        <v>Pre-Ocupacional</v>
      </c>
      <c r="O34" s="11" t="str">
        <f t="shared" si="9"/>
        <v>SI</v>
      </c>
      <c r="P34" s="150" cm="1">
        <f t="array" ref="P34">_xlfn.LET(
    _xlpm.resultado, _xlfn.XLOOKUP(B34&amp;"", 'Registro EMO'!$C$13:$C$4344&amp;"", 'Registro EMO'!$I$13:$I$4344, "NO", 0, -1),
    IF(_xlpm.resultado=0, "NO", _xlpm.resultado)
)</f>
        <v>46043</v>
      </c>
      <c r="Q34" s="11" t="str">
        <f t="shared" ca="1" si="10"/>
        <v>Vigente</v>
      </c>
      <c r="R34" s="96"/>
      <c r="S34" s="11"/>
      <c r="T34" s="11" t="str">
        <f t="shared" si="11"/>
        <v/>
      </c>
      <c r="U34" s="11"/>
      <c r="V34" s="98" t="s">
        <v>297</v>
      </c>
      <c r="W34" s="29" t="s">
        <v>368</v>
      </c>
      <c r="X34" s="133" t="s">
        <v>394</v>
      </c>
      <c r="Y34" s="11"/>
      <c r="Z34" s="11"/>
      <c r="AA34" s="11"/>
      <c r="AB34" s="11"/>
      <c r="AC34" s="11"/>
      <c r="AD34" s="11"/>
      <c r="AE34" s="11"/>
      <c r="AF34" s="11"/>
      <c r="AG34" s="99"/>
      <c r="AH34" s="11" t="s">
        <v>33</v>
      </c>
    </row>
    <row r="35" spans="1:34" ht="28.8" x14ac:dyDescent="0.3">
      <c r="A35" s="7" t="str">
        <f t="shared" ref="A35:A41" si="12">IF(B35&lt;&gt;"", "TR-" &amp; TEXT(1000 + ROW(A35) - 1, "0000"), "")</f>
        <v>TR-1034</v>
      </c>
      <c r="B35" s="136">
        <v>73042361</v>
      </c>
      <c r="C35" s="137" t="s">
        <v>259</v>
      </c>
      <c r="D35" s="138">
        <v>37540</v>
      </c>
      <c r="E35" s="112">
        <f t="shared" ref="E35:E41" ca="1" si="13">IF(D35&lt;&gt;"", DATEDIF(D35, TODAY(), "y"), "")</f>
        <v>23</v>
      </c>
      <c r="F35" s="138" t="s">
        <v>32</v>
      </c>
      <c r="G35" s="138" t="s">
        <v>288</v>
      </c>
      <c r="H35" s="139" t="s">
        <v>340</v>
      </c>
      <c r="I35" s="145" t="s">
        <v>341</v>
      </c>
      <c r="J35" s="138"/>
      <c r="K35" s="138" t="s">
        <v>313</v>
      </c>
      <c r="L35" s="148">
        <v>46036</v>
      </c>
      <c r="M35" s="96" cm="1">
        <f t="array" ref="M35">_xlfn.XLOOKUP(B35&amp;"", 'Registro EMO'!$C$13:$C$4344&amp;"", 'Registro EMO'!$F$13:$F$4344, "Sin registro", 0, -1)</f>
        <v>46025</v>
      </c>
      <c r="N35" s="11" t="str" cm="1">
        <f t="array" ref="N35">_xlfn.XLOOKUP(B35&amp;"", 'Registro EMO'!$C$13:$C$4344&amp;"", 'Registro EMO'!$E$13:$E$4344, "Sin registro", 0, -1)</f>
        <v>Pre-Ocupacional</v>
      </c>
      <c r="O35" s="11" t="str">
        <f t="shared" ref="O35:O41" si="14">IF(P35="NO", "NO", "SI")</f>
        <v>SI</v>
      </c>
      <c r="P35" s="150" cm="1">
        <f t="array" ref="P35">_xlfn.LET(
    _xlpm.resultado, _xlfn.XLOOKUP(B35&amp;"", 'Registro EMO'!$C$13:$C$4344&amp;"", 'Registro EMO'!$I$13:$I$4344, "NO", 0, -1),
    IF(_xlpm.resultado=0, "NO", _xlpm.resultado)
)</f>
        <v>46049</v>
      </c>
      <c r="Q35" s="11" t="str">
        <f t="shared" ref="Q35:Q41" ca="1" si="15">IF(M35="Sin registro", "Pendiente", IF(EDATE(M35, IF(K35="Oficina", 24, 12)) &gt;= TODAY(), "Vigente", "Vencido"))</f>
        <v>Vigente</v>
      </c>
      <c r="R35" s="96"/>
      <c r="S35" s="11"/>
      <c r="T35" s="11" t="str">
        <f t="shared" ref="T35:T41" si="16">IF(R35="", "", IF(U35="", "NO", "SI"))</f>
        <v/>
      </c>
      <c r="U35" s="11"/>
      <c r="V35" s="140" t="s">
        <v>296</v>
      </c>
      <c r="W35" s="29" t="s">
        <v>369</v>
      </c>
      <c r="X35" s="133" t="s">
        <v>377</v>
      </c>
      <c r="Y35" s="11"/>
      <c r="Z35" s="11"/>
      <c r="AA35" s="11"/>
      <c r="AB35" s="11"/>
      <c r="AC35" s="11"/>
      <c r="AD35" s="11"/>
      <c r="AE35" s="11"/>
      <c r="AF35" s="11"/>
      <c r="AG35" s="99"/>
      <c r="AH35" s="11"/>
    </row>
    <row r="36" spans="1:34" ht="43.2" x14ac:dyDescent="0.3">
      <c r="A36" s="7" t="str">
        <f t="shared" si="12"/>
        <v>TR-1035</v>
      </c>
      <c r="B36" s="136">
        <v>73229681</v>
      </c>
      <c r="C36" s="137" t="s">
        <v>280</v>
      </c>
      <c r="D36" s="138">
        <v>38801</v>
      </c>
      <c r="E36" s="112">
        <f t="shared" ca="1" si="13"/>
        <v>19</v>
      </c>
      <c r="F36" s="138" t="s">
        <v>34</v>
      </c>
      <c r="G36" s="138" t="s">
        <v>288</v>
      </c>
      <c r="H36" s="139" t="s">
        <v>321</v>
      </c>
      <c r="I36" s="145" t="s">
        <v>292</v>
      </c>
      <c r="J36" s="138"/>
      <c r="K36" s="138" t="s">
        <v>313</v>
      </c>
      <c r="L36" s="148">
        <v>46056</v>
      </c>
      <c r="M36" s="96" cm="1">
        <f t="array" ref="M36">_xlfn.XLOOKUP(B36&amp;"", 'Registro EMO'!$C$13:$C$4344&amp;"", 'Registro EMO'!$F$13:$F$4344, "Sin registro", 0, -1)</f>
        <v>46056</v>
      </c>
      <c r="N36" s="11" t="str" cm="1">
        <f t="array" ref="N36">_xlfn.XLOOKUP(B36&amp;"", 'Registro EMO'!$C$13:$C$4344&amp;"", 'Registro EMO'!$E$13:$E$4344, "Sin registro", 0, -1)</f>
        <v>Pre-Ocupacional</v>
      </c>
      <c r="O36" s="11" t="str">
        <f t="shared" si="14"/>
        <v>NO</v>
      </c>
      <c r="P36" s="134" t="str" cm="1">
        <f t="array" ref="P36">_xlfn.LET(
    _xlpm.resultado, _xlfn.XLOOKUP(B36&amp;"", 'Registro EMO'!$C$13:$C$4344&amp;"", 'Registro EMO'!$I$13:$I$4344, "NO", 0, -1),
    IF(_xlpm.resultado=0, "NO", _xlpm.resultado)
)</f>
        <v>NO</v>
      </c>
      <c r="Q36" s="11" t="str">
        <f t="shared" ca="1" si="15"/>
        <v>Vigente</v>
      </c>
      <c r="R36" s="96"/>
      <c r="S36" s="11"/>
      <c r="T36" s="11" t="str">
        <f t="shared" si="16"/>
        <v/>
      </c>
      <c r="U36" s="11"/>
      <c r="V36" s="140" t="s">
        <v>296</v>
      </c>
      <c r="W36" s="29" t="s">
        <v>370</v>
      </c>
      <c r="X36" s="133" t="s">
        <v>395</v>
      </c>
      <c r="Y36" s="11"/>
      <c r="Z36" s="11"/>
      <c r="AA36" s="11"/>
      <c r="AB36" s="11"/>
      <c r="AC36" s="11"/>
      <c r="AD36" s="11"/>
      <c r="AE36" s="11"/>
      <c r="AF36" s="11"/>
      <c r="AG36" s="99"/>
      <c r="AH36" s="11"/>
    </row>
    <row r="37" spans="1:34" ht="86.4" x14ac:dyDescent="0.3">
      <c r="A37" s="7" t="str">
        <f t="shared" si="12"/>
        <v>TR-1036</v>
      </c>
      <c r="B37" s="136">
        <v>46477482</v>
      </c>
      <c r="C37" s="137" t="s">
        <v>281</v>
      </c>
      <c r="D37" s="138">
        <v>33097</v>
      </c>
      <c r="E37" s="112">
        <f t="shared" ca="1" si="13"/>
        <v>35</v>
      </c>
      <c r="F37" s="138" t="s">
        <v>32</v>
      </c>
      <c r="G37" s="138" t="s">
        <v>288</v>
      </c>
      <c r="H37" s="139" t="s">
        <v>311</v>
      </c>
      <c r="I37" s="145" t="s">
        <v>342</v>
      </c>
      <c r="J37" s="138"/>
      <c r="K37" s="138" t="s">
        <v>313</v>
      </c>
      <c r="L37" s="148">
        <v>46057</v>
      </c>
      <c r="M37" s="96" cm="1">
        <f t="array" ref="M37">_xlfn.XLOOKUP(B37&amp;"", 'Registro EMO'!$C$13:$C$4344&amp;"", 'Registro EMO'!$F$13:$F$4344, "Sin registro", 0, -1)</f>
        <v>46057</v>
      </c>
      <c r="N37" s="11" t="str" cm="1">
        <f t="array" ref="N37">_xlfn.XLOOKUP(B37&amp;"", 'Registro EMO'!$C$13:$C$4344&amp;"", 'Registro EMO'!$E$13:$E$4344, "Sin registro", 0, -1)</f>
        <v>Pre-Ocupacional</v>
      </c>
      <c r="O37" s="11" t="str">
        <f t="shared" si="14"/>
        <v>NO</v>
      </c>
      <c r="P37" s="134" t="str" cm="1">
        <f t="array" ref="P37">_xlfn.LET(
    _xlpm.resultado, _xlfn.XLOOKUP(B37&amp;"", 'Registro EMO'!$C$13:$C$4344&amp;"", 'Registro EMO'!$I$13:$I$4344, "NO", 0, -1),
    IF(_xlpm.resultado=0, "NO", _xlpm.resultado)
)</f>
        <v>NO</v>
      </c>
      <c r="Q37" s="11" t="str">
        <f t="shared" ca="1" si="15"/>
        <v>Vigente</v>
      </c>
      <c r="R37" s="96"/>
      <c r="S37" s="11"/>
      <c r="T37" s="11" t="str">
        <f t="shared" si="16"/>
        <v/>
      </c>
      <c r="U37" s="11"/>
      <c r="V37" s="140" t="s">
        <v>296</v>
      </c>
      <c r="W37" s="29" t="s">
        <v>371</v>
      </c>
      <c r="X37" s="133" t="s">
        <v>396</v>
      </c>
      <c r="Y37" s="11"/>
      <c r="Z37" s="11"/>
      <c r="AA37" s="11"/>
      <c r="AB37" s="11"/>
      <c r="AC37" s="11"/>
      <c r="AD37" s="11"/>
      <c r="AE37" s="11"/>
      <c r="AF37" s="11"/>
      <c r="AG37" s="99"/>
      <c r="AH37" s="11"/>
    </row>
    <row r="38" spans="1:34" ht="43.2" x14ac:dyDescent="0.3">
      <c r="A38" s="7" t="str">
        <f t="shared" si="12"/>
        <v>TR-1037</v>
      </c>
      <c r="B38" s="136">
        <v>48554801</v>
      </c>
      <c r="C38" s="137" t="s">
        <v>264</v>
      </c>
      <c r="D38" s="138">
        <v>34756</v>
      </c>
      <c r="E38" s="112">
        <f t="shared" ca="1" si="13"/>
        <v>31</v>
      </c>
      <c r="F38" s="138" t="s">
        <v>32</v>
      </c>
      <c r="G38" s="138" t="s">
        <v>288</v>
      </c>
      <c r="H38" s="139" t="s">
        <v>320</v>
      </c>
      <c r="I38" s="145" t="s">
        <v>326</v>
      </c>
      <c r="J38" s="138"/>
      <c r="K38" s="138" t="s">
        <v>313</v>
      </c>
      <c r="L38" s="148">
        <v>46044</v>
      </c>
      <c r="M38" s="96" cm="1">
        <f t="array" ref="M38">_xlfn.XLOOKUP(B38&amp;"", 'Registro EMO'!$C$13:$C$4344&amp;"", 'Registro EMO'!$F$13:$F$4344, "Sin registro", 0, -1)</f>
        <v>46030</v>
      </c>
      <c r="N38" s="11" t="str" cm="1">
        <f t="array" ref="N38">_xlfn.XLOOKUP(B38&amp;"", 'Registro EMO'!$C$13:$C$4344&amp;"", 'Registro EMO'!$E$13:$E$4344, "Sin registro", 0, -1)</f>
        <v>Periódicos</v>
      </c>
      <c r="O38" s="11" t="str">
        <f t="shared" si="14"/>
        <v>SI</v>
      </c>
      <c r="P38" s="150" cm="1">
        <f t="array" ref="P38">_xlfn.LET(
    _xlpm.resultado, _xlfn.XLOOKUP(B38&amp;"", 'Registro EMO'!$C$13:$C$4344&amp;"", 'Registro EMO'!$I$13:$I$4344, "NO", 0, -1),
    IF(_xlpm.resultado=0, "NO", _xlpm.resultado)
)</f>
        <v>46049</v>
      </c>
      <c r="Q38" s="11" t="str">
        <f t="shared" ca="1" si="15"/>
        <v>Vigente</v>
      </c>
      <c r="R38" s="96"/>
      <c r="S38" s="11"/>
      <c r="T38" s="11" t="str">
        <f t="shared" si="16"/>
        <v/>
      </c>
      <c r="U38" s="11"/>
      <c r="V38" s="140" t="s">
        <v>296</v>
      </c>
      <c r="W38" s="29" t="s">
        <v>372</v>
      </c>
      <c r="X38" s="133" t="s">
        <v>397</v>
      </c>
      <c r="Y38" s="11"/>
      <c r="Z38" s="11"/>
      <c r="AA38" s="11"/>
      <c r="AB38" s="11"/>
      <c r="AC38" s="11"/>
      <c r="AD38" s="11"/>
      <c r="AE38" s="11"/>
      <c r="AF38" s="11"/>
      <c r="AG38" s="99"/>
      <c r="AH38" s="11"/>
    </row>
    <row r="39" spans="1:34" x14ac:dyDescent="0.3">
      <c r="A39" s="7" t="str">
        <f t="shared" si="12"/>
        <v>TR-1038</v>
      </c>
      <c r="B39" s="136">
        <v>45754041</v>
      </c>
      <c r="C39" s="137" t="s">
        <v>266</v>
      </c>
      <c r="D39" s="138">
        <v>32640</v>
      </c>
      <c r="E39" s="112">
        <f t="shared" ca="1" si="13"/>
        <v>36</v>
      </c>
      <c r="F39" s="138" t="s">
        <v>32</v>
      </c>
      <c r="G39" s="138" t="s">
        <v>288</v>
      </c>
      <c r="H39" s="139" t="s">
        <v>340</v>
      </c>
      <c r="I39" s="145" t="s">
        <v>343</v>
      </c>
      <c r="J39" s="138"/>
      <c r="K39" s="138" t="s">
        <v>313</v>
      </c>
      <c r="L39" s="148">
        <v>46028</v>
      </c>
      <c r="M39" s="96" cm="1">
        <f t="array" ref="M39">_xlfn.XLOOKUP(B39&amp;"", 'Registro EMO'!$C$13:$C$4344&amp;"", 'Registro EMO'!$F$13:$F$4344, "Sin registro", 0, -1)</f>
        <v>45621</v>
      </c>
      <c r="N39" s="11" t="str" cm="1">
        <f t="array" ref="N39">_xlfn.XLOOKUP(B39&amp;"", 'Registro EMO'!$C$13:$C$4344&amp;"", 'Registro EMO'!$E$13:$E$4344, "Sin registro", 0, -1)</f>
        <v>Pre-Ocupacional</v>
      </c>
      <c r="O39" s="11" t="str">
        <f t="shared" si="14"/>
        <v>SI</v>
      </c>
      <c r="P39" s="150" cm="1">
        <f t="array" ref="P39">_xlfn.LET(
    _xlpm.resultado, _xlfn.XLOOKUP(B39&amp;"", 'Registro EMO'!$C$13:$C$4344&amp;"", 'Registro EMO'!$I$13:$I$4344, "NO", 0, -1),
    IF(_xlpm.resultado=0, "NO", _xlpm.resultado)
)</f>
        <v>46043</v>
      </c>
      <c r="Q39" s="11" t="str">
        <f t="shared" ca="1" si="15"/>
        <v>Vencido</v>
      </c>
      <c r="R39" s="96"/>
      <c r="S39" s="11"/>
      <c r="T39" s="11" t="str">
        <f t="shared" si="16"/>
        <v/>
      </c>
      <c r="U39" s="11"/>
      <c r="V39" s="140" t="s">
        <v>297</v>
      </c>
      <c r="W39" s="29" t="s">
        <v>359</v>
      </c>
      <c r="X39" s="133" t="s">
        <v>380</v>
      </c>
      <c r="Y39" s="11"/>
      <c r="Z39" s="11"/>
      <c r="AA39" s="11"/>
      <c r="AB39" s="11"/>
      <c r="AC39" s="11"/>
      <c r="AD39" s="11"/>
      <c r="AE39" s="11"/>
      <c r="AF39" s="11"/>
      <c r="AG39" s="99"/>
      <c r="AH39" s="11"/>
    </row>
    <row r="40" spans="1:34" ht="100.8" x14ac:dyDescent="0.3">
      <c r="A40" s="7" t="str">
        <f t="shared" si="12"/>
        <v>TR-1039</v>
      </c>
      <c r="B40" s="136">
        <v>76312321</v>
      </c>
      <c r="C40" s="137" t="s">
        <v>270</v>
      </c>
      <c r="D40" s="138">
        <v>37592</v>
      </c>
      <c r="E40" s="112">
        <f t="shared" ca="1" si="13"/>
        <v>23</v>
      </c>
      <c r="F40" s="138" t="s">
        <v>34</v>
      </c>
      <c r="G40" s="138" t="s">
        <v>288</v>
      </c>
      <c r="H40" s="139" t="s">
        <v>321</v>
      </c>
      <c r="I40" s="145" t="s">
        <v>292</v>
      </c>
      <c r="J40" s="138"/>
      <c r="K40" s="138" t="s">
        <v>313</v>
      </c>
      <c r="L40" s="148">
        <v>46031</v>
      </c>
      <c r="M40" s="96" cm="1">
        <f t="array" ref="M40">_xlfn.XLOOKUP(B40&amp;"", 'Registro EMO'!$C$13:$C$4344&amp;"", 'Registro EMO'!$F$13:$F$4344, "Sin registro", 0, -1)</f>
        <v>46031</v>
      </c>
      <c r="N40" s="11" t="str" cm="1">
        <f t="array" ref="N40">_xlfn.XLOOKUP(B40&amp;"", 'Registro EMO'!$C$13:$C$4344&amp;"", 'Registro EMO'!$E$13:$E$4344, "Sin registro", 0, -1)</f>
        <v>Pre-Ocupacional</v>
      </c>
      <c r="O40" s="11" t="str">
        <f t="shared" si="14"/>
        <v>NO</v>
      </c>
      <c r="P40" s="134" t="str" cm="1">
        <f t="array" ref="P40">_xlfn.LET(
    _xlpm.resultado, _xlfn.XLOOKUP(B40&amp;"", 'Registro EMO'!$C$13:$C$4344&amp;"", 'Registro EMO'!$I$13:$I$4344, "NO", 0, -1),
    IF(_xlpm.resultado=0, "NO", _xlpm.resultado)
)</f>
        <v>NO</v>
      </c>
      <c r="Q40" s="11" t="str">
        <f t="shared" ca="1" si="15"/>
        <v>Vigente</v>
      </c>
      <c r="R40" s="96"/>
      <c r="S40" s="11"/>
      <c r="T40" s="11" t="str">
        <f t="shared" si="16"/>
        <v/>
      </c>
      <c r="U40" s="11"/>
      <c r="V40" s="140" t="s">
        <v>296</v>
      </c>
      <c r="W40" s="29" t="s">
        <v>373</v>
      </c>
      <c r="X40" s="133" t="s">
        <v>398</v>
      </c>
      <c r="Y40" s="11"/>
      <c r="Z40" s="11"/>
      <c r="AA40" s="11"/>
      <c r="AB40" s="11"/>
      <c r="AC40" s="11"/>
      <c r="AD40" s="11"/>
      <c r="AE40" s="11"/>
      <c r="AF40" s="11"/>
      <c r="AG40" s="99"/>
      <c r="AH40" s="11"/>
    </row>
    <row r="41" spans="1:34" ht="72" x14ac:dyDescent="0.3">
      <c r="A41" s="7" t="str">
        <f t="shared" si="12"/>
        <v>TR-1040</v>
      </c>
      <c r="B41" s="136">
        <v>70881487</v>
      </c>
      <c r="C41" s="137" t="s">
        <v>265</v>
      </c>
      <c r="D41" s="138">
        <v>33846</v>
      </c>
      <c r="E41" s="112">
        <f t="shared" ca="1" si="13"/>
        <v>33</v>
      </c>
      <c r="F41" s="138" t="s">
        <v>32</v>
      </c>
      <c r="G41" s="138" t="s">
        <v>288</v>
      </c>
      <c r="H41" s="139" t="s">
        <v>311</v>
      </c>
      <c r="I41" s="145" t="s">
        <v>312</v>
      </c>
      <c r="J41" s="138"/>
      <c r="K41" s="138" t="s">
        <v>313</v>
      </c>
      <c r="L41" s="148">
        <v>46028</v>
      </c>
      <c r="M41" s="96" cm="1">
        <f t="array" ref="M41">_xlfn.XLOOKUP(B41&amp;"", 'Registro EMO'!$C$13:$C$4344&amp;"", 'Registro EMO'!$F$13:$F$4344, "Sin registro", 0, -1)</f>
        <v>46028</v>
      </c>
      <c r="N41" s="11" t="str" cm="1">
        <f t="array" ref="N41">_xlfn.XLOOKUP(B41&amp;"", 'Registro EMO'!$C$13:$C$4344&amp;"", 'Registro EMO'!$E$13:$E$4344, "Sin registro", 0, -1)</f>
        <v>Pre-Ocupacional</v>
      </c>
      <c r="O41" s="11" t="str">
        <f t="shared" si="14"/>
        <v>NO</v>
      </c>
      <c r="P41" s="134" t="str" cm="1">
        <f t="array" ref="P41">_xlfn.LET(
    _xlpm.resultado, _xlfn.XLOOKUP(B41&amp;"", 'Registro EMO'!$C$13:$C$4344&amp;"", 'Registro EMO'!$I$13:$I$4344, "NO", 0, -1),
    IF(_xlpm.resultado=0, "NO", _xlpm.resultado)
)</f>
        <v>NO</v>
      </c>
      <c r="Q41" s="11" t="str">
        <f t="shared" ca="1" si="15"/>
        <v>Vigente</v>
      </c>
      <c r="R41" s="96"/>
      <c r="S41" s="11"/>
      <c r="T41" s="11" t="str">
        <f t="shared" si="16"/>
        <v/>
      </c>
      <c r="U41" s="11"/>
      <c r="V41" s="140" t="s">
        <v>296</v>
      </c>
      <c r="W41" s="29" t="s">
        <v>374</v>
      </c>
      <c r="X41" s="133" t="s">
        <v>399</v>
      </c>
      <c r="Y41" s="11"/>
      <c r="Z41" s="11"/>
      <c r="AA41" s="11"/>
      <c r="AB41" s="11"/>
      <c r="AC41" s="11"/>
      <c r="AD41" s="11"/>
      <c r="AE41" s="11"/>
      <c r="AF41" s="11"/>
      <c r="AG41" s="99"/>
      <c r="AH41" s="11"/>
    </row>
    <row r="42" spans="1:34" x14ac:dyDescent="0.3">
      <c r="C42" s="128"/>
      <c r="P42" s="151"/>
    </row>
    <row r="43" spans="1:34" x14ac:dyDescent="0.3">
      <c r="C43" s="128"/>
    </row>
    <row r="44" spans="1:34" x14ac:dyDescent="0.3">
      <c r="C44" s="195"/>
      <c r="P44" s="196"/>
    </row>
    <row r="45" spans="1:34" x14ac:dyDescent="0.3">
      <c r="C45" s="128"/>
    </row>
    <row r="46" spans="1:34" x14ac:dyDescent="0.3">
      <c r="C46" s="128"/>
    </row>
    <row r="47" spans="1:34" x14ac:dyDescent="0.3">
      <c r="C47" s="128"/>
    </row>
    <row r="48" spans="1:34" x14ac:dyDescent="0.3">
      <c r="C48" s="128"/>
    </row>
    <row r="49" spans="3:3" x14ac:dyDescent="0.3">
      <c r="C49" s="128"/>
    </row>
    <row r="50" spans="3:3" x14ac:dyDescent="0.3">
      <c r="C50" s="128"/>
    </row>
    <row r="51" spans="3:3" x14ac:dyDescent="0.3">
      <c r="C51" s="128"/>
    </row>
    <row r="52" spans="3:3" x14ac:dyDescent="0.3">
      <c r="C52" s="128"/>
    </row>
    <row r="53" spans="3:3" x14ac:dyDescent="0.3">
      <c r="C53" s="128"/>
    </row>
    <row r="54" spans="3:3" x14ac:dyDescent="0.3">
      <c r="C54" s="128"/>
    </row>
    <row r="55" spans="3:3" x14ac:dyDescent="0.3">
      <c r="C55" s="128"/>
    </row>
    <row r="56" spans="3:3" x14ac:dyDescent="0.3">
      <c r="C56" s="128"/>
    </row>
    <row r="57" spans="3:3" x14ac:dyDescent="0.3">
      <c r="C57" s="128"/>
    </row>
    <row r="58" spans="3:3" x14ac:dyDescent="0.3">
      <c r="C58" s="128"/>
    </row>
    <row r="59" spans="3:3" x14ac:dyDescent="0.3">
      <c r="C59" s="128"/>
    </row>
    <row r="60" spans="3:3" x14ac:dyDescent="0.3">
      <c r="C60" s="128"/>
    </row>
    <row r="61" spans="3:3" x14ac:dyDescent="0.3">
      <c r="C61" s="128"/>
    </row>
    <row r="62" spans="3:3" x14ac:dyDescent="0.3">
      <c r="C62" s="128"/>
    </row>
    <row r="63" spans="3:3" x14ac:dyDescent="0.3">
      <c r="C63" s="128"/>
    </row>
    <row r="64" spans="3:3" x14ac:dyDescent="0.3">
      <c r="C64" s="128"/>
    </row>
    <row r="65" spans="3:3" x14ac:dyDescent="0.3">
      <c r="C65" s="128"/>
    </row>
    <row r="66" spans="3:3" x14ac:dyDescent="0.3">
      <c r="C66" s="128"/>
    </row>
    <row r="67" spans="3:3" x14ac:dyDescent="0.3">
      <c r="C67" s="128"/>
    </row>
    <row r="68" spans="3:3" x14ac:dyDescent="0.3">
      <c r="C68" s="128"/>
    </row>
    <row r="69" spans="3:3" x14ac:dyDescent="0.3">
      <c r="C69" s="128"/>
    </row>
    <row r="70" spans="3:3" x14ac:dyDescent="0.3">
      <c r="C70" s="128"/>
    </row>
    <row r="71" spans="3:3" x14ac:dyDescent="0.3">
      <c r="C71" s="128"/>
    </row>
    <row r="72" spans="3:3" x14ac:dyDescent="0.3">
      <c r="C72" s="128"/>
    </row>
  </sheetData>
  <phoneticPr fontId="8" type="noConversion"/>
  <dataValidations count="5">
    <dataValidation type="list" allowBlank="1" showInputMessage="1" showErrorMessage="1" sqref="K2:K41" xr:uid="{00000000-0002-0000-0000-000000000000}">
      <formula1>"Oficina, Técnico"</formula1>
    </dataValidation>
    <dataValidation type="list" allowBlank="1" showInputMessage="1" showErrorMessage="1" sqref="V2:V41" xr:uid="{00000000-0002-0000-0000-000001000000}">
      <formula1>"Apto,Apto con Restricción, No Apto, Observado"</formula1>
    </dataValidation>
    <dataValidation type="list" allowBlank="1" showInputMessage="1" showErrorMessage="1" sqref="Y2:Y41" xr:uid="{76673A38-D6BD-4C78-85A9-D4D5A9DF9B0C}">
      <formula1>"VISUAL, AUDITIVO, ERGONOMÍA, VIDA SALUDABLE, GESTANTE, RESPIRATORIO"</formula1>
    </dataValidation>
    <dataValidation type="list" allowBlank="1" showInputMessage="1" showErrorMessage="1" sqref="AF2:AF1048576" xr:uid="{6FE1F3C2-2774-4F2D-85C1-06EA1BA9AFB0}">
      <formula1>"GOLPE DE CALOR, VIGILANCIA, ERGONOMIA, TME, PSICOSOCIAL, SALUD OCUPACIONAL"</formula1>
    </dataValidation>
    <dataValidation type="list" allowBlank="1" showInputMessage="1" showErrorMessage="1" sqref="S2:S1048576" xr:uid="{51E7D26A-348D-4498-A9CC-4EF63996724F}">
      <formula1>"Pre-Ocupacional,Periódicos,Cambio Puesto de Trabajo, Reincorporación,Retiro"</formula1>
    </dataValidation>
  </dataValidations>
  <pageMargins left="0.75" right="0.75" top="1" bottom="1" header="0.5" footer="0.5"/>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EFE88-DB8F-491C-9F95-B8A80AB15659}">
          <x14:formula1>
            <xm:f>ListasAuxiliares!$D$2:$D$6</xm:f>
          </x14:formula1>
          <xm:sqref>G2:G41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rgb="FFFF0000"/>
  </sheetPr>
  <dimension ref="A1:O4"/>
  <sheetViews>
    <sheetView zoomScale="86" zoomScaleNormal="86" workbookViewId="0">
      <pane ySplit="1" topLeftCell="A2" activePane="bottomLeft" state="frozen"/>
      <selection activeCell="D19" sqref="D19"/>
      <selection pane="bottomLeft" activeCell="A2" sqref="A2"/>
    </sheetView>
  </sheetViews>
  <sheetFormatPr baseColWidth="10" defaultColWidth="8.88671875" defaultRowHeight="14.4" x14ac:dyDescent="0.3"/>
  <cols>
    <col min="1" max="1" width="13" style="2" customWidth="1"/>
    <col min="2" max="2" width="25.6640625" style="2" customWidth="1"/>
    <col min="3" max="3" width="15.6640625" style="2" customWidth="1"/>
    <col min="4" max="4" width="17.6640625" style="4" customWidth="1"/>
    <col min="5" max="10" width="22.6640625" style="36" customWidth="1"/>
    <col min="11" max="11" width="40.6640625" style="18" customWidth="1"/>
    <col min="12" max="12" width="15.6640625" style="25" customWidth="1"/>
    <col min="13" max="14" width="15.6640625" style="25" hidden="1" customWidth="1"/>
    <col min="15" max="15" width="20.6640625" style="25" hidden="1" customWidth="1"/>
  </cols>
  <sheetData>
    <row r="1" spans="1:15" ht="40.200000000000003" customHeight="1" x14ac:dyDescent="0.3">
      <c r="A1" s="8" t="s">
        <v>35</v>
      </c>
      <c r="B1" s="8" t="s">
        <v>2</v>
      </c>
      <c r="C1" s="8" t="s">
        <v>1</v>
      </c>
      <c r="D1" s="75" t="s">
        <v>36</v>
      </c>
      <c r="E1" s="10" t="s">
        <v>37</v>
      </c>
      <c r="F1" s="10" t="s">
        <v>38</v>
      </c>
      <c r="G1" s="10" t="s">
        <v>39</v>
      </c>
      <c r="H1" s="10" t="s">
        <v>40</v>
      </c>
      <c r="I1" s="10" t="s">
        <v>41</v>
      </c>
      <c r="J1" s="10" t="s">
        <v>42</v>
      </c>
      <c r="K1" s="50" t="s">
        <v>43</v>
      </c>
      <c r="L1" s="50" t="s">
        <v>44</v>
      </c>
      <c r="M1" s="50" t="s">
        <v>45</v>
      </c>
      <c r="N1" s="50" t="s">
        <v>46</v>
      </c>
      <c r="O1" s="50" t="s">
        <v>47</v>
      </c>
    </row>
    <row r="2" spans="1:15" ht="43.2" customHeight="1" x14ac:dyDescent="0.3">
      <c r="A2" s="11" t="str">
        <f>IF(B2&lt;&gt;"", "ACC-" &amp; TEXT(4000 + ROW(A2) - 1, "0000"), "")</f>
        <v/>
      </c>
      <c r="B2" s="7"/>
      <c r="C2" s="11"/>
      <c r="D2" s="96"/>
      <c r="E2" s="29"/>
      <c r="F2" s="29"/>
      <c r="G2" s="29"/>
      <c r="H2" s="29"/>
      <c r="I2" s="29"/>
      <c r="J2" s="29"/>
      <c r="K2" s="29"/>
      <c r="L2" s="29"/>
      <c r="M2" s="29"/>
      <c r="N2" s="29"/>
      <c r="O2" s="29"/>
    </row>
    <row r="3" spans="1:15" x14ac:dyDescent="0.3">
      <c r="A3" s="11" t="str">
        <f>IF(B3&lt;&gt;"", "ACC-" &amp; TEXT(4000 + ROW(A3) - 1, "0000"), "")</f>
        <v/>
      </c>
      <c r="B3" s="7"/>
      <c r="C3" s="11"/>
      <c r="D3" s="96"/>
      <c r="E3" s="29"/>
      <c r="F3" s="29"/>
      <c r="G3" s="29"/>
      <c r="H3" s="29"/>
      <c r="I3" s="29"/>
      <c r="J3" s="29"/>
      <c r="K3" s="29"/>
      <c r="L3" s="29"/>
      <c r="M3" s="29"/>
      <c r="N3" s="29"/>
      <c r="O3" s="29"/>
    </row>
    <row r="4" spans="1:15" x14ac:dyDescent="0.3">
      <c r="A4" s="11" t="str">
        <f>IF(B4&lt;&gt;"", "ACC-" &amp; TEXT(4000 + ROW(A4) - 1, "0000"), "")</f>
        <v/>
      </c>
      <c r="B4" s="7"/>
      <c r="C4" s="11"/>
      <c r="D4" s="96"/>
      <c r="E4" s="29"/>
      <c r="F4" s="29"/>
      <c r="G4" s="29"/>
      <c r="H4" s="29"/>
      <c r="I4" s="29"/>
      <c r="J4" s="29"/>
      <c r="K4" s="29"/>
      <c r="L4" s="29"/>
      <c r="M4" s="29"/>
      <c r="N4" s="29"/>
      <c r="O4" s="29"/>
    </row>
  </sheetData>
  <dataValidations count="1">
    <dataValidation type="list" allowBlank="1" showInputMessage="1" showErrorMessage="1" sqref="L2:L4" xr:uid="{37530AF3-56A9-4DE8-865F-5C023784A3A9}">
      <formula1>"Descanso Médico, Licencia con Goce de Haber"</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tabColor rgb="FFFF0000"/>
  </sheetPr>
  <dimension ref="A1:P7"/>
  <sheetViews>
    <sheetView workbookViewId="0">
      <pane ySplit="1" topLeftCell="A2" activePane="bottomLeft" state="frozen"/>
      <selection activeCell="D19" sqref="D19"/>
      <selection pane="bottomLeft" activeCell="Q15" sqref="Q15"/>
    </sheetView>
  </sheetViews>
  <sheetFormatPr baseColWidth="10" defaultColWidth="8.88671875" defaultRowHeight="14.4" x14ac:dyDescent="0.3"/>
  <cols>
    <col min="1" max="1" width="12" style="2" customWidth="1"/>
    <col min="2" max="2" width="25.6640625" style="2" customWidth="1"/>
    <col min="3" max="3" width="15.6640625" style="2" customWidth="1"/>
    <col min="4" max="4" width="17.6640625" style="1" customWidth="1"/>
    <col min="5" max="5" width="14" style="5" customWidth="1"/>
    <col min="6" max="9" width="15.6640625" hidden="1" customWidth="1"/>
    <col min="10" max="12" width="20.6640625" hidden="1" customWidth="1"/>
    <col min="13" max="16" width="15.6640625" hidden="1" customWidth="1"/>
    <col min="17" max="21" width="8.88671875" customWidth="1"/>
  </cols>
  <sheetData>
    <row r="1" spans="1:16" ht="40.200000000000003" customHeight="1" x14ac:dyDescent="0.3">
      <c r="A1" s="10" t="s">
        <v>48</v>
      </c>
      <c r="B1" s="10" t="s">
        <v>2</v>
      </c>
      <c r="C1" s="10" t="s">
        <v>1</v>
      </c>
      <c r="D1" s="33" t="s">
        <v>36</v>
      </c>
      <c r="E1" s="10" t="s">
        <v>49</v>
      </c>
      <c r="F1" s="50" t="s">
        <v>39</v>
      </c>
      <c r="G1" s="50" t="s">
        <v>50</v>
      </c>
      <c r="H1" s="34" t="s">
        <v>35</v>
      </c>
      <c r="I1" s="34" t="s">
        <v>51</v>
      </c>
      <c r="J1" s="34" t="s">
        <v>52</v>
      </c>
      <c r="K1" s="34" t="s">
        <v>53</v>
      </c>
      <c r="L1" s="34" t="s">
        <v>40</v>
      </c>
      <c r="M1" s="34" t="s">
        <v>44</v>
      </c>
      <c r="N1" s="34" t="s">
        <v>54</v>
      </c>
      <c r="O1" s="34" t="s">
        <v>46</v>
      </c>
      <c r="P1" s="34" t="s">
        <v>47</v>
      </c>
    </row>
    <row r="2" spans="1:16" x14ac:dyDescent="0.3">
      <c r="A2" s="11" t="str">
        <f>IF(B2&lt;&gt;"", "ATE-" &amp; TEXT(5000 + ROW(A2) - 1, "0000"), "")</f>
        <v/>
      </c>
      <c r="B2" s="7"/>
      <c r="C2" s="11"/>
      <c r="D2" s="96"/>
      <c r="E2" s="12"/>
      <c r="F2" s="12"/>
      <c r="G2" s="12"/>
      <c r="H2" s="35"/>
      <c r="I2" s="35"/>
      <c r="J2" s="35"/>
      <c r="K2" s="35"/>
      <c r="L2" s="35"/>
      <c r="M2" s="35"/>
      <c r="N2" s="35"/>
      <c r="O2" s="35"/>
      <c r="P2" s="35"/>
    </row>
    <row r="3" spans="1:16" x14ac:dyDescent="0.3">
      <c r="A3" s="11"/>
      <c r="B3" s="7"/>
      <c r="C3" s="11"/>
      <c r="D3" s="96"/>
      <c r="E3" s="12"/>
      <c r="F3" s="12"/>
      <c r="G3" s="12"/>
      <c r="H3" s="35"/>
      <c r="I3" s="35"/>
      <c r="J3" s="35"/>
      <c r="K3" s="35"/>
      <c r="L3" s="35"/>
      <c r="M3" s="35"/>
      <c r="N3" s="35"/>
      <c r="O3" s="35"/>
      <c r="P3" s="35"/>
    </row>
    <row r="4" spans="1:16" x14ac:dyDescent="0.3">
      <c r="A4" s="11"/>
      <c r="B4" s="7"/>
      <c r="C4" s="11"/>
      <c r="D4" s="96"/>
      <c r="E4" s="12"/>
      <c r="F4" s="12"/>
      <c r="G4" s="12"/>
      <c r="H4" s="35"/>
      <c r="I4" s="35"/>
      <c r="J4" s="35"/>
      <c r="K4" s="35"/>
      <c r="L4" s="35"/>
      <c r="M4" s="35"/>
      <c r="N4" s="35"/>
      <c r="O4" s="35"/>
      <c r="P4" s="35"/>
    </row>
    <row r="5" spans="1:16" x14ac:dyDescent="0.3">
      <c r="A5" s="11"/>
      <c r="B5" s="7"/>
      <c r="C5" s="11"/>
      <c r="D5" s="96"/>
      <c r="E5" s="12"/>
      <c r="F5" s="12"/>
      <c r="G5" s="12"/>
      <c r="H5" s="35"/>
      <c r="I5" s="35"/>
      <c r="J5" s="35"/>
      <c r="K5" s="35"/>
      <c r="L5" s="35"/>
      <c r="M5" s="35"/>
      <c r="N5" s="35"/>
      <c r="O5" s="35"/>
      <c r="P5" s="35"/>
    </row>
    <row r="6" spans="1:16" x14ac:dyDescent="0.3">
      <c r="A6" s="11"/>
      <c r="B6" s="7"/>
      <c r="C6" s="11"/>
      <c r="D6" s="96"/>
      <c r="E6" s="12"/>
      <c r="F6" s="12"/>
      <c r="G6" s="12"/>
      <c r="H6" s="35"/>
      <c r="I6" s="35"/>
      <c r="J6" s="35"/>
      <c r="K6" s="35"/>
      <c r="L6" s="35"/>
      <c r="M6" s="35"/>
      <c r="N6" s="35"/>
      <c r="O6" s="35"/>
      <c r="P6" s="35"/>
    </row>
    <row r="7" spans="1:16" x14ac:dyDescent="0.3">
      <c r="A7" s="11"/>
      <c r="B7" s="7"/>
      <c r="C7" s="11"/>
      <c r="D7" s="96"/>
      <c r="E7" s="12"/>
      <c r="F7" s="12"/>
      <c r="G7" s="12"/>
      <c r="H7" s="35"/>
      <c r="I7" s="35"/>
      <c r="J7" s="35"/>
      <c r="K7" s="35"/>
      <c r="L7" s="35"/>
      <c r="M7" s="35"/>
      <c r="N7" s="35"/>
      <c r="O7" s="35"/>
      <c r="P7" s="35"/>
    </row>
  </sheetData>
  <phoneticPr fontId="8" type="noConversion"/>
  <dataValidations count="2">
    <dataValidation type="list" allowBlank="1" showInputMessage="1" showErrorMessage="1" sqref="E2:E7" xr:uid="{B1E054F4-17CE-410A-A810-7D28E49A17B2}">
      <formula1>"Rutina, Accidente"</formula1>
    </dataValidation>
    <dataValidation type="list" allowBlank="1" showInputMessage="1" showErrorMessage="1" sqref="M2:M7" xr:uid="{D0158EBC-C5AA-4139-A41D-5CC448BE2EC4}">
      <formula1>"Descanso Médico, Licencia con Goce de Haber"</formula1>
    </dataValidation>
  </dataValidations>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rgb="FFFF0000"/>
  </sheetPr>
  <dimension ref="A1:E2"/>
  <sheetViews>
    <sheetView workbookViewId="0">
      <pane ySplit="1" topLeftCell="A2" activePane="bottomLeft" state="frozen"/>
      <selection activeCell="D19" sqref="D19"/>
      <selection pane="bottomLeft" activeCell="C2" sqref="C2"/>
    </sheetView>
  </sheetViews>
  <sheetFormatPr baseColWidth="10" defaultColWidth="8.88671875" defaultRowHeight="14.4" x14ac:dyDescent="0.3"/>
  <cols>
    <col min="1" max="1" width="14" style="1" customWidth="1"/>
    <col min="2" max="2" width="25.6640625" style="1" customWidth="1"/>
    <col min="3" max="3" width="15.6640625" style="24" customWidth="1"/>
    <col min="4" max="4" width="13" style="5" customWidth="1"/>
    <col min="5" max="5" width="17.6640625" style="1" customWidth="1"/>
  </cols>
  <sheetData>
    <row r="1" spans="1:5" x14ac:dyDescent="0.3">
      <c r="A1" s="10" t="s">
        <v>55</v>
      </c>
      <c r="B1" s="10" t="s">
        <v>2</v>
      </c>
      <c r="C1" s="10" t="s">
        <v>1</v>
      </c>
      <c r="D1" s="10" t="s">
        <v>56</v>
      </c>
      <c r="E1" s="33" t="s">
        <v>36</v>
      </c>
    </row>
    <row r="2" spans="1:5" x14ac:dyDescent="0.3">
      <c r="A2" s="1" t="str">
        <f>IF(B2&lt;&gt;"", "VAC-" &amp; TEXT(10000 + ROW(A2) - 1, "0000"), "")</f>
        <v/>
      </c>
      <c r="C2" s="1" t="str">
        <f>IF(B2="", "", _xlfn.XLOOKUP(B2, tbl_Trabajadores[Nombre], tbl_Trabajadores[DNI], ""))</f>
        <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EF992-F2EC-48E7-BAA0-FB180A52D8D6}">
  <sheetPr codeName="Hoja15">
    <tabColor rgb="FF00B0F0"/>
  </sheetPr>
  <dimension ref="A1:X330"/>
  <sheetViews>
    <sheetView tabSelected="1" topLeftCell="C1" zoomScale="85" zoomScaleNormal="85" workbookViewId="0">
      <selection activeCell="I7" sqref="I7"/>
    </sheetView>
  </sheetViews>
  <sheetFormatPr baseColWidth="10" defaultColWidth="11.44140625" defaultRowHeight="14.4" x14ac:dyDescent="0.3"/>
  <cols>
    <col min="1" max="1" width="18.77734375" customWidth="1"/>
    <col min="2" max="4" width="17.88671875" bestFit="1" customWidth="1"/>
    <col min="5" max="5" width="15.6640625" customWidth="1"/>
    <col min="6" max="6" width="16.6640625" customWidth="1"/>
    <col min="7" max="12" width="25.6640625" customWidth="1"/>
    <col min="13" max="14" width="30.6640625" customWidth="1"/>
    <col min="15" max="17" width="15.6640625" customWidth="1"/>
    <col min="18" max="19" width="25.6640625" customWidth="1"/>
    <col min="20" max="20" width="20.6640625" customWidth="1"/>
    <col min="21" max="22" width="15.6640625" customWidth="1"/>
    <col min="23" max="24" width="25.6640625" customWidth="1"/>
  </cols>
  <sheetData>
    <row r="1" spans="1:24" ht="18" customHeight="1" x14ac:dyDescent="0.3">
      <c r="A1" s="165" t="str">
        <f>IFERROR(C329, "Seleccione Obra")</f>
        <v>VILLALEGRE</v>
      </c>
      <c r="B1" s="166"/>
      <c r="C1" s="166"/>
      <c r="D1" s="166"/>
      <c r="E1" s="166"/>
      <c r="F1" s="166"/>
      <c r="G1" s="166"/>
      <c r="H1" s="166"/>
      <c r="I1" s="166"/>
      <c r="J1" s="166"/>
      <c r="K1" s="167"/>
    </row>
    <row r="4" spans="1:24" ht="28.8" x14ac:dyDescent="0.3">
      <c r="A4" s="51" t="s">
        <v>57</v>
      </c>
      <c r="B4" s="103" t="s">
        <v>58</v>
      </c>
      <c r="C4" s="103" t="s">
        <v>59</v>
      </c>
      <c r="D4" s="103" t="s">
        <v>60</v>
      </c>
      <c r="E4" s="103" t="s">
        <v>61</v>
      </c>
      <c r="F4" s="103" t="s">
        <v>62</v>
      </c>
      <c r="G4" s="51" t="s">
        <v>63</v>
      </c>
      <c r="H4" s="103" t="s">
        <v>64</v>
      </c>
      <c r="I4" s="51" t="s">
        <v>65</v>
      </c>
      <c r="J4" s="103" t="s">
        <v>66</v>
      </c>
      <c r="K4" s="103" t="s">
        <v>67</v>
      </c>
    </row>
    <row r="5" spans="1:24" ht="25.2" customHeight="1" x14ac:dyDescent="0.3">
      <c r="A5" s="102" t="s">
        <v>68</v>
      </c>
      <c r="B5" s="95" cm="1">
        <f t="array" ref="B5">SUMPRODUCT((Trabajadores!$G:$G = STATS!$A$1) * (IFERROR(MONTH(Trabajadores!$L:$L), 0) = 1) * (IFERROR(YEAR(Trabajadores!$L:$L), 0) = $G$8))</f>
        <v>24</v>
      </c>
      <c r="C5" s="95" cm="1">
        <f t="array" ref="C5">SUMPRODUCT((Historial_Trabajadores!$E:$E = STATS!$A$1) * ((IFERROR(YEAR(Historial_Trabajadores!$F:$F), 0) &lt; $G$8) + ((IFERROR(YEAR(Historial_Trabajadores!$F:$F), 0) = $G$8) * (IFERROR(MONTH(Historial_Trabajadores!$F:$F), 0) &lt;= 1))) * ((Historial_Trabajadores!$G:$G = "") + (IFERROR(YEAR(Historial_Trabajadores!$G:$G), 0) &gt; $G$8) + ((IFERROR(YEAR(Historial_Trabajadores!$G:$G), 0) = $G$8) * (IFERROR(MONTH(Historial_Trabajadores!$G:$G), 0) &gt; 1))))</f>
        <v>41</v>
      </c>
      <c r="D5" s="95" cm="1">
        <f t="array" ref="D5">SUMPRODUCT((Trabajadores!$G:$G = STATS!$A$1) * (IFERROR(MONTH(Trabajadores!$M:$M), 0) = 1) * (IFERROR(YEAR(Trabajadores!$M:$M), 0) = $G$8))</f>
        <v>23</v>
      </c>
      <c r="E5" s="129">
        <f>IFERROR(D5 / C5, 0)</f>
        <v>0.56097560975609762</v>
      </c>
      <c r="F5" s="95" cm="1">
        <f t="array" ref="F5">SUMPRODUCT((Trabajadores!$G:$G = STATS!$A$1) * (Trabajadores!$O:$O = "SI") * (IFERROR(MONTH(Trabajadores!$P:$P), 0) = 1))</f>
        <v>20</v>
      </c>
      <c r="G5" s="52" cm="1">
        <f t="array" ref="G5">SUMPRODUCT((Trabajadores!$G:$G = STATS!$A$1) * (Trabajadores!$M:$M = "Sin registro"))</f>
        <v>0</v>
      </c>
      <c r="H5" s="53">
        <f>COUNTIFS(Trabajadores!$G:$G, STATS!A1, Trabajadores!$O:$O, "NO")</f>
        <v>17</v>
      </c>
      <c r="I5" s="55">
        <f ca="1">COUNTIFS(Trabajadores!$G:$G, STATS!A1, Trabajadores!$Q:$Q, "Vigente")</f>
        <v>32</v>
      </c>
      <c r="J5" s="53">
        <f ca="1">COUNTIFS(Trabajadores!$G:$G, STATS!A1, Trabajadores!$Q:$Q, "Vencido")</f>
        <v>8</v>
      </c>
      <c r="K5" s="59">
        <f ca="1">COUNTIFS(Trabajadores!$G:$G, STATS!A1, Trabajadores!$Q:$Q, "Pendiente")</f>
        <v>0</v>
      </c>
      <c r="S5" s="41"/>
    </row>
    <row r="6" spans="1:24" ht="25.2" customHeight="1" x14ac:dyDescent="0.3">
      <c r="A6" s="102" t="s">
        <v>69</v>
      </c>
      <c r="B6" s="95" cm="1">
        <f t="array" ref="B6">SUMPRODUCT((Trabajadores!$G:$G = STATS!$A$1) * (IFERROR(MONTH(Trabajadores!$L:$L), 0) = 2) * (IFERROR(YEAR(Trabajadores!$L:$L), 0) = $G$8))</f>
        <v>4</v>
      </c>
      <c r="C6" s="95" cm="1">
        <f t="array" ref="C6">SUMPRODUCT((Historial_Trabajadores!$E:$E = STATS!$A$1) * ((IFERROR(YEAR(Historial_Trabajadores!$F:$F), 0) &lt; $G$8) + ((IFERROR(YEAR(Historial_Trabajadores!$F:$F), 0) = $G$8) * (IFERROR(MONTH(Historial_Trabajadores!$F:$F), 0) &lt;= 2))) * ((Historial_Trabajadores!$G:$G = "") + (IFERROR(YEAR(Historial_Trabajadores!$G:$G), 0) &gt; $G$8) + ((IFERROR(YEAR(Historial_Trabajadores!$G:$G), 0) = $G$8) * (IFERROR(MONTH(Historial_Trabajadores!$G:$G), 0) &gt; 2))))</f>
        <v>44</v>
      </c>
      <c r="D6" s="95" cm="1">
        <f t="array" ref="D6">SUMPRODUCT((Trabajadores!$G:$G = STATS!$A$1) * (IFERROR(MONTH(Trabajadores!$M:$M), 0) = 2) * (IFERROR(YEAR(Trabajadores!$M:$M), 0) = $G$8))</f>
        <v>4</v>
      </c>
      <c r="E6" s="129">
        <f t="shared" ref="E6:E16" si="0">IFERROR(D6 / C6, 0)</f>
        <v>9.0909090909090912E-2</v>
      </c>
      <c r="F6" s="95" cm="1">
        <f t="array" ref="F6">SUMPRODUCT((Trabajadores!$G:$G = STATS!$A$1) * (Trabajadores!$O:$O = "SI") * (IFERROR(MONTH(Trabajadores!$P:$P), 0) = 2))</f>
        <v>0</v>
      </c>
      <c r="G6" s="127" t="s">
        <v>70</v>
      </c>
      <c r="H6" s="103" t="s">
        <v>71</v>
      </c>
      <c r="I6" s="93" t="s">
        <v>72</v>
      </c>
      <c r="J6" s="93" t="s">
        <v>73</v>
      </c>
      <c r="K6" s="93" t="s">
        <v>74</v>
      </c>
      <c r="L6" s="93" t="s">
        <v>72</v>
      </c>
      <c r="T6" t="str" cm="1">
        <f t="array" ref="T6">_xlfn.LET(
    _xlpm.mes_num, MATCH($H$8, {"Enero","Febrero","Marzo","Abril","Mayo","Junio","Julio","Agosto","Septiembre","Octubre","Noviembre","Diciembre"}, 0),
    _xlpm.obra_sel, $A$1,
    _xlpm.dicc_f, _xlfn._xlws.FILTER(ListasAuxiliares!$F$2:$F$102, ListasAuxiliares!$F$2:$F$102&lt;&gt;""),
    _xlpm.dicc_g, _xlfn._xlws.FILTER(ListasAuxiliares!$G$2:$G$102, ListasAuxiliares!$G$2:$G$102&lt;&gt;""),
    _xlpm.lista_descripciones, _xlfn._xlws.FILTER(Accidentes!$E$2:$E$4995, (IFERROR(MONTH(Accidentes!$D$2:$D$4995), 0)=_xlpm.mes_num)*(Accidentes!$D$2:$D$4995&lt;&gt;"")*(_xlfn.XLOOKUP(Accidentes!$B$2:$B$4995, Trabajadores!$C$2:$C$5009, Trabajadores!$G$2:$G$5009, "")=_xlpm.obra_sel), "Vacio"),
    IF(INDEX(_xlpm.lista_descripciones, 1)="Vacio", "Sin accidentes",
        _xlfn.LET(
            _xlpm.lista_mapeada, _xlfn.MAP(_xlpm.lista_descripciones, _xlfn.LAMBDA(_xlpm.d,
                IFERROR(
                    LOOKUP(1, 0/SEARCH(_xlpm.dicc_f, _xlpm.d), _xlpm.dicc_g),
                    "Otros"
                )
            )),
            _xlpm.u, _xlfn.UNIQUE(_xlpm.lista_mapeada),
            _xlpm.conteo, _xlfn.MAP(_xlpm.u, _xlfn.LAMBDA(_xlpm.x, SUM(--(_xlpm.lista_mapeada=_xlpm.x)))),
            _xlfn._xlws.SORT(_xlfn.HSTACK(_xlpm.u, _xlpm.conteo), 2, -1)
        )
    )
)</f>
        <v>Sin accidentes</v>
      </c>
      <c r="W6" s="88" t="s">
        <v>75</v>
      </c>
      <c r="X6" s="91">
        <f t="shared" ref="X6:X15" si="1">IFERROR(VLOOKUP(W6, $T$6:$U$16, 2, 0), 0)</f>
        <v>0</v>
      </c>
    </row>
    <row r="7" spans="1:24" ht="25.2" customHeight="1" x14ac:dyDescent="0.3">
      <c r="A7" s="102" t="s">
        <v>76</v>
      </c>
      <c r="B7" s="95" cm="1">
        <f t="array" ref="B7">SUMPRODUCT((Trabajadores!$G:$G = STATS!$A$1) * (IFERROR(MONTH(Trabajadores!$L:$L), 0) = 3) * (IFERROR(YEAR(Trabajadores!$L:$L), 0) = $G$8))</f>
        <v>0</v>
      </c>
      <c r="C7" s="95" cm="1">
        <f t="array" ref="C7">SUMPRODUCT((Historial_Trabajadores!$E:$E = STATS!$A$1) * ((IFERROR(YEAR(Historial_Trabajadores!$F:$F), 0) &lt; $G$8) + ((IFERROR(YEAR(Historial_Trabajadores!$F:$F), 0) = $G$8) * (IFERROR(MONTH(Historial_Trabajadores!$F:$F), 0) &lt;= 3))) * ((Historial_Trabajadores!$G:$G = "") + (IFERROR(YEAR(Historial_Trabajadores!$G:$G), 0) &gt; $G$8) + ((IFERROR(YEAR(Historial_Trabajadores!$G:$G), 0) = $G$8) * (IFERROR(MONTH(Historial_Trabajadores!$G:$G), 0) &gt; 3))))</f>
        <v>44</v>
      </c>
      <c r="D7" s="95" cm="1">
        <f t="array" ref="D7">SUMPRODUCT((Trabajadores!$G:$G = STATS!$A$1) * (IFERROR(MONTH(Trabajadores!$M:$M), 0) = 3) * (IFERROR(YEAR(Trabajadores!$M:$M), 0) = $G$8))</f>
        <v>0</v>
      </c>
      <c r="E7" s="129">
        <f t="shared" si="0"/>
        <v>0</v>
      </c>
      <c r="F7" s="95" cm="1">
        <f t="array" ref="F7">SUMPRODUCT((Trabajadores!$G:$G = STATS!$A$1) * (Trabajadores!$O:$O = "SI") * (IFERROR(MONTH(Trabajadores!$P:$P), 0) = 3))</f>
        <v>1</v>
      </c>
      <c r="G7" s="52" cm="1">
        <f t="array" ref="G7">_xlfn.LET(
    _xlpm.mes_num, MATCH($H$8, {"Enero","Febrero","Marzo","Abril","Mayo","Junio","Julio","Agosto","Septiembre","Octubre","Noviembre","Diciembre"}, 0),
    _xlpm.anio_sel, $G$8,
    _xlpm.obra_sel, $A$1,
    SUMPRODUCT(
        (Trabajadores!$G:$G = _xlpm.obra_sel) * (IFERROR(MONTH(Trabajadores!$L:$L), 0) = _xlpm.mes_num) * (IFERROR(YEAR(Trabajadores!$L:$L), 0) = _xlpm.anio_sel)
    )
)</f>
        <v>24</v>
      </c>
      <c r="H7" s="53" cm="1">
        <f t="array" ref="H7">_xlfn.LET(
    _xlpm.mes_num, MATCH($H$8, {"Enero","Febrero","Marzo","Abril","Mayo","Junio","Julio","Agosto","Septiembre","Octubre","Noviembre","Diciembre"}, 0),
    _xlpm.anio_sel, $G$8,
    _xlpm.obra_sel, $A$1,
    SUMPRODUCT(
        (Historial_Trabajadores!$E:$E = _xlpm.obra_sel) * (
            (IFERROR(YEAR(Historial_Trabajadores!$F:$F), 0) &lt; _xlpm.anio_sel) +
            ((IFERROR(YEAR(Historial_Trabajadores!$F:$F), 0) = _xlpm.anio_sel) * (IFERROR(MONTH(Historial_Trabajadores!$F:$F), 0) &lt;= _xlpm.mes_num))
        ) * (
            (Historial_Trabajadores!$G:$G = "") +
            (IFERROR(YEAR(Historial_Trabajadores!$G:$G), 0) &gt; _xlpm.anio_sel) +
            ((IFERROR(YEAR(Historial_Trabajadores!$G:$G), 0) = _xlpm.anio_sel) * (IFERROR(MONTH(Historial_Trabajadores!$G:$G), 0) &gt; _xlpm.mes_num))
        )
    )
)</f>
        <v>41</v>
      </c>
      <c r="I7" s="1" cm="1">
        <f t="array" ref="I7">_xlfn.LET(
    _xlpm.mes_num, MATCH($H$8, {"Enero","Febrero","Marzo","Abril","Mayo","Junio","Julio","Agosto","Septiembre","Octubre","Noviembre","Diciembre"}, 0),
    _xlpm.anio_sel, $G$8,
    _xlpm.obra_sel, $A$1,
    SUMPRODUCT(
        (Trabajadores!$G$2:$G$6000 = _xlpm.obra_sel) * (IFERROR(MONTH(Trabajadores!$M$2:$M$6000), 0) = _xlpm.mes_num) * (IFERROR(YEAR(Trabajadores!$M$2:$M$6000), 0) = _xlpm.anio_sel)
    )
)</f>
        <v>23</v>
      </c>
      <c r="J7" s="1" cm="1">
        <f t="array" ref="J7">_xlfn.LET(
    _xlpm.mes_num, MATCH($H$8, {"Enero","Febrero","Marzo","Abril","Mayo","Junio","Julio","Agosto","Septiembre","Octubre","Noviembre","Diciembre"}, 0),
    _xlpm.anio_sel, $G$8,
    _xlpm.obra_sel, $A$1,
    SUMPRODUCT(
        (Trabajadores!$G$2:$G$6000 = _xlpm.obra_sel) * (Trabajadores!$P$2:$P$6000 &lt;&gt; "NO") * (ISNUMBER(Trabajadores!$P$2:$P$6000)) * (IFERROR(YEAR(Trabajadores!$P$2:$P$6000)*12 + MONTH(Trabajadores!$P$2:$P$6000), 0) &lt;= (_xlpm.anio_sel * 12 + _xlpm.mes_num))
    )
)</f>
        <v>23</v>
      </c>
      <c r="K7" s="94">
        <f>IFERROR(J7/L7,0)</f>
        <v>0.57499999999999996</v>
      </c>
      <c r="L7" cm="1">
        <f t="array" ref="L7">SUMPRODUCT(
    (Trabajadores!$G$2:$G$6000 = $A$1)* (Trabajadores!$M$2:$M$6000 &lt;&gt; "Sin registro")
)</f>
        <v>40</v>
      </c>
      <c r="W7" s="89" t="s">
        <v>77</v>
      </c>
      <c r="X7" s="91">
        <f t="shared" si="1"/>
        <v>0</v>
      </c>
    </row>
    <row r="8" spans="1:24" ht="34.950000000000003" customHeight="1" x14ac:dyDescent="0.3">
      <c r="A8" s="102" t="s">
        <v>78</v>
      </c>
      <c r="B8" s="95" cm="1">
        <f t="array" ref="B8">SUMPRODUCT((Trabajadores!$G:$G = STATS!$A$1) * (IFERROR(MONTH(Trabajadores!$L:$L), 0) = 4) * (IFERROR(YEAR(Trabajadores!$L:$L), 0) = $G$8))</f>
        <v>0</v>
      </c>
      <c r="C8" s="95" cm="1">
        <f t="array" ref="C8">SUMPRODUCT((Historial_Trabajadores!$E:$E = STATS!$A$1) * ((IFERROR(YEAR(Historial_Trabajadores!$F:$F), 0) &lt; $G$8) + ((IFERROR(YEAR(Historial_Trabajadores!$F:$F), 0) = $G$8) * (IFERROR(MONTH(Historial_Trabajadores!$F:$F), 0) &lt;= 4))) * ((Historial_Trabajadores!$G:$G = "") + (IFERROR(YEAR(Historial_Trabajadores!$G:$G), 0) &gt; $G$8) + ((IFERROR(YEAR(Historial_Trabajadores!$G:$G), 0) = $G$8) * (IFERROR(MONTH(Historial_Trabajadores!$G:$G), 0) &gt; 4))))</f>
        <v>44</v>
      </c>
      <c r="D8" s="95" cm="1">
        <f t="array" ref="D8">SUMPRODUCT((Trabajadores!$G:$G = STATS!$A$1) * (IFERROR(MONTH(Trabajadores!$M:$M), 0) = 4) * (IFERROR(YEAR(Trabajadores!$M:$M), 0) = $G$8))</f>
        <v>0</v>
      </c>
      <c r="E8" s="129">
        <f t="shared" si="0"/>
        <v>0</v>
      </c>
      <c r="F8" s="95" cm="1">
        <f t="array" ref="F8">SUMPRODUCT((Trabajadores!$G:$G = STATS!$A$1) * (Trabajadores!$O:$O = "SI") * (IFERROR(MONTH(Trabajadores!$P:$P), 0) = 4))</f>
        <v>1</v>
      </c>
      <c r="G8" s="51">
        <f>IFERROR(D329, "Seleccione Obra")</f>
        <v>2026</v>
      </c>
      <c r="H8" s="51" t="str">
        <f>IFERROR(B329, "Seleccione Obra")</f>
        <v>ENERO</v>
      </c>
      <c r="I8" s="51" t="s">
        <v>79</v>
      </c>
      <c r="J8" s="51" t="s">
        <v>80</v>
      </c>
      <c r="K8" s="51" t="s">
        <v>81</v>
      </c>
      <c r="L8" s="51" t="s">
        <v>82</v>
      </c>
      <c r="M8" s="51" t="s">
        <v>71</v>
      </c>
      <c r="N8" s="51" t="s">
        <v>83</v>
      </c>
      <c r="O8" s="163" t="s">
        <v>84</v>
      </c>
      <c r="P8" s="164"/>
      <c r="Q8" s="163" t="s">
        <v>85</v>
      </c>
      <c r="R8" s="164"/>
      <c r="W8" s="89" t="s">
        <v>86</v>
      </c>
      <c r="X8" s="91">
        <f t="shared" si="1"/>
        <v>0</v>
      </c>
    </row>
    <row r="9" spans="1:24" ht="25.2" customHeight="1" x14ac:dyDescent="0.3">
      <c r="A9" s="102" t="s">
        <v>87</v>
      </c>
      <c r="B9" s="95" cm="1">
        <f t="array" ref="B9">SUMPRODUCT((Trabajadores!$G:$G = STATS!$A$1) * (IFERROR(MONTH(Trabajadores!$L:$L), 0) = 5) * (IFERROR(YEAR(Trabajadores!$L:$L), 0) = $G$8))</f>
        <v>0</v>
      </c>
      <c r="C9" s="95" cm="1">
        <f t="array" ref="C9">SUMPRODUCT((Historial_Trabajadores!$E:$E = STATS!$A$1) * ((IFERROR(YEAR(Historial_Trabajadores!$F:$F), 0) &lt; $G$8) + ((IFERROR(YEAR(Historial_Trabajadores!$F:$F), 0) = $G$8) * (IFERROR(MONTH(Historial_Trabajadores!$F:$F), 0) &lt;= 5))) * ((Historial_Trabajadores!$G:$G = "") + (IFERROR(YEAR(Historial_Trabajadores!$G:$G), 0) &gt; $G$8) + ((IFERROR(YEAR(Historial_Trabajadores!$G:$G), 0) = $G$8) * (IFERROR(MONTH(Historial_Trabajadores!$G:$G), 0) &gt; 5))))</f>
        <v>44</v>
      </c>
      <c r="D9" s="95" cm="1">
        <f t="array" ref="D9">SUMPRODUCT((Trabajadores!$G:$G = STATS!$A$1) * (IFERROR(MONTH(Trabajadores!$M:$M), 0) = 5) * (IFERROR(YEAR(Trabajadores!$M:$M), 0) = $G$8))</f>
        <v>0</v>
      </c>
      <c r="E9" s="129">
        <f t="shared" si="0"/>
        <v>0</v>
      </c>
      <c r="F9" s="95" cm="1">
        <f t="array" ref="F9">SUMPRODUCT((Trabajadores!$G:$G = STATS!$A$1) * (Trabajadores!$O:$O = "SI") * (IFERROR(MONTH(Trabajadores!$P:$P), 0) = 5))</f>
        <v>0</v>
      </c>
      <c r="G9" s="1"/>
      <c r="H9" s="51" t="s">
        <v>88</v>
      </c>
      <c r="I9" s="1" cm="1">
        <f t="array" ref="I9">_xlfn.LET(
    _xlpm.mes_num, MATCH($H$8, {"Enero","Febrero","Marzo","Abril","Mayo","Junio","Julio","Agosto","Septiembre","Octubre","Noviembre","Diciembre"}, 0),
    _xlpm.obra_sel, $A$1,
    SUMPRODUCT((IFERROR(MONTH(Accidentes!$D$2:$D$4995), 0)=_xlpm.mes_num) * (Accidentes!$D$2:$D$4995&lt;&gt;"") * (_xlfn.XLOOKUP(Accidentes!$B$2:$B$4995, Trabajadores!$C$2:$C$5007, Trabajadores!$G$2:$G$5007, "")=_xlpm.obra_sel))
)</f>
        <v>0</v>
      </c>
      <c r="J9" s="1" cm="1">
        <f t="array" ref="J9">_xlfn.LET(
    _xlpm.mes_num, MATCH($H$8, {"Enero","Febrero","Marzo","Abril","Mayo","Junio","Julio","Agosto","Septiembre","Octubre","Noviembre","Diciembre"}, 0),
    _xlpm.obra_sel, $A$1,
    _xlpm.lista_dni, _xlfn._xlws.FILTER(Accidentes!$B$2:$B$4995, (IFERROR(MONTH(Accidentes!$D$2:$D$4995), 0)=_xlpm.mes_num) * (_xlfn.XLOOKUP(Accidentes!$B$2:$B$4995, Trabajadores!$C$2:$C$5007, Trabajadores!$G$2:$G$5007, "")=_xlpm.obra_sel), "Vacio"),
    IF(INDEX(_xlpm.lista_dni, 1)="Vacio", 0, COUNTA(_xlfn.UNIQUE(_xlpm.lista_dni)))
)</f>
        <v>0</v>
      </c>
      <c r="K9" s="1" cm="1">
        <f t="array" ref="K9">_xlfn.LET(
    _xlpm.mes_num, MATCH($H$8, {"Enero","Febrero","Marzo","Abril","Mayo","Junio","Julio","Agosto","Septiembre","Octubre","Noviembre","Diciembre"}, 0),
    _xlpm.obra_sel, $A$1,
    SUMPRODUCT((IFERROR(MONTH(Accidentes!$D$2:$D$4995), 0)=_xlpm.mes_num) * (Accidentes!$D$2:$D$4995&lt;&gt;"") * (_xlfn.XLOOKUP(Accidentes!$B$2:$B$4995, Trabajadores!$C$2:$C$5007, Trabajadores!$G$2:$G$5007, "")=_xlpm.obra_sel) * (SUMIF(Descansos_Medicos!$B:$B, Accidentes!$A$2:$A$4995, Descansos_Medicos!$F:$F)&lt;=5))
)</f>
        <v>0</v>
      </c>
      <c r="L9" s="1" cm="1">
        <f t="array" ref="L9">_xlfn.LET(
    _xlpm.mes_num, MATCH($H$8, {"Enero","Febrero","Marzo","Abril","Mayo","Junio","Julio","Agosto","Septiembre","Octubre","Noviembre","Diciembre"}, 0),
    _xlpm.obra_sel, $A$1,
    SUMPRODUCT((IFERROR(MONTH(Accidentes!$D$2:$D$4995), 0)=_xlpm.mes_num) * (Accidentes!$D$2:$D$4995&lt;&gt;"") * (_xlfn.XLOOKUP(Accidentes!$B$2:$B$4995, Trabajadores!$C$2:$C$5007, Trabajadores!$G$2:$G$5007, "")=_xlpm.obra_sel) * (SUMIF(Descansos_Medicos!$B:$B, Accidentes!$A$2:$A$4995, Descansos_Medicos!$F:$F)&gt;5))
)</f>
        <v>0</v>
      </c>
      <c r="M9" s="1" cm="1">
        <f t="array" ref="M9">_xlfn.LET(
    _xlpm.mes_num, MATCH($H$8, {"Enero","Febrero","Marzo","Abril","Mayo","Junio","Julio","Agosto","Septiembre","Octubre","Noviembre","Diciembre"}, 0),
    _xlpm.obra_sel, $A$1,
    SUMPRODUCT(
        (Historial_Trabajadores!$E:$E = _xlpm.obra_sel) * (IFERROR(MONTH(Historial_Trabajadores!$F:$F), 0) &lt;= _xlpm.mes_num) * ((Historial_Trabajadores!$G:$G = "") + (IFERROR(MONTH(Historial_Trabajadores!$G:$G), 0) &gt; _xlpm.mes_num))
    )
)</f>
        <v>29</v>
      </c>
      <c r="N9" s="92">
        <f>J9/M9</f>
        <v>0</v>
      </c>
      <c r="O9" s="18" t="str" cm="1">
        <f t="array" ref="O9">_xlfn.LET(
    _xlpm.mes_num, MATCH($H$8, {"Enero","Febrero","Marzo","Abril","Mayo","Junio","Julio","Agosto","Septiembre","Octubre","Noviembre","Diciembre"}, 0),
    _xlpm.obra_sel, $A$1,
    _xlpm.lista, _xlfn._xlws.FILTER(Accidentes!$E$2:$E$4995, (IFERROR(MONTH(Accidentes!$D$2:$D$4995), 0)=_xlpm.mes_num)*(Accidentes!$D$2:$D$4995&lt;&gt;"")*(_xlfn.XLOOKUP(Accidentes!$B$2:$B$4995, Trabajadores!$C$2:$C$5007, Trabajadores!$G$2:$G$5007, "")=_xlpm.obra_sel), "Vacio"),
    IF(INDEX(_xlpm.lista, 1)="Vacio", "Sin accidentes",
        _xlfn.LET(
            _xlpm.u, _xlfn.UNIQUE(_xlpm.lista),
            _xlpm.conteo, _xlfn.MAP(_xlpm.u, _xlfn.LAMBDA(_xlpm.x, SUM(--(_xlpm.lista=_xlpm.x)))),
            _xlpm.resultado, _xlfn._xlws.SORT(_xlfn.HSTACK(_xlpm.u, _xlpm.conteo), 2, -1),
            _xlfn.TAKE(_xlpm.resultado, 15)
        )
    )
)</f>
        <v>Sin accidentes</v>
      </c>
      <c r="P9" s="18"/>
      <c r="Q9" s="18" t="str" cm="1">
        <f t="array" ref="Q9">_xlfn.LET(
    _xlpm.mes_num, MATCH($H$8, {"Enero","Febrero","Marzo","Abril","Mayo","Junio","Julio","Agosto","Septiembre","Octubre","Noviembre","Diciembre"}, 0),
    _xlpm.obra_sel, $A$1,
    _xlpm.lista, _xlfn._xlws.FILTER(Accidentes!$F$2:$F$4995, (IFERROR(MONTH(Accidentes!$D$2:$D$4995), 0)=_xlpm.mes_num)*(Accidentes!$D$2:$D$4995&lt;&gt;"")*(_xlfn.XLOOKUP(Accidentes!$B$2:$B$4995, Trabajadores!$C$2:$C$5007, Trabajadores!$G$2:$G$5007, "")=_xlpm.obra_sel), "Vacio"),
    IF(INDEX(_xlpm.lista, 1)="Vacio", "Sin accidentes", _xlfn.LET(_xlpm.u, _xlfn.UNIQUE(_xlpm.lista), _xlpm.conteo, _xlfn.MAP(_xlpm.u, _xlfn.LAMBDA(_xlpm.x, SUM(--(_xlpm.lista=_xlpm.x)))), _xlfn._xlws.SORT(_xlfn.HSTACK(_xlpm.u, _xlpm.conteo), 2, -1)))
)</f>
        <v>Sin accidentes</v>
      </c>
      <c r="R9" s="18"/>
      <c r="W9" s="89" t="s">
        <v>89</v>
      </c>
      <c r="X9" s="91">
        <f t="shared" si="1"/>
        <v>0</v>
      </c>
    </row>
    <row r="10" spans="1:24" ht="25.2" customHeight="1" x14ac:dyDescent="0.3">
      <c r="A10" s="102" t="s">
        <v>90</v>
      </c>
      <c r="B10" s="95" cm="1">
        <f t="array" ref="B10">SUMPRODUCT((Trabajadores!$G:$G = STATS!$A$1) * (IFERROR(MONTH(Trabajadores!$L:$L), 0) = 6) * (IFERROR(YEAR(Trabajadores!$L:$L), 0) = $G$8))</f>
        <v>0</v>
      </c>
      <c r="C10" s="95" cm="1">
        <f t="array" ref="C10">SUMPRODUCT((Historial_Trabajadores!$E:$E = STATS!$A$1) * ((IFERROR(YEAR(Historial_Trabajadores!$F:$F), 0) &lt; $G$8) + ((IFERROR(YEAR(Historial_Trabajadores!$F:$F), 0) = $G$8) * (IFERROR(MONTH(Historial_Trabajadores!$F:$F), 0) &lt;= 6))) * ((Historial_Trabajadores!$G:$G = "") + (IFERROR(YEAR(Historial_Trabajadores!$G:$G), 0) &gt; $G$8) + ((IFERROR(YEAR(Historial_Trabajadores!$G:$G), 0) = $G$8) * (IFERROR(MONTH(Historial_Trabajadores!$G:$G), 0) &gt; 6))))</f>
        <v>44</v>
      </c>
      <c r="D10" s="95" cm="1">
        <f t="array" ref="D10">SUMPRODUCT((Trabajadores!$G:$G = STATS!$A$1) * (IFERROR(MONTH(Trabajadores!$M:$M), 0) = 6) * (IFERROR(YEAR(Trabajadores!$M:$M), 0) = $G$8))</f>
        <v>0</v>
      </c>
      <c r="E10" s="129">
        <f t="shared" si="0"/>
        <v>0</v>
      </c>
      <c r="F10" s="95" cm="1">
        <f t="array" ref="F10">SUMPRODUCT((Trabajadores!$G:$G = STATS!$A$1) * (Trabajadores!$O:$O = "SI") * (IFERROR(MONTH(Trabajadores!$P:$P), 0) = 6))</f>
        <v>1</v>
      </c>
      <c r="G10" s="1"/>
      <c r="I10" s="51" t="s">
        <v>91</v>
      </c>
      <c r="J10" s="51" t="s">
        <v>92</v>
      </c>
      <c r="K10" s="51" t="s">
        <v>93</v>
      </c>
      <c r="L10" s="51" t="s">
        <v>94</v>
      </c>
      <c r="M10" s="163" t="s">
        <v>95</v>
      </c>
      <c r="N10" s="164"/>
      <c r="O10" s="18"/>
      <c r="P10" s="18"/>
      <c r="Q10" s="18"/>
      <c r="R10" s="18"/>
      <c r="W10" s="89" t="s">
        <v>96</v>
      </c>
      <c r="X10" s="91">
        <f t="shared" si="1"/>
        <v>0</v>
      </c>
    </row>
    <row r="11" spans="1:24" ht="30" customHeight="1" x14ac:dyDescent="0.3">
      <c r="A11" s="102" t="s">
        <v>97</v>
      </c>
      <c r="B11" s="95" cm="1">
        <f t="array" ref="B11">SUMPRODUCT((Trabajadores!$G:$G = STATS!$A$1) * (IFERROR(MONTH(Trabajadores!$L:$L), 0) = 7) * (IFERROR(YEAR(Trabajadores!$L:$L), 0) = $G$8))</f>
        <v>0</v>
      </c>
      <c r="C11" s="95" cm="1">
        <f t="array" ref="C11">SUMPRODUCT((Historial_Trabajadores!$E:$E = STATS!$A$1) * ((IFERROR(YEAR(Historial_Trabajadores!$F:$F), 0) &lt; $G$8) + ((IFERROR(YEAR(Historial_Trabajadores!$F:$F), 0) = $G$8) * (IFERROR(MONTH(Historial_Trabajadores!$F:$F), 0) &lt;= 7))) * ((Historial_Trabajadores!$G:$G = "") + (IFERROR(YEAR(Historial_Trabajadores!$G:$G), 0) &gt; $G$8) + ((IFERROR(YEAR(Historial_Trabajadores!$G:$G), 0) = $G$8) * (IFERROR(MONTH(Historial_Trabajadores!$G:$G), 0) &gt; 7))))</f>
        <v>44</v>
      </c>
      <c r="D11" s="95" cm="1">
        <f t="array" ref="D11">SUMPRODUCT((Trabajadores!$G:$G = STATS!$A$1) * (IFERROR(MONTH(Trabajadores!$M:$M), 0) = 7) * (IFERROR(YEAR(Trabajadores!$M:$M), 0) = $G$8))</f>
        <v>0</v>
      </c>
      <c r="E11" s="129">
        <f t="shared" si="0"/>
        <v>0</v>
      </c>
      <c r="F11" s="95" cm="1">
        <f t="array" ref="F11">SUMPRODUCT((Trabajadores!$G:$G = STATS!$A$1) * (Trabajadores!$O:$O = "SI") * (IFERROR(MONTH(Trabajadores!$P:$P), 0) = 7))</f>
        <v>0</v>
      </c>
      <c r="G11" s="1"/>
      <c r="H11" s="51" t="s">
        <v>88</v>
      </c>
      <c r="I11" s="1" cm="1">
        <f t="array" ref="I11">_xlfn.LET(
    _xlpm.mes_num, MATCH($H$8, {"Enero","Febrero","Marzo","Abril","Mayo","Junio","Julio","Agosto","Septiembre","Octubre","Noviembre","Diciembre"}, 0),
    _xlpm.obra_sel, $A$1,
    SUMPRODUCT(
        (IFERROR(MONTH(Accidentes!$D$2:$D$4995), 0) = _xlpm.mes_num) * (Accidentes!$D$2:$D$4995 &lt;&gt; "") * (_xlfn.XLOOKUP(Accidentes!$B$2:$B$4995, Trabajadores!$C$2:$C$5009, Trabajadores!$G$2:$G$5009, "") = _xlpm.obra_sel) * (Accidentes!$I$2:$I$4995 = "SI")
    )
)</f>
        <v>0</v>
      </c>
      <c r="J11" t="str" cm="1">
        <f t="array" aca="1" ref="J11" ca="1">_xlfn.LET(
    _xlpm.ultima_fecha, MAX(_xlfn._xlws.FILTER(Accidentes!$D$2:$D$4995, (Accidentes!$D$2:$D$4995 &lt;&gt; "") * (_xlfn.XLOOKUP(Accidentes!$B$2:$B$4995, Trabajadores!$C$2:$C$5009, Trabajadores!$G$2:$G$5009, "") = $A$1), 0)),
    IF(_xlpm.ultima_fecha = 0, "Sin registros", TODAY() - _xlpm.ultima_fecha)
)</f>
        <v>Sin registros</v>
      </c>
      <c r="K11" cm="1">
        <f t="array" ref="K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Trabajadores!$C$2:$C$5009, Trabajadores!$G$2:$G$5009, "") = _xlpm.obra_sel) * (_xlfn.XLOOKUP(_xlpm.dni_acc, Trabajadores!$C$2:$C$5009, Trabajadores!$F$2:$F$5009, "") = "M")
    )
)</f>
        <v>0</v>
      </c>
      <c r="L11" cm="1">
        <f t="array" ref="L11">_xlfn.LET(
    _xlpm.mes_num, MATCH($H$8, {"Enero","Febrero","Marzo","Abril","Mayo","Junio","Julio","Agosto","Septiembre","Octubre","Noviembre","Diciembre"}, 0),
    _xlpm.obra_sel, $A$1,
    _xlpm.dni_acc, Accidentes!$B$2:$B$4995,
    SUMPRODUCT(
        (IFERROR(MONTH(Accidentes!$D$2:$D$4995), 0) = _xlpm.mes_num) * (Accidentes!$D$2:$D$4995 &lt;&gt; "") * (_xlfn.XLOOKUP(_xlpm.dni_acc, Trabajadores!$C$2:$C$5009, Trabajadores!$G$2:$G$5009, "") = _xlpm.obra_sel) * (_xlfn.XLOOKUP(_xlpm.dni_acc, Trabajadores!$C$2:$C$5009, Trabajadores!$F$2:$F$5009, "") = "F")
    )
)</f>
        <v>0</v>
      </c>
      <c r="M11" s="1" t="str" cm="1">
        <f t="array" ref="M11:N21">_xlfn.LET(
    _xlpm.lista_areas, _xlfn.UNIQUE(tbl_Trabajadores[Área]),
    _xlpm.mes_num, MATCH($H$8, {"Enero","Febrero","Marzo","Abril","Mayo","Junio","Julio","Agosto","Septiembre","Octubre","Noviembre","Diciembre"}, 0),
    _xlpm.obra_sel, $A$1,
    _xlpm.conteos, _xlfn.MAP(_xlpm.lista_areas, _xlfn.LAMBDA(_xlpm.area,
        SUMPRODUCT(
            (IFERROR(MONTH(Accidentes!$D$2:$D$4995), 0) = _xlpm.mes_num) * (Accidentes!$D$2:$D$4995 &lt;&gt; "") * (_xlfn.XLOOKUP(Accidentes!$B$2:$B$4995, Trabajadores!$C$2:$C$5009, Trabajadores!$G$2:$G$5009, "") = _xlpm.obra_sel) * (_xlfn.XLOOKUP(Accidentes!$B$2:$B$4995, Trabajadores!$C$2:$C$5009, Trabajadores!$H$2:$H$5009, "") = _xlpm.area)
        )
    )),
    _xlfn.HSTACK(_xlpm.lista_areas, _xlpm.conteos)
)</f>
        <v>II.EE.- II.SS</v>
      </c>
      <c r="N11" s="1">
        <v>0</v>
      </c>
      <c r="O11" s="18"/>
      <c r="P11" s="18"/>
      <c r="Q11" s="18"/>
      <c r="R11" s="18"/>
      <c r="W11" s="89" t="s">
        <v>98</v>
      </c>
      <c r="X11" s="91">
        <f t="shared" si="1"/>
        <v>0</v>
      </c>
    </row>
    <row r="12" spans="1:24" ht="30" customHeight="1" x14ac:dyDescent="0.3">
      <c r="A12" s="102" t="s">
        <v>99</v>
      </c>
      <c r="B12" s="95" cm="1">
        <f t="array" ref="B12">SUMPRODUCT((Trabajadores!$G:$G = STATS!$A$1) * (IFERROR(MONTH(Trabajadores!$L:$L), 0) = 8) * (IFERROR(YEAR(Trabajadores!$L:$L), 0) = $G$8))</f>
        <v>0</v>
      </c>
      <c r="C12" s="95" cm="1">
        <f t="array" ref="C12">SUMPRODUCT((Historial_Trabajadores!$E:$E = STATS!$A$1) * ((IFERROR(YEAR(Historial_Trabajadores!$F:$F), 0) &lt; $G$8) + ((IFERROR(YEAR(Historial_Trabajadores!$F:$F), 0) = $G$8) * (IFERROR(MONTH(Historial_Trabajadores!$F:$F), 0) &lt;= 8))) * ((Historial_Trabajadores!$G:$G = "") + (IFERROR(YEAR(Historial_Trabajadores!$G:$G), 0) &gt; $G$8) + ((IFERROR(YEAR(Historial_Trabajadores!$G:$G), 0) = $G$8) * (IFERROR(MONTH(Historial_Trabajadores!$G:$G), 0) &gt; 8))))</f>
        <v>44</v>
      </c>
      <c r="D12" s="95" cm="1">
        <f t="array" ref="D12">SUMPRODUCT((Trabajadores!$G:$G = STATS!$A$1) * (IFERROR(MONTH(Trabajadores!$M:$M), 0) = 8) * (IFERROR(YEAR(Trabajadores!$M:$M), 0) = $G$8))</f>
        <v>0</v>
      </c>
      <c r="E12" s="129">
        <f t="shared" si="0"/>
        <v>0</v>
      </c>
      <c r="F12" s="95" cm="1">
        <f t="array" ref="F12">SUMPRODUCT((Trabajadores!$G:$G = STATS!$A$1) * (Trabajadores!$O:$O = "SI") * (IFERROR(MONTH(Trabajadores!$P:$P), 0) = 8))</f>
        <v>0</v>
      </c>
      <c r="G12" s="1"/>
      <c r="H12" s="1"/>
      <c r="M12" s="1" t="str">
        <v>TOPOGRAFO</v>
      </c>
      <c r="N12" s="1">
        <v>0</v>
      </c>
      <c r="W12" s="89" t="s">
        <v>100</v>
      </c>
      <c r="X12" s="91">
        <f t="shared" si="1"/>
        <v>0</v>
      </c>
    </row>
    <row r="13" spans="1:24" ht="30" customHeight="1" x14ac:dyDescent="0.3">
      <c r="A13" s="102" t="s">
        <v>101</v>
      </c>
      <c r="B13" s="95" cm="1">
        <f t="array" ref="B13">SUMPRODUCT((Trabajadores!$G:$G = STATS!$A$1) * (IFERROR(MONTH(Trabajadores!$L:$L), 0) = 9) * (IFERROR(YEAR(Trabajadores!$L:$L), 0) = $G$8))</f>
        <v>0</v>
      </c>
      <c r="C13" s="95" cm="1">
        <f t="array" ref="C13">SUMPRODUCT((Historial_Trabajadores!$E:$E = STATS!$A$1) * ((IFERROR(YEAR(Historial_Trabajadores!$F:$F), 0) &lt; $G$8) + ((IFERROR(YEAR(Historial_Trabajadores!$F:$F), 0) = $G$8) * (IFERROR(MONTH(Historial_Trabajadores!$F:$F), 0) &lt;= 9))) * ((Historial_Trabajadores!$G:$G = "") + (IFERROR(YEAR(Historial_Trabajadores!$G:$G), 0) &gt; $G$8) + ((IFERROR(YEAR(Historial_Trabajadores!$G:$G), 0) = $G$8) * (IFERROR(MONTH(Historial_Trabajadores!$G:$G), 0) &gt; 9))))</f>
        <v>44</v>
      </c>
      <c r="D13" s="95" cm="1">
        <f t="array" ref="D13">SUMPRODUCT((Trabajadores!$G:$G = STATS!$A$1) * (IFERROR(MONTH(Trabajadores!$M:$M), 0) = 9) * (IFERROR(YEAR(Trabajadores!$M:$M), 0) = $G$8))</f>
        <v>0</v>
      </c>
      <c r="E13" s="129">
        <f t="shared" si="0"/>
        <v>0</v>
      </c>
      <c r="F13" s="95" cm="1">
        <f t="array" ref="F13">SUMPRODUCT((Trabajadores!$G:$G = STATS!$A$1) * (Trabajadores!$O:$O = "SI") * (IFERROR(MONTH(Trabajadores!$P:$P), 0) = 9))</f>
        <v>0</v>
      </c>
      <c r="G13" s="1"/>
      <c r="H13" s="51" t="s">
        <v>57</v>
      </c>
      <c r="I13" s="103" t="s">
        <v>251</v>
      </c>
      <c r="K13" s="163" t="s">
        <v>102</v>
      </c>
      <c r="L13" s="164"/>
      <c r="M13" s="1" t="str">
        <v>STAFF</v>
      </c>
      <c r="N13" s="1">
        <v>0</v>
      </c>
      <c r="W13" s="89" t="s">
        <v>103</v>
      </c>
      <c r="X13" s="91">
        <f t="shared" si="1"/>
        <v>0</v>
      </c>
    </row>
    <row r="14" spans="1:24" ht="25.2" customHeight="1" x14ac:dyDescent="0.3">
      <c r="A14" s="102" t="s">
        <v>104</v>
      </c>
      <c r="B14" s="95" cm="1">
        <f t="array" ref="B14">SUMPRODUCT((Trabajadores!$G:$G = STATS!$A$1) * (IFERROR(MONTH(Trabajadores!$L:$L), 0) = 10) * (IFERROR(YEAR(Trabajadores!$L:$L), 0) = $G$8))</f>
        <v>0</v>
      </c>
      <c r="C14" s="95" cm="1">
        <f t="array" ref="C14">SUMPRODUCT((Historial_Trabajadores!$E:$E = STATS!$A$1) * ((IFERROR(YEAR(Historial_Trabajadores!$F:$F), 0) &lt; $G$8) + ((IFERROR(YEAR(Historial_Trabajadores!$F:$F), 0) = $G$8) * (IFERROR(MONTH(Historial_Trabajadores!$F:$F), 0) &lt;= 10))) * ((Historial_Trabajadores!$G:$G = "") + (IFERROR(YEAR(Historial_Trabajadores!$G:$G), 0) &gt; $G$8) + ((IFERROR(YEAR(Historial_Trabajadores!$G:$G), 0) = $G$8) * (IFERROR(MONTH(Historial_Trabajadores!$G:$G), 0) &gt; 10))))</f>
        <v>44</v>
      </c>
      <c r="D14" s="95" cm="1">
        <f t="array" ref="D14">SUMPRODUCT((Trabajadores!$G:$G = STATS!$A$1) * (IFERROR(MONTH(Trabajadores!$M:$M), 0) = 10) * (IFERROR(YEAR(Trabajadores!$M:$M), 0) = $G$8))</f>
        <v>0</v>
      </c>
      <c r="E14" s="129">
        <f t="shared" si="0"/>
        <v>0</v>
      </c>
      <c r="F14" s="95" cm="1">
        <f t="array" ref="F14">SUMPRODUCT((Trabajadores!$G:$G = STATS!$A$1) * (Trabajadores!$O:$O = "SI") * (IFERROR(MONTH(Trabajadores!$P:$P), 0) = 10))</f>
        <v>0</v>
      </c>
      <c r="G14" s="1"/>
      <c r="H14" s="102" t="s">
        <v>68</v>
      </c>
      <c r="I14" s="77" cm="1">
        <f t="array" ref="I14">SUMPRODUCT((IFERROR(MONTH(Accidentes!$D$2:$D$4995),0)=1) * (_xlfn.XLOOKUP(Accidentes!$C$2:$C$4995, Trabajadores!$B$2:$B$5009, Trabajadores!$G$2:$G$5009, "")=$A$1))</f>
        <v>0</v>
      </c>
      <c r="J14" s="1"/>
      <c r="K14" s="1" t="str" cm="1">
        <f t="array" ref="K14:L15">_xlfn.LET(
    _xlpm.perfiles_unicos, _xlfn.UNIQUE(tbl_Trabajadores[Perfil]),
    _xlpm.lista_perfiles, _xlfn._xlws.FILTER(_xlpm.perfiles_unicos, _xlpm.perfiles_unicos &lt;&gt; ""),
    _xlpm.mes_num, MATCH($H$8, {"Enero","Febrero","Marzo","Abril","Mayo","Junio","Julio","Agosto","Septiembre","Octubre","Noviembre","Diciembre"}, 0),
    _xlpm.obra_sel, $A$1,
    _xlpm.conteos, _xlfn.MAP(_xlpm.lista_perfiles, _xlfn.LAMBDA(_xlpm.p,
        SUMPRODUCT(
            (IFERROR(MONTH(Accidentes!$D$2:$D$4995), 0) = _xlpm.mes_num) * (Accidentes!$D$2:$D$4995 &lt;&gt; "") * (_xlfn.XLOOKUP(Accidentes!$B$2:$B$4995, Trabajadores!$C$2:$C$5009, Trabajadores!$G$2:$G$5009, "") = _xlpm.obra_sel) * (_xlfn.XLOOKUP(Accidentes!$B$2:$B$4995, Trabajadores!$C$2:$C$5009, Trabajadores!$K$2:$K$5009, "") = _xlpm.p)
        )
    )),
    _xlfn.HSTACK(_xlpm.lista_perfiles, _xlpm.conteos)
)</f>
        <v>Técnico</v>
      </c>
      <c r="L14" s="1">
        <v>0</v>
      </c>
      <c r="M14" s="1" t="str">
        <v>CARPINTERO</v>
      </c>
      <c r="N14" s="1">
        <v>0</v>
      </c>
      <c r="W14" s="89" t="s">
        <v>105</v>
      </c>
      <c r="X14" s="91">
        <f t="shared" si="1"/>
        <v>0</v>
      </c>
    </row>
    <row r="15" spans="1:24" ht="25.2" customHeight="1" x14ac:dyDescent="0.3">
      <c r="A15" s="102" t="s">
        <v>106</v>
      </c>
      <c r="B15" s="95" cm="1">
        <f t="array" ref="B15">SUMPRODUCT((Trabajadores!$G:$G = STATS!$A$1) * (IFERROR(MONTH(Trabajadores!$L:$L), 0) = 11) * (IFERROR(YEAR(Trabajadores!$L:$L), 0) = $G$8))</f>
        <v>0</v>
      </c>
      <c r="C15" s="95" cm="1">
        <f t="array" ref="C15">SUMPRODUCT((Historial_Trabajadores!$E:$E = STATS!$A$1) * ((IFERROR(YEAR(Historial_Trabajadores!$F:$F), 0) &lt; $G$8) + ((IFERROR(YEAR(Historial_Trabajadores!$F:$F), 0) = $G$8) * (IFERROR(MONTH(Historial_Trabajadores!$F:$F), 0) &lt;= 11))) * ((Historial_Trabajadores!$G:$G = "") + (IFERROR(YEAR(Historial_Trabajadores!$G:$G), 0) &gt; $G$8) + ((IFERROR(YEAR(Historial_Trabajadores!$G:$G), 0) = $G$8) * (IFERROR(MONTH(Historial_Trabajadores!$G:$G), 0) &gt; 11))))</f>
        <v>44</v>
      </c>
      <c r="D15" s="95" cm="1">
        <f t="array" ref="D15">SUMPRODUCT((Trabajadores!$G:$G = STATS!$A$1) * (IFERROR(MONTH(Trabajadores!$M:$M), 0) = 11) * (IFERROR(YEAR(Trabajadores!$M:$M), 0) = $G$8))</f>
        <v>0</v>
      </c>
      <c r="E15" s="129">
        <f t="shared" si="0"/>
        <v>0</v>
      </c>
      <c r="F15" s="95" cm="1">
        <f t="array" ref="F15">SUMPRODUCT((Trabajadores!$G:$G = STATS!$A$1) * (Trabajadores!$O:$O = "SI") * (IFERROR(MONTH(Trabajadores!$P:$P), 0) = 11))</f>
        <v>0</v>
      </c>
      <c r="G15" s="1"/>
      <c r="H15" s="102" t="s">
        <v>69</v>
      </c>
      <c r="I15" s="78" cm="1">
        <f t="array" ref="I15">SUMPRODUCT((IFERROR(MONTH(Accidentes!$D$2:$D$4995),0)=2) * (_xlfn.XLOOKUP(Accidentes!$C$2:$C$4995, Trabajadores!$B$2:$B$5009, Trabajadores!$G$2:$G$5009, "")=$A$1))</f>
        <v>0</v>
      </c>
      <c r="J15" s="1"/>
      <c r="K15" s="1" t="str">
        <v>Oficina</v>
      </c>
      <c r="L15" s="1">
        <v>0</v>
      </c>
      <c r="M15" s="1" t="str">
        <v>LIMPIEZA</v>
      </c>
      <c r="N15" s="1">
        <v>0</v>
      </c>
      <c r="W15" s="90" t="s">
        <v>107</v>
      </c>
      <c r="X15" s="91">
        <f t="shared" si="1"/>
        <v>0</v>
      </c>
    </row>
    <row r="16" spans="1:24" ht="25.2" customHeight="1" x14ac:dyDescent="0.3">
      <c r="A16" s="102" t="s">
        <v>108</v>
      </c>
      <c r="B16" s="95" cm="1">
        <f t="array" ref="B16">SUMPRODUCT((Trabajadores!$G:$G = STATS!$A$1) * (IFERROR(MONTH(Trabajadores!$L:$L), 0) = 12) * (IFERROR(YEAR(Trabajadores!$L:$L), 0) = $G$8))</f>
        <v>0</v>
      </c>
      <c r="C16" s="95" cm="1">
        <f t="array" ref="C16">SUMPRODUCT((Historial_Trabajadores!$E:$E = STATS!$A$1) * ((IFERROR(YEAR(Historial_Trabajadores!$F:$F), 0) &lt; $G$8) + ((IFERROR(YEAR(Historial_Trabajadores!$F:$F), 0) = $G$8) * (IFERROR(MONTH(Historial_Trabajadores!$F:$F), 0) &lt;= 12))) * ((Historial_Trabajadores!$G:$G = "") + (IFERROR(YEAR(Historial_Trabajadores!$G:$G), 0) &gt; $G$8) + ((IFERROR(YEAR(Historial_Trabajadores!$G:$G), 0) = $G$8) * (IFERROR(MONTH(Historial_Trabajadores!$G:$G), 0) &gt; 12))))</f>
        <v>44</v>
      </c>
      <c r="D16" s="95" cm="1">
        <f t="array" ref="D16">SUMPRODUCT((Trabajadores!$G:$G = STATS!$A$1) * (IFERROR(MONTH(Trabajadores!$M:$M), 0) = 12) * (IFERROR(YEAR(Trabajadores!$M:$M), 0) = $G$8))</f>
        <v>0</v>
      </c>
      <c r="E16" s="129">
        <f t="shared" si="0"/>
        <v>0</v>
      </c>
      <c r="F16" s="95" cm="1">
        <f t="array" ref="F16">SUMPRODUCT((Trabajadores!$G:$G = STATS!$A$1) * (Trabajadores!$O:$O = "SI") * (IFERROR(MONTH(Trabajadores!$P:$P), 0) = 12))</f>
        <v>0</v>
      </c>
      <c r="G16" s="1"/>
      <c r="H16" s="102" t="s">
        <v>76</v>
      </c>
      <c r="I16" s="78" cm="1">
        <f t="array" ref="I16">SUMPRODUCT((IFERROR(MONTH(Accidentes!$D$2:$D$4995),0)=3) * (_xlfn.XLOOKUP(Accidentes!$C$2:$C$4995, Trabajadores!$B$2:$B$5009, Trabajadores!$G$2:$G$5009, "")=$A$1))</f>
        <v>0</v>
      </c>
      <c r="J16" s="1"/>
      <c r="K16" s="163" t="s">
        <v>109</v>
      </c>
      <c r="L16" s="164"/>
      <c r="M16" s="1" t="str">
        <v>SINDICATO</v>
      </c>
      <c r="N16" s="1">
        <v>0</v>
      </c>
    </row>
    <row r="17" spans="1:14" ht="25.2" customHeight="1" x14ac:dyDescent="0.3">
      <c r="A17" s="102" t="s">
        <v>110</v>
      </c>
      <c r="B17" s="68">
        <f>SUM(B5:B16)</f>
        <v>28</v>
      </c>
      <c r="C17" s="68">
        <f>C16</f>
        <v>44</v>
      </c>
      <c r="D17" s="53">
        <f>SUM(D5:D16)</f>
        <v>27</v>
      </c>
      <c r="E17" s="87">
        <f>SUM(E5:E16)</f>
        <v>0.65188470066518855</v>
      </c>
      <c r="H17" s="102" t="s">
        <v>78</v>
      </c>
      <c r="I17" s="78" cm="1">
        <f t="array" ref="I17">SUMPRODUCT((IFERROR(MONTH(Accidentes!$D$2:$D$4995),0)=4) * (_xlfn.XLOOKUP(Accidentes!$C$2:$C$4995, Trabajadores!$B$2:$B$5009, Trabajadores!$G$2:$G$5009, "")=$A$1))</f>
        <v>0</v>
      </c>
      <c r="K17" t="str" cm="1">
        <f t="array" ref="K17:L26">_xlfn.LET(
_xlpm.m, MATCH($H$8,{"Enero","Febrero","Marzo","Abril","Mayo","Junio","Julio","Agosto","Septiembre","Octubre","Noviembre","Diciembre"},0),
_xlpm.o, $A$1,
_xlpm.id_h, Historial_Trabajadores!$B$2:$B$4865,
_xlpm.act, (Historial_Trabajadores!$E$2:$E$4865=_xlpm.o)*(IFERROR(MONTH(Historial_Trabajadores!$F$2:$F$4865),0)&lt;=_xlpm.m)*((Historial_Trabajadores!$G$2:$G$4865="")+(IFERROR(MONTH(Historial_Trabajadores!$G$2:$G$4865),0)&gt;_xlpm.m)),
_xlpm.list, _xlfn._xlws.FILTER(_xlfn.XLOOKUP(_xlpm.id_h, Trabajadores!$C$2:$C$5009, Trabajadores!$H$2:$H$5009, "Sin Área"), _xlpm.act, "No hay datos"),
_xlpm.u, _xlfn.UNIQUE(_xlpm.list),
_xlfn._xlws.SORT(_xlfn.HSTACK(_xlpm.u, _xlfn.MAP(_xlpm.u, _xlfn.LAMBDA(_xlpm.x, SUM(--(_xlpm.list=_xlpm.x))))), 2, -1)
)</f>
        <v>CARPINTERO</v>
      </c>
      <c r="L17">
        <v>6</v>
      </c>
      <c r="M17" s="1" t="str">
        <v>RIGGER</v>
      </c>
      <c r="N17" s="1">
        <v>0</v>
      </c>
    </row>
    <row r="18" spans="1:14" x14ac:dyDescent="0.3">
      <c r="H18" s="102" t="s">
        <v>87</v>
      </c>
      <c r="I18" s="78" cm="1">
        <f t="array" ref="I18">SUMPRODUCT((IFERROR(MONTH(Accidentes!$D$2:$D$4995),0)=5) * (_xlfn.XLOOKUP(Accidentes!$C$2:$C$4995, Trabajadores!$B$2:$B$5009, Trabajadores!$G$2:$G$5009, "")=$A$1))</f>
        <v>0</v>
      </c>
      <c r="K18" t="str">
        <v>CAPINTERIA</v>
      </c>
      <c r="L18">
        <v>5</v>
      </c>
      <c r="M18" s="1" t="str">
        <v>SSOMA</v>
      </c>
      <c r="N18" s="1">
        <v>0</v>
      </c>
    </row>
    <row r="19" spans="1:14" x14ac:dyDescent="0.3">
      <c r="H19" s="102" t="s">
        <v>90</v>
      </c>
      <c r="I19" s="78" cm="1">
        <f t="array" ref="I19">SUMPRODUCT((IFERROR(MONTH(Accidentes!$D$2:$D$4995),0)=6) * (_xlfn.XLOOKUP(Accidentes!$C$2:$C$4995, Trabajadores!$B$2:$B$5009, Trabajadores!$G$2:$G$5009, "")=$A$1))</f>
        <v>0</v>
      </c>
      <c r="K19" t="str">
        <v>LIMPIEZA</v>
      </c>
      <c r="L19">
        <v>5</v>
      </c>
      <c r="M19" s="1" t="str">
        <v>CAPINTERIA</v>
      </c>
      <c r="N19" s="1">
        <v>0</v>
      </c>
    </row>
    <row r="20" spans="1:14" ht="25.2" customHeight="1" x14ac:dyDescent="0.3">
      <c r="A20" s="51" t="s">
        <v>111</v>
      </c>
      <c r="B20" s="51" t="s">
        <v>88</v>
      </c>
      <c r="C20" s="51" t="s">
        <v>112</v>
      </c>
      <c r="D20" s="51" t="s">
        <v>113</v>
      </c>
      <c r="F20" s="163" t="s">
        <v>114</v>
      </c>
      <c r="G20" s="164"/>
      <c r="H20" s="102" t="s">
        <v>97</v>
      </c>
      <c r="I20" s="78" cm="1">
        <f t="array" ref="I20">SUMPRODUCT((IFERROR(MONTH(Accidentes!$D$2:$D$4995),0)=7) * (_xlfn.XLOOKUP(Accidentes!$C$2:$C$4995, Trabajadores!$B$2:$B$5009, Trabajadores!$G$2:$G$5009, "")=$A$1))</f>
        <v>0</v>
      </c>
      <c r="K20" t="str">
        <v>Sin Área</v>
      </c>
      <c r="L20">
        <v>4</v>
      </c>
      <c r="M20" s="1" t="str">
        <v>ALBAÑIL</v>
      </c>
      <c r="N20" s="1">
        <v>0</v>
      </c>
    </row>
    <row r="21" spans="1:14" ht="25.2" customHeight="1" x14ac:dyDescent="0.3">
      <c r="A21" s="51" t="s">
        <v>115</v>
      </c>
      <c r="B21" cm="1">
        <f t="array" ref="B21">SUMPRODUCT((Trabajadores!$G:$G=A1)*(Trabajadores!$F:$F="M")*(UPPER(TEXT(Trabajadores!$L:$L,"mmmm"))=H8))</f>
        <v>19</v>
      </c>
      <c r="C21" s="41">
        <f>IFERROR(B21/B23, 0)</f>
        <v>0.79166666666666663</v>
      </c>
      <c r="D21" s="65" cm="1">
        <f t="array" aca="1" ref="D21" ca="1">IFERROR(SUMPRODUCT((Trabajadores!$G$2:$G$913=A1)*(Trabajadores!$F$2:$F$913="M")*(UPPER(TEXT(Trabajadores!$L$2:$L$913,"mmmm"))=H8)*Trabajadores!$E$2:$E$913) / SUMPRODUCT((Trabajadores!$G$2:$G$913=A1)*(Trabajadores!$F$2:$F$913="M")*(UPPER(TEXT(Trabajadores!$L$2:$L$913,"mmmm"))=H8)), 0)</f>
        <v>31.315789473684209</v>
      </c>
      <c r="F21" t="str" cm="1">
        <f t="array" ref="F21">_xlfn.LET(
_xlpm.m, MATCH($H$8,{"Enero","Febrero","Marzo","Abril","Mayo","Junio","Julio","Agosto","Septiembre","Octubre","Noviembre","Diciembre"},0),
_xlpm.o, $A$1,
_xlpm.dn, 'Capacitaciones'!$C$2:$C$4825,
_xlpm.tp, 'Capacitaciones'!$D$2:$D$4825,
_xlpm.fil, (IFERROR(MONTH('Capacitaciones'!$E$2:$E$4825),0)=_xlpm.m)*(_xlfn.XLOOKUP(_xlpm.dn, Trabajadores!$B$2:$B$5009, Trabajadores!$G$2:$G$5009,"")=_xlpm.o),
_xlpm.u, _xlfn.UNIQUE(_xlfn._xlws.FILTER(_xlfn.HSTACK(_xlpm.dn,_xlpm.tp),_xlpm.fil,{"",""})),
_xlpm.t, INDEX(_xlpm.u,,2),
_xlpm.ut, _xlfn.UNIQUE(_xlpm.t),
IF(INDEX(_xlpm.ut,1)="", "Sin datos", _xlfn._xlws.SORT(_xlfn.HSTACK(_xlpm.ut, _xlfn.MAP(_xlpm.ut, _xlfn.LAMBDA(_xlpm.x, SUM(--(_xlpm.t=_xlpm.x))))), 2, -1))
)</f>
        <v>Sin datos</v>
      </c>
      <c r="H21" s="102" t="s">
        <v>99</v>
      </c>
      <c r="I21" s="78" cm="1">
        <f t="array" ref="I21">SUMPRODUCT((IFERROR(MONTH(Accidentes!$D$2:$D$4995),0)=8) * (_xlfn.XLOOKUP(Accidentes!$C$2:$C$4995, Trabajadores!$B$2:$B$5009, Trabajadores!$G$2:$G$5009, "")=$A$1))</f>
        <v>0</v>
      </c>
      <c r="K21" t="str">
        <v>II.EE.- II.SS</v>
      </c>
      <c r="L21">
        <v>3</v>
      </c>
      <c r="M21" t="str">
        <v>ACERO</v>
      </c>
      <c r="N21">
        <v>0</v>
      </c>
    </row>
    <row r="22" spans="1:14" ht="25.2" customHeight="1" x14ac:dyDescent="0.3">
      <c r="A22" s="51" t="s">
        <v>116</v>
      </c>
      <c r="B22" cm="1">
        <f t="array" ref="B22">SUMPRODUCT((Trabajadores!$G:$G=A1)*(Trabajadores!$F:$F="F")*(UPPER(TEXT(Trabajadores!$L:$L,"mmmm"))=H8))</f>
        <v>5</v>
      </c>
      <c r="C22" s="41">
        <f>IFERROR(B22/B23, 0)</f>
        <v>0.20833333333333334</v>
      </c>
      <c r="D22" s="66" cm="1">
        <f t="array" aca="1" ref="D22" ca="1">IFERROR(SUMPRODUCT((Trabajadores!$G$2:$G$913=A1)*(Trabajadores!$F$2:$F$913="F")*(UPPER(TEXT(Trabajadores!$L$2:$L$913,"mmmm"))=H8)*Trabajadores!$E$2:$E$913) / SUMPRODUCT((Trabajadores!$G$2:$G$913=A1)*(Trabajadores!$F$2:$F$913="F")*(UPPER(TEXT(Trabajadores!$L$2:$L$913,"mmmm"))=H8)), 0)</f>
        <v>38.6</v>
      </c>
      <c r="H22" s="102" t="s">
        <v>101</v>
      </c>
      <c r="I22" s="78" cm="1">
        <f t="array" ref="I22">SUMPRODUCT((IFERROR(MONTH(Accidentes!$D$2:$D$4995),0)=9) * (_xlfn.XLOOKUP(Accidentes!$C$2:$C$4995, Trabajadores!$B$2:$B$5009, Trabajadores!$G$2:$G$5009, "")=$A$1))</f>
        <v>0</v>
      </c>
      <c r="K22" t="str">
        <v>ACERO</v>
      </c>
      <c r="L22">
        <v>2</v>
      </c>
    </row>
    <row r="23" spans="1:14" ht="25.2" customHeight="1" x14ac:dyDescent="0.3">
      <c r="A23" s="51" t="s">
        <v>110</v>
      </c>
      <c r="B23" s="60">
        <f>SUM(B21:B22)</f>
        <v>24</v>
      </c>
      <c r="C23" s="61">
        <f>SUM(C21:C22)</f>
        <v>1</v>
      </c>
      <c r="D23" s="135">
        <f ca="1">IFERROR((D21 + D22) / 2, 0)</f>
        <v>34.957894736842107</v>
      </c>
      <c r="H23" s="102" t="s">
        <v>104</v>
      </c>
      <c r="I23" s="78" cm="1">
        <f t="array" ref="I23">SUMPRODUCT((IFERROR(MONTH(Accidentes!$D$2:$D$4995),0)=10) * (_xlfn.XLOOKUP(Accidentes!$C$2:$C$4995, Trabajadores!$B$2:$B$5009, Trabajadores!$G$2:$G$5009, "")=$A$1))</f>
        <v>0</v>
      </c>
      <c r="K23" t="str">
        <v>RIGGER</v>
      </c>
      <c r="L23">
        <v>1</v>
      </c>
    </row>
    <row r="24" spans="1:14" ht="25.2" customHeight="1" x14ac:dyDescent="0.3">
      <c r="H24" s="102" t="s">
        <v>106</v>
      </c>
      <c r="I24" s="78" cm="1">
        <f t="array" ref="I24">SUMPRODUCT((IFERROR(MONTH(Accidentes!$D$2:$D$4995),0)=11) * (_xlfn.XLOOKUP(Accidentes!$C$2:$C$4995, Trabajadores!$B$2:$B$5009, Trabajadores!$G$2:$G$5009, "")=$A$1))</f>
        <v>0</v>
      </c>
      <c r="K24" t="str">
        <v>TOPOGRAFO</v>
      </c>
      <c r="L24">
        <v>1</v>
      </c>
    </row>
    <row r="25" spans="1:14" ht="25.2" customHeight="1" x14ac:dyDescent="0.3">
      <c r="H25" s="102" t="s">
        <v>108</v>
      </c>
      <c r="I25" s="79" cm="1">
        <f t="array" ref="I25">SUMPRODUCT((IFERROR(MONTH(Accidentes!$D$2:$D$4995),0)=12) * (_xlfn.XLOOKUP(Accidentes!$C$2:$C$4995, Trabajadores!$B$2:$B$5009, Trabajadores!$G$2:$G$5009, "")=$A$1))</f>
        <v>0</v>
      </c>
      <c r="K25" t="str">
        <v>ALBAÑIL</v>
      </c>
      <c r="L25">
        <v>1</v>
      </c>
    </row>
    <row r="26" spans="1:14" ht="25.2" customHeight="1" x14ac:dyDescent="0.3">
      <c r="A26" s="51" t="s">
        <v>117</v>
      </c>
      <c r="B26" s="51" t="s">
        <v>118</v>
      </c>
      <c r="C26" s="51" t="s">
        <v>119</v>
      </c>
      <c r="D26" s="51" t="s">
        <v>112</v>
      </c>
      <c r="K26" t="str">
        <v>SSOMA</v>
      </c>
      <c r="L26">
        <v>1</v>
      </c>
    </row>
    <row r="27" spans="1:14" ht="25.2" customHeight="1" x14ac:dyDescent="0.3">
      <c r="A27" s="51" t="s">
        <v>120</v>
      </c>
      <c r="B27" cm="1">
        <f t="array" aca="1" ref="B27" ca="1">SUMPRODUCT((Trabajadores!$G$2:$G$913=A1)*(Trabajadores!$F$2:$F$913="M")*(Trabajadores!$E$2:$E$913&lt;20)*(UPPER(TEXT(Trabajadores!$L$2:$L$913,"mmmm"))=H8))</f>
        <v>1</v>
      </c>
      <c r="C27" cm="1">
        <f t="array" aca="1" ref="C27" ca="1">SUMPRODUCT((Trabajadores!$G$2:$G$913=A1)*(Trabajadores!$F$2:$F$913="F")*(Trabajadores!$E$2:$E$913&lt;20)*(UPPER(TEXT(Trabajadores!$L$2:$L$913,"mmmm"))=H8))</f>
        <v>0</v>
      </c>
      <c r="D27" s="62">
        <f ca="1">IFERROR((B27+C27)/(B33+C33), 0)</f>
        <v>4.1666666666666664E-2</v>
      </c>
    </row>
    <row r="28" spans="1:14" ht="25.2" customHeight="1" x14ac:dyDescent="0.3">
      <c r="A28" s="51" t="s">
        <v>121</v>
      </c>
      <c r="B28" cm="1">
        <f t="array" aca="1" ref="B28" ca="1">SUMPRODUCT((Trabajadores!$G$2:$G$913=A1)*(Trabajadores!$F$2:$F$913="M")*(Trabajadores!$E$2:$E$913&gt;=20)*(Trabajadores!$E$2:$E$913&lt;=29)*(UPPER(TEXT(Trabajadores!$L$2:$L$913,"mmmm"))=H8))</f>
        <v>9</v>
      </c>
      <c r="C28" cm="1">
        <f t="array" aca="1" ref="C28" ca="1">SUMPRODUCT((Trabajadores!$G$2:$G$913=A1)*(Trabajadores!$F$2:$F$913="F")*(Trabajadores!$E$2:$E$913&gt;=20)*(Trabajadores!$E$2:$E$913&lt;=29)*(UPPER(TEXT(Trabajadores!$L$2:$L$913,"mmmm"))=H8))</f>
        <v>1</v>
      </c>
      <c r="D28" s="63">
        <f ca="1">IFERROR((B28+C28)/(B33+C33), 0)</f>
        <v>0.41666666666666669</v>
      </c>
    </row>
    <row r="29" spans="1:14" ht="25.2" customHeight="1" x14ac:dyDescent="0.3">
      <c r="A29" s="51" t="s">
        <v>122</v>
      </c>
      <c r="B29" cm="1">
        <f t="array" aca="1" ref="B29" ca="1">SUMPRODUCT((Trabajadores!$G$2:$G$913=A1)*(Trabajadores!$F$2:$F$913="M")*(Trabajadores!$E$2:$E$913&gt;=30)*(Trabajadores!$E$2:$E$913&lt;=39)*(UPPER(TEXT(Trabajadores!$L$2:$L$913,"mmmm"))=H8))</f>
        <v>7</v>
      </c>
      <c r="C29" cm="1">
        <f t="array" aca="1" ref="C29" ca="1">SUMPRODUCT((Trabajadores!$G$2:$G$913=A1)*(Trabajadores!$F$2:$F$913="F")*(Trabajadores!$E$2:$E$913&gt;=30)*(Trabajadores!$E$2:$E$913&lt;=39)*(UPPER(TEXT(Trabajadores!$L$2:$L$913,"mmmm"))=H8))</f>
        <v>2</v>
      </c>
      <c r="D29" s="63">
        <f ca="1">IFERROR((B29+C29)/(B33+C33), 0)</f>
        <v>0.375</v>
      </c>
    </row>
    <row r="30" spans="1:14" ht="25.2" customHeight="1" x14ac:dyDescent="0.3">
      <c r="A30" s="51" t="s">
        <v>123</v>
      </c>
      <c r="B30" cm="1">
        <f t="array" aca="1" ref="B30" ca="1">SUMPRODUCT((Trabajadores!$G$2:$G$913=A1)*(Trabajadores!$F$2:$F$913="M")*(Trabajadores!$E$2:$E$913&gt;=40)*(Trabajadores!$E$2:$E$913&lt;=49)*(UPPER(TEXT(Trabajadores!$L$2:$L$913,"mmmm"))=H8))</f>
        <v>1</v>
      </c>
      <c r="C30" cm="1">
        <f t="array" aca="1" ref="C30" ca="1">SUMPRODUCT((Trabajadores!$G$2:$G$913=A1)*(Trabajadores!$F$2:$F$913="F")*(Trabajadores!$E$2:$E$913&gt;=40)*(Trabajadores!$E$2:$E$913&lt;=49)*(UPPER(TEXT(Trabajadores!$L$2:$L$913,"mmmm"))=H8))</f>
        <v>1</v>
      </c>
      <c r="D30" s="63">
        <f ca="1">IFERROR((B30+C30)/(B33+C33), 0)</f>
        <v>8.3333333333333329E-2</v>
      </c>
    </row>
    <row r="31" spans="1:14" ht="25.2" customHeight="1" x14ac:dyDescent="0.3">
      <c r="A31" s="51" t="s">
        <v>124</v>
      </c>
      <c r="B31" cm="1">
        <f t="array" aca="1" ref="B31" ca="1">SUMPRODUCT((Trabajadores!$G$2:$G$913=A1)*(Trabajadores!$F$2:$F$913="M")*(Trabajadores!$E$2:$E$913&gt;=50)*(Trabajadores!$E$2:$E$913&lt;=59)*(UPPER(TEXT(Trabajadores!$L$2:$L$913,"mmmm"))=H8))</f>
        <v>1</v>
      </c>
      <c r="C31" cm="1">
        <f t="array" aca="1" ref="C31" ca="1">SUMPRODUCT((Trabajadores!$G$2:$G$913=A1)*(Trabajadores!$F$2:$F$913="F")*(Trabajadores!$E$2:$E$913&gt;=50)*(Trabajadores!$E$2:$E$913&lt;=59)*(UPPER(TEXT(Trabajadores!$L$2:$L$913,"mmmm"))=H8))</f>
        <v>1</v>
      </c>
      <c r="D31" s="63">
        <f ca="1">IFERROR((B31+C31)/(B33+C33), 0)</f>
        <v>8.3333333333333329E-2</v>
      </c>
    </row>
    <row r="32" spans="1:14" ht="25.2" customHeight="1" x14ac:dyDescent="0.3">
      <c r="A32" s="51" t="s">
        <v>125</v>
      </c>
      <c r="B32" cm="1">
        <f t="array" aca="1" ref="B32" ca="1">SUMPRODUCT((Trabajadores!$G$2:$G$913=A1)*(Trabajadores!$F$2:$F$913="M")*(Trabajadores!$E$2:$E$913&gt;=60)*(UPPER(TEXT(Trabajadores!$L$2:$L$913,"mmmm"))=H8))</f>
        <v>0</v>
      </c>
      <c r="C32" cm="1">
        <f t="array" aca="1" ref="C32" ca="1">SUMPRODUCT((Trabajadores!$G$2:$G$913=A1)*(Trabajadores!$F$2:$F$913="F")*(Trabajadores!$E$2:$E$913&gt;=60)*(UPPER(TEXT(Trabajadores!$L$2:$L$913,"mmmm"))=H8))</f>
        <v>0</v>
      </c>
      <c r="D32" s="63">
        <f ca="1">IFERROR((B32+C32)/(B33+C33), 0)</f>
        <v>0</v>
      </c>
    </row>
    <row r="33" spans="1:11" x14ac:dyDescent="0.3">
      <c r="A33" s="51" t="s">
        <v>110</v>
      </c>
      <c r="B33" s="60">
        <f ca="1">SUM(B27:B32)</f>
        <v>19</v>
      </c>
      <c r="C33" s="58">
        <f ca="1">SUM(C27:C32)</f>
        <v>5</v>
      </c>
      <c r="D33" s="64">
        <f ca="1">SUM(D27:D32)</f>
        <v>1</v>
      </c>
    </row>
    <row r="37" spans="1:11" ht="19.95" customHeight="1" x14ac:dyDescent="0.3">
      <c r="A37" s="104"/>
      <c r="B37" s="159" t="s">
        <v>118</v>
      </c>
      <c r="C37" s="168"/>
      <c r="D37" s="168"/>
      <c r="E37" s="160"/>
      <c r="F37" s="156" t="s">
        <v>126</v>
      </c>
      <c r="G37" s="159" t="s">
        <v>119</v>
      </c>
      <c r="H37" s="168"/>
      <c r="I37" s="168"/>
      <c r="J37" s="160"/>
      <c r="K37" s="156" t="s">
        <v>127</v>
      </c>
    </row>
    <row r="38" spans="1:11" ht="30" customHeight="1" x14ac:dyDescent="0.3">
      <c r="A38" s="105"/>
      <c r="B38" s="103" t="s">
        <v>128</v>
      </c>
      <c r="C38" s="103" t="s">
        <v>129</v>
      </c>
      <c r="D38" s="103" t="s">
        <v>130</v>
      </c>
      <c r="E38" s="103" t="s">
        <v>131</v>
      </c>
      <c r="F38" s="157"/>
      <c r="G38" s="103" t="s">
        <v>128</v>
      </c>
      <c r="H38" s="103" t="s">
        <v>129</v>
      </c>
      <c r="I38" s="103" t="s">
        <v>130</v>
      </c>
      <c r="J38" s="103" t="s">
        <v>131</v>
      </c>
      <c r="K38" s="157"/>
    </row>
    <row r="39" spans="1:11" ht="19.95" customHeight="1" x14ac:dyDescent="0.3">
      <c r="A39" s="102" t="s">
        <v>110</v>
      </c>
      <c r="B39" s="68" cm="1">
        <f t="array" ref="B39">_xlfn.LET(_xlpm.m, MATCH($H$8,{"Enero","Febrero","Marzo","Abril","Mayo","Junio","Julio","Agosto","Septiembre","Octubre","Noviembre","Diciembre"},0), _xlpm.o, $A$1, SUMPRODUCT((IFERROR(MONTH(Trabajadores!$L$2:$L$5007),0)=_xlpm.m)*(Trabajadores!$L$2:$L$5007&lt;&gt;"")*(Trabajadores!$G$2:$G$5007=_xlpm.o)*(Trabajadores!$F$2:$F$5007="M")*(Trabajadores!$V$2:$V$5007="Apto")))</f>
        <v>7</v>
      </c>
      <c r="C39" s="68" cm="1">
        <f t="array" ref="C39">_xlfn.LET(_xlpm.m, MATCH($H$8,{"Enero","Febrero","Marzo","Abril","Mayo","Junio","Julio","Agosto","Septiembre","Octubre","Noviembre","Diciembre"},0), _xlpm.o, $A$1, SUMPRODUCT((IFERROR(MONTH(Trabajadores!$L$2:$L$5007),0)=_xlpm.m)*(Trabajadores!$L$2:$L$5007&lt;&gt;"")*(Trabajadores!$G$2:$G$5007=_xlpm.o)*(Trabajadores!$F$2:$F$5007="M")*(Trabajadores!$V$2:$V$5007="Apto con Restricción")))</f>
        <v>11</v>
      </c>
      <c r="D39" s="68" cm="1">
        <f t="array" ref="D39">_xlfn.LET(_xlpm.m, MATCH($H$8,{"Enero","Febrero","Marzo","Abril","Mayo","Junio","Julio","Agosto","Septiembre","Octubre","Noviembre","Diciembre"},0), _xlpm.o, $A$1, SUMPRODUCT((IFERROR(MONTH(Trabajadores!$L$2:$L$5007),0)=_xlpm.m)*(Trabajadores!$L$2:$L$5007&lt;&gt;"")*(Trabajadores!$G$2:$G$5007=_xlpm.o)*(Trabajadores!$F$2:$F$5007="M")*(Trabajadores!$V$2:$V$5007="Observado")))</f>
        <v>1</v>
      </c>
      <c r="E39" s="68" cm="1">
        <f t="array" ref="E39">_xlfn.LET(_xlpm.m, MATCH($H$8,{"Enero","Febrero","Marzo","Abril","Mayo","Junio","Julio","Agosto","Septiembre","Octubre","Noviembre","Diciembre"},0), _xlpm.o, $A$1, SUMPRODUCT((IFERROR(MONTH(Trabajadores!$L$2:$L$5007),0)=_xlpm.m)*(Trabajadores!$L$2:$L$5007&lt;&gt;"")*(Trabajadores!$G$2:$G$5007=_xlpm.o)*(Trabajadores!$F$2:$F$5007="M")*(Trabajadores!$V$2:$V$5007="No Apto")))</f>
        <v>0</v>
      </c>
      <c r="F39" s="95">
        <f>SUM(B39:E39)</f>
        <v>19</v>
      </c>
      <c r="G39" s="68" cm="1">
        <f t="array" ref="G39">_xlfn.LET(_xlpm.m, MATCH($H$8,{"Enero","Febrero","Marzo","Abril","Mayo","Junio","Julio","Agosto","Septiembre","Octubre","Noviembre","Diciembre"},0), _xlpm.o, $A$1, SUMPRODUCT((IFERROR(MONTH(Trabajadores!$L$2:$L$5007),0)=_xlpm.m)*(Trabajadores!$L$2:$L$5007&lt;&gt;"")*(Trabajadores!$G$2:$G$5007=_xlpm.o)*(Trabajadores!$F$2:$F$5007="F")*(Trabajadores!$V$2:$V$5007="Apto")))</f>
        <v>3</v>
      </c>
      <c r="H39" s="68" cm="1">
        <f t="array" ref="H39">_xlfn.LET(_xlpm.m, MATCH($H$8,{"Enero","Febrero","Marzo","Abril","Mayo","Junio","Julio","Agosto","Septiembre","Octubre","Noviembre","Diciembre"},0), _xlpm.o, $A$1, SUMPRODUCT((IFERROR(MONTH(Trabajadores!$L$2:$L$5007),0)=_xlpm.m)*(Trabajadores!$L$2:$L$5007&lt;&gt;"")*(Trabajadores!$G$2:$G$5007=_xlpm.o)*(Trabajadores!$F$2:$F$5007="F")*(Trabajadores!$V$2:$V$5007="Apto con Restricción")))</f>
        <v>2</v>
      </c>
      <c r="I39" s="68" cm="1">
        <f t="array" ref="I39">_xlfn.LET(_xlpm.m, MATCH($H$8,{"Enero","Febrero","Marzo","Abril","Mayo","Junio","Julio","Agosto","Septiembre","Octubre","Noviembre","Diciembre"},0), _xlpm.o, $A$1, SUMPRODUCT((IFERROR(MONTH(Trabajadores!$L$2:$L$5007),0)=_xlpm.m)*(Trabajadores!$L$2:$L$5007&lt;&gt;"")*(Trabajadores!$G$2:$G$5007=_xlpm.o)*(Trabajadores!$F$2:$F$5007="F")*(Trabajadores!$V$2:$V$5007="Observado")))</f>
        <v>0</v>
      </c>
      <c r="J39" s="68" cm="1">
        <f t="array" ref="J39">_xlfn.LET(_xlpm.m, MATCH($H$8,{"Enero","Febrero","Marzo","Abril","Mayo","Junio","Julio","Agosto","Septiembre","Octubre","Noviembre","Diciembre"},0), _xlpm.o, $A$1, SUMPRODUCT((IFERROR(MONTH(Trabajadores!$L$2:$L$5007),0)=_xlpm.m)*(Trabajadores!$L$2:$L$5007&lt;&gt;"")*(Trabajadores!$G$2:$G$5007=_xlpm.o)*(Trabajadores!$F$2:$F$5007="F")*(Trabajadores!$V$2:$V$5007="No Apto")))</f>
        <v>0</v>
      </c>
      <c r="K39" s="95">
        <f>SUM(G39:J39)</f>
        <v>5</v>
      </c>
    </row>
    <row r="40" spans="1:11" x14ac:dyDescent="0.3">
      <c r="D40" s="106"/>
    </row>
    <row r="47" spans="1:11" ht="19.95" customHeight="1" x14ac:dyDescent="0.3">
      <c r="A47" s="51"/>
      <c r="B47" s="51" t="s">
        <v>132</v>
      </c>
      <c r="C47" s="107" t="s">
        <v>133</v>
      </c>
      <c r="D47" s="107" t="s">
        <v>110</v>
      </c>
    </row>
    <row r="48" spans="1:11" ht="19.95" customHeight="1" x14ac:dyDescent="0.3">
      <c r="A48" s="51" t="s">
        <v>134</v>
      </c>
      <c r="B48" s="1" cm="1">
        <f t="array" ref="B48">SUMPRODUCT((Trabajadores!$G$2:$G$913=A1)*(Trabajadores!$F$2:$F$913="M")*(Trabajadores!$K$2:$K$913="Oficina")*(UPPER(TEXT(Trabajadores!$L$2:$L$913,"mmmm"))=H8))</f>
        <v>0</v>
      </c>
      <c r="C48" s="1" cm="1">
        <f t="array" ref="C48">SUMPRODUCT((Trabajadores!$G$2:$G$913=A1)*(Trabajadores!$F$2:$F$913="F")*(Trabajadores!$K$2:$K$913="Oficina")*(UPPER(TEXT(Trabajadores!$L$2:$L$913,"mmmm"))=H8))</f>
        <v>0</v>
      </c>
      <c r="D48" s="67">
        <f>SUM(B48:C48)</f>
        <v>0</v>
      </c>
    </row>
    <row r="49" spans="1:6" ht="19.95" customHeight="1" x14ac:dyDescent="0.3">
      <c r="A49" s="51" t="s">
        <v>135</v>
      </c>
      <c r="B49" s="1" cm="1">
        <f t="array" ref="B49">SUMPRODUCT((Trabajadores!$G$2:$G$913=A1)*(Trabajadores!$F$2:$F$913="M")*(Trabajadores!$K$2:$K$913="Técnico")*(UPPER(TEXT(Trabajadores!$L$2:$L$913,"mmmm"))=H8))</f>
        <v>19</v>
      </c>
      <c r="C49" s="1" cm="1">
        <f t="array" ref="C49">SUMPRODUCT((Trabajadores!$G$2:$G$913=A1)*(Trabajadores!$F$2:$F$913="F")*(Trabajadores!$K$2:$K$913="Técnico")*(UPPER(TEXT(Trabajadores!$L$2:$L$913,"mmmm"))=H8))</f>
        <v>5</v>
      </c>
      <c r="D49" s="56">
        <f>SUM(B49:C49)</f>
        <v>24</v>
      </c>
    </row>
    <row r="50" spans="1:6" ht="19.95" customHeight="1" x14ac:dyDescent="0.3">
      <c r="A50" s="108" t="s">
        <v>110</v>
      </c>
      <c r="B50" s="55">
        <f>SUM(B48:B49)</f>
        <v>19</v>
      </c>
      <c r="C50" s="55">
        <f>SUM(C48:C49)</f>
        <v>5</v>
      </c>
      <c r="D50" s="57">
        <f>SUM(D48:D49)</f>
        <v>24</v>
      </c>
    </row>
    <row r="51" spans="1:6" ht="25.2" customHeight="1" x14ac:dyDescent="0.3"/>
    <row r="52" spans="1:6" ht="25.2" customHeight="1" x14ac:dyDescent="0.3"/>
    <row r="53" spans="1:6" ht="25.2" customHeight="1" x14ac:dyDescent="0.3"/>
    <row r="56" spans="1:6" x14ac:dyDescent="0.3">
      <c r="A56" s="51" t="s">
        <v>136</v>
      </c>
      <c r="B56" s="51" t="s">
        <v>137</v>
      </c>
      <c r="C56" s="51" t="s">
        <v>138</v>
      </c>
      <c r="D56" s="51" t="s">
        <v>139</v>
      </c>
      <c r="E56" s="51" t="s">
        <v>140</v>
      </c>
      <c r="F56" s="103" t="s">
        <v>141</v>
      </c>
    </row>
    <row r="57" spans="1:6" x14ac:dyDescent="0.3">
      <c r="A57" s="51" t="s">
        <v>68</v>
      </c>
      <c r="B57" s="1" cm="1">
        <f t="array" ref="B57">SUMPRODUCT((MONTH('Capacitaciones'!$E$2:$E$4825)=1)*('Capacitaciones'!$E$2:$E$4825&lt;&gt;"")*('Capacitaciones'!$D$2:$D$4825="GOLPE DE CALOR")*(_xlfn.XLOOKUP('Capacitaciones'!$C$2:$C$4825, Trabajadores!$B$2:$B$5007, Trabajadores!$G$2:$G$5007, "")=STATS!A1))</f>
        <v>0</v>
      </c>
      <c r="C57" s="1" cm="1">
        <f t="array" ref="C57">SUMPRODUCT((MONTH('Capacitaciones'!$E$2:$E$4825)=1)*('Capacitaciones'!$E$2:$E$4825&lt;&gt;"")*('Capacitaciones'!$D$2:$D$4825="VIGILANCIA")*(_xlfn.XLOOKUP('Capacitaciones'!$C$2:$C$4825, Trabajadores!$B$2:$B$5007, Trabajadores!$G$2:$G$5007, "")=STATS!A1))</f>
        <v>0</v>
      </c>
      <c r="D57" s="1" cm="1">
        <f t="array" ref="D57">SUMPRODUCT((MONTH('Capacitaciones'!$E$2:$E$4825)=1)*('Capacitaciones'!$E$2:$E$4825&lt;&gt;"")*('Capacitaciones'!$D$2:$D$4825="ERGONOMIA")*(_xlfn.XLOOKUP('Capacitaciones'!$C$2:$C$4825, Trabajadores!$B$2:$B$5007, Trabajadores!$G$2:$G$5007, "")=STATS!A1))</f>
        <v>0</v>
      </c>
      <c r="E57" s="1" cm="1">
        <f t="array" ref="E57">SUMPRODUCT((MONTH('Capacitaciones'!$E$2:$E$4825)=1)*('Capacitaciones'!$E$2:$E$4825&lt;&gt;"")*('Capacitaciones'!$D$2:$D$4825="TME")*(_xlfn.XLOOKUP('Capacitaciones'!$C$2:$C$4825, Trabajadores!$B$2:$B$5007, Trabajadores!$G$2:$G$5007, "")=STATS!A1))</f>
        <v>0</v>
      </c>
      <c r="F57" s="74" cm="1">
        <f t="array" ref="F57">SUMPRODUCT((MONTH('Capacitaciones'!$E$2:$E$4825)=1)*('Capacitaciones'!$E$2:$E$4825&lt;&gt;"")*('Capacitaciones'!$D$2:$D$4825="PSICOSOCIAL")*(_xlfn.XLOOKUP('Capacitaciones'!$C$2:$C$4825, Trabajadores!$B$2:$B$5007, Trabajadores!$G$2:$G$5007, "")=STATS!A1))</f>
        <v>0</v>
      </c>
    </row>
    <row r="58" spans="1:6" x14ac:dyDescent="0.3">
      <c r="A58" s="51" t="s">
        <v>69</v>
      </c>
      <c r="B58" s="1" cm="1">
        <f t="array" ref="B58">SUMPRODUCT((MONTH('Capacitaciones'!$E$2:$E$4825)=2)*('Capacitaciones'!$E$2:$E$4825&lt;&gt;"")*('Capacitaciones'!$D$2:$D$4825="GOLPE DE CALOR")*(_xlfn.XLOOKUP('Capacitaciones'!$C$2:$C$4825, Trabajadores!$B$2:$B$5007, Trabajadores!$G$2:$G$5007, "")=STATS!A1))</f>
        <v>0</v>
      </c>
      <c r="C58" s="1" cm="1">
        <f t="array" ref="C58">SUMPRODUCT((MONTH('Capacitaciones'!$E$2:$E$4825)=2)*('Capacitaciones'!$E$2:$E$4825&lt;&gt;"")*('Capacitaciones'!$D$2:$D$4825="VIGILANCIA")*(_xlfn.XLOOKUP('Capacitaciones'!$C$2:$C$4825, Trabajadores!$B$2:$B$5007, Trabajadores!$G$2:$G$5007, "")=STATS!A1))</f>
        <v>0</v>
      </c>
      <c r="D58" s="1" cm="1">
        <f t="array" ref="D58">SUMPRODUCT((MONTH('Capacitaciones'!$E$2:$E$4825)=2)*('Capacitaciones'!$E$2:$E$4825&lt;&gt;"")*('Capacitaciones'!$D$2:$D$4825="ERGONOMIA")*(_xlfn.XLOOKUP('Capacitaciones'!$C$2:$C$4825, Trabajadores!$B$2:$B$5007, Trabajadores!$G$2:$G$5007, "")=STATS!A1))</f>
        <v>0</v>
      </c>
      <c r="E58" s="1" cm="1">
        <f t="array" ref="E58">SUMPRODUCT((MONTH('Capacitaciones'!$E$2:$E$4825)=2)*('Capacitaciones'!$E$2:$E$4825&lt;&gt;"")*('Capacitaciones'!$D$2:$D$4825="TME")*(_xlfn.XLOOKUP('Capacitaciones'!$C$2:$C$4825, Trabajadores!$B$2:$B$5007, Trabajadores!$G$2:$G$5007, "")=STATS!A1))</f>
        <v>0</v>
      </c>
      <c r="F58" s="56" cm="1">
        <f t="array" ref="F58">SUMPRODUCT((MONTH('Capacitaciones'!$E$2:$E$4825)=2)*('Capacitaciones'!$E$2:$E$4825&lt;&gt;"")*('Capacitaciones'!$D$2:$D$4825="PSICOSOCIAL")*(_xlfn.XLOOKUP('Capacitaciones'!$C$2:$C$4825, Trabajadores!$B$2:$B$5007, Trabajadores!$G$2:$G$5007, "")=STATS!A1))</f>
        <v>0</v>
      </c>
    </row>
    <row r="59" spans="1:6" x14ac:dyDescent="0.3">
      <c r="A59" s="51" t="s">
        <v>76</v>
      </c>
      <c r="B59" s="1" cm="1">
        <f t="array" ref="B59">SUMPRODUCT((MONTH('Capacitaciones'!$E$2:$E$4825)=3)*('Capacitaciones'!$E$2:$E$4825&lt;&gt;"")*('Capacitaciones'!$D$2:$D$4825="GOLPE DE CALOR")*(_xlfn.XLOOKUP('Capacitaciones'!$C$2:$C$4825, Trabajadores!$B$2:$B$5007, Trabajadores!$G$2:$G$5007, "")=STATS!A1))</f>
        <v>0</v>
      </c>
      <c r="C59" s="1" cm="1">
        <f t="array" ref="C59">SUMPRODUCT((MONTH('Capacitaciones'!$E$2:$E$4825)=3)*('Capacitaciones'!$E$2:$E$4825&lt;&gt;"")*('Capacitaciones'!$D$2:$D$4825="VIGILANCIA")*(_xlfn.XLOOKUP('Capacitaciones'!$C$2:$C$4825, Trabajadores!$B$2:$B$5007, Trabajadores!$G$2:$G$5007, "")=STATS!A1))</f>
        <v>0</v>
      </c>
      <c r="D59" s="1" cm="1">
        <f t="array" ref="D59">SUMPRODUCT((MONTH('Capacitaciones'!$E$2:$E$4825)=3)*('Capacitaciones'!$E$2:$E$4825&lt;&gt;"")*('Capacitaciones'!$D$2:$D$4825="ERGONOMIA")*(_xlfn.XLOOKUP('Capacitaciones'!$C$2:$C$4825, Trabajadores!$B$2:$B$5007, Trabajadores!$G$2:$G$5007, "")=STATS!A1))</f>
        <v>0</v>
      </c>
      <c r="E59" s="1" cm="1">
        <f t="array" ref="E59">SUMPRODUCT((MONTH('Capacitaciones'!$E$2:$E$4825)=3)*('Capacitaciones'!$E$2:$E$4825&lt;&gt;"")*('Capacitaciones'!$D$2:$D$4825="TME")*(_xlfn.XLOOKUP('Capacitaciones'!$C$2:$C$4825, Trabajadores!$B$2:$B$5007, Trabajadores!$G$2:$G$5007, "")=STATS!A1))</f>
        <v>0</v>
      </c>
      <c r="F59" s="56" cm="1">
        <f t="array" ref="F59">SUMPRODUCT((MONTH('Capacitaciones'!$E$2:$E$4825)=3)*('Capacitaciones'!$E$2:$E$4825&lt;&gt;"")*('Capacitaciones'!$D$2:$D$4825="PSICOSOCIAL")*(_xlfn.XLOOKUP('Capacitaciones'!$C$2:$C$4825, Trabajadores!$B$2:$B$5007, Trabajadores!$G$2:$G$5007, "")=STATS!A1))</f>
        <v>0</v>
      </c>
    </row>
    <row r="60" spans="1:6" x14ac:dyDescent="0.3">
      <c r="A60" s="51" t="s">
        <v>78</v>
      </c>
      <c r="B60" s="1" cm="1">
        <f t="array" ref="B60">SUMPRODUCT((MONTH('Capacitaciones'!$E$2:$E$4825)=4)*('Capacitaciones'!$E$2:$E$4825&lt;&gt;"")*('Capacitaciones'!$D$2:$D$4825="GOLPE DE CALOR")*(_xlfn.XLOOKUP('Capacitaciones'!$C$2:$C$4825, Trabajadores!$B$2:$B$5007, Trabajadores!$G$2:$G$5007, "")=STATS!A1))</f>
        <v>0</v>
      </c>
      <c r="C60" s="1" cm="1">
        <f t="array" ref="C60">SUMPRODUCT((MONTH('Capacitaciones'!$E$2:$E$4825)=4)*('Capacitaciones'!$E$2:$E$4825&lt;&gt;"")*('Capacitaciones'!$D$2:$D$4825="VIGILANCIA")*(_xlfn.XLOOKUP('Capacitaciones'!$C$2:$C$4825, Trabajadores!$B$2:$B$5007, Trabajadores!$G$2:$G$5007, "")=STATS!A1))</f>
        <v>0</v>
      </c>
      <c r="D60" s="1" cm="1">
        <f t="array" ref="D60">SUMPRODUCT((MONTH('Capacitaciones'!$E$2:$E$4825)=4)*('Capacitaciones'!$E$2:$E$4825&lt;&gt;"")*('Capacitaciones'!$D$2:$D$4825="ERGONOMIA")*(_xlfn.XLOOKUP('Capacitaciones'!$C$2:$C$4825, Trabajadores!$B$2:$B$5007, Trabajadores!$G$2:$G$5007, "")=STATS!A1))</f>
        <v>0</v>
      </c>
      <c r="E60" s="1" cm="1">
        <f t="array" ref="E60">SUMPRODUCT((MONTH('Capacitaciones'!$E$2:$E$4825)=4)*('Capacitaciones'!$E$2:$E$4825&lt;&gt;"")*('Capacitaciones'!$D$2:$D$4825="TME")*(_xlfn.XLOOKUP('Capacitaciones'!$C$2:$C$4825, Trabajadores!$B$2:$B$5007, Trabajadores!$G$2:$G$5007, "")=STATS!A1))</f>
        <v>0</v>
      </c>
      <c r="F60" s="56" cm="1">
        <f t="array" ref="F60">SUMPRODUCT((MONTH('Capacitaciones'!$E$2:$E$4825)=4)*('Capacitaciones'!$E$2:$E$4825&lt;&gt;"")*('Capacitaciones'!$D$2:$D$4825="PSICOSOCIAL")*(_xlfn.XLOOKUP('Capacitaciones'!$C$2:$C$4825, Trabajadores!$B$2:$B$5007, Trabajadores!$G$2:$G$5007, "")=STATS!A1))</f>
        <v>0</v>
      </c>
    </row>
    <row r="61" spans="1:6" x14ac:dyDescent="0.3">
      <c r="A61" s="51" t="s">
        <v>87</v>
      </c>
      <c r="B61" s="1" cm="1">
        <f t="array" ref="B61">SUMPRODUCT((MONTH('Capacitaciones'!$E$2:$E$4825)=5)*('Capacitaciones'!$E$2:$E$4825&lt;&gt;"")*('Capacitaciones'!$D$2:$D$4825="GOLPE DE CALOR")*(_xlfn.XLOOKUP('Capacitaciones'!$C$2:$C$4825, Trabajadores!$B$2:$B$5007, Trabajadores!$G$2:$G$5007, "")=STATS!A1))</f>
        <v>0</v>
      </c>
      <c r="C61" s="1" cm="1">
        <f t="array" ref="C61">SUMPRODUCT((MONTH('Capacitaciones'!$E$2:$E$4825)=5)*('Capacitaciones'!$E$2:$E$4825&lt;&gt;"")*('Capacitaciones'!$D$2:$D$4825="VIGILANCIA")*(_xlfn.XLOOKUP('Capacitaciones'!$C$2:$C$4825, Trabajadores!$B$2:$B$5007, Trabajadores!$G$2:$G$5007, "")=STATS!A1))</f>
        <v>0</v>
      </c>
      <c r="D61" s="1" cm="1">
        <f t="array" ref="D61">SUMPRODUCT((MONTH('Capacitaciones'!$E$2:$E$4825)=5)*('Capacitaciones'!$E$2:$E$4825&lt;&gt;"")*('Capacitaciones'!$D$2:$D$4825="ERGONOMIA")*(_xlfn.XLOOKUP('Capacitaciones'!$C$2:$C$4825, Trabajadores!$B$2:$B$5007, Trabajadores!$G$2:$G$5007, "")=STATS!A1))</f>
        <v>0</v>
      </c>
      <c r="E61" s="1" cm="1">
        <f t="array" ref="E61">SUMPRODUCT((MONTH('Capacitaciones'!$E$2:$E$4825)=5)*('Capacitaciones'!$E$2:$E$4825&lt;&gt;"")*('Capacitaciones'!$D$2:$D$4825="TME")*(_xlfn.XLOOKUP('Capacitaciones'!$C$2:$C$4825, Trabajadores!$B$2:$B$5007, Trabajadores!$G$2:$G$5007, "")=STATS!A1))</f>
        <v>0</v>
      </c>
      <c r="F61" s="56" cm="1">
        <f t="array" ref="F61">SUMPRODUCT((MONTH('Capacitaciones'!$E$2:$E$4825)=5)*('Capacitaciones'!$E$2:$E$4825&lt;&gt;"")*('Capacitaciones'!$D$2:$D$4825="PSICOSOCIAL")*(_xlfn.XLOOKUP('Capacitaciones'!$C$2:$C$4825, Trabajadores!$B$2:$B$5007, Trabajadores!$G$2:$G$5007, "")=STATS!A1))</f>
        <v>0</v>
      </c>
    </row>
    <row r="62" spans="1:6" x14ac:dyDescent="0.3">
      <c r="A62" s="51" t="s">
        <v>90</v>
      </c>
      <c r="B62" s="1" cm="1">
        <f t="array" ref="B62">SUMPRODUCT((MONTH('Capacitaciones'!$E$2:$E$4825)=6)*('Capacitaciones'!$E$2:$E$4825&lt;&gt;"")*('Capacitaciones'!$D$2:$D$4825="GOLPE DE CALOR")*(_xlfn.XLOOKUP('Capacitaciones'!$C$2:$C$4825, Trabajadores!$B$2:$B$5007, Trabajadores!$G$2:$G$5007, "")=STATS!A1))</f>
        <v>0</v>
      </c>
      <c r="C62" s="1" cm="1">
        <f t="array" ref="C62">SUMPRODUCT((MONTH('Capacitaciones'!$E$2:$E$4825)=6)*('Capacitaciones'!$E$2:$E$4825&lt;&gt;"")*('Capacitaciones'!$D$2:$D$4825="VIGILANCIA")*(_xlfn.XLOOKUP('Capacitaciones'!$C$2:$C$4825, Trabajadores!$B$2:$B$5007, Trabajadores!$G$2:$G$5007, "")=STATS!A1))</f>
        <v>0</v>
      </c>
      <c r="D62" s="1" cm="1">
        <f t="array" ref="D62">SUMPRODUCT((MONTH('Capacitaciones'!$E$2:$E$4825)=6)*('Capacitaciones'!$E$2:$E$4825&lt;&gt;"")*('Capacitaciones'!$D$2:$D$4825="ERGONOMIA")*(_xlfn.XLOOKUP('Capacitaciones'!$C$2:$C$4825, Trabajadores!$B$2:$B$5007, Trabajadores!$G$2:$G$5007, "")=STATS!A1))</f>
        <v>0</v>
      </c>
      <c r="E62" s="1" cm="1">
        <f t="array" ref="E62">SUMPRODUCT((MONTH('Capacitaciones'!$E$2:$E$4825)=6)*('Capacitaciones'!$E$2:$E$4825&lt;&gt;"")*('Capacitaciones'!$D$2:$D$4825="TME")*(_xlfn.XLOOKUP('Capacitaciones'!$C$2:$C$4825, Trabajadores!$B$2:$B$5007, Trabajadores!$G$2:$G$5007, "")=STATS!A1))</f>
        <v>0</v>
      </c>
      <c r="F62" s="56" cm="1">
        <f t="array" ref="F62">SUMPRODUCT((MONTH('Capacitaciones'!$E$2:$E$4825)=6)*('Capacitaciones'!$E$2:$E$4825&lt;&gt;"")*('Capacitaciones'!$D$2:$D$4825="PSICOSOCIAL")*(_xlfn.XLOOKUP('Capacitaciones'!$C$2:$C$4825, Trabajadores!$B$2:$B$5007, Trabajadores!$G$2:$G$5007, "")=STATS!A1))</f>
        <v>0</v>
      </c>
    </row>
    <row r="63" spans="1:6" x14ac:dyDescent="0.3">
      <c r="A63" s="51" t="s">
        <v>97</v>
      </c>
      <c r="B63" s="1" cm="1">
        <f t="array" ref="B63">SUMPRODUCT((MONTH('Capacitaciones'!$E$2:$E$4825)=7)*('Capacitaciones'!$E$2:$E$4825&lt;&gt;"")*('Capacitaciones'!$D$2:$D$4825="GOLPE DE CALOR")*(_xlfn.XLOOKUP('Capacitaciones'!$C$2:$C$4825, Trabajadores!$B$2:$B$5007, Trabajadores!$G$2:$G$5007, "")=STATS!A1))</f>
        <v>0</v>
      </c>
      <c r="C63" s="1" cm="1">
        <f t="array" ref="C63">SUMPRODUCT((MONTH('Capacitaciones'!$E$2:$E$4825)=7)*('Capacitaciones'!$E$2:$E$4825&lt;&gt;"")*('Capacitaciones'!$D$2:$D$4825="VIGILANCIA")*(_xlfn.XLOOKUP('Capacitaciones'!$C$2:$C$4825, Trabajadores!$B$2:$B$5007, Trabajadores!$G$2:$G$5007, "")=STATS!A1))</f>
        <v>0</v>
      </c>
      <c r="D63" s="1" cm="1">
        <f t="array" ref="D63">SUMPRODUCT((MONTH('Capacitaciones'!$E$2:$E$4825)=7)*('Capacitaciones'!$E$2:$E$4825&lt;&gt;"")*('Capacitaciones'!$D$2:$D$4825="ERGONOMIA")*(_xlfn.XLOOKUP('Capacitaciones'!$C$2:$C$4825, Trabajadores!$B$2:$B$5007, Trabajadores!$G$2:$G$5007, "")=STATS!A1))</f>
        <v>0</v>
      </c>
      <c r="E63" s="1" cm="1">
        <f t="array" ref="E63">SUMPRODUCT((MONTH('Capacitaciones'!$E$2:$E$4825)=7)*('Capacitaciones'!$E$2:$E$4825&lt;&gt;"")*('Capacitaciones'!$D$2:$D$4825="TME")*(_xlfn.XLOOKUP('Capacitaciones'!$C$2:$C$4825, Trabajadores!$B$2:$B$5007, Trabajadores!$G$2:$G$5007, "")=STATS!A1))</f>
        <v>0</v>
      </c>
      <c r="F63" s="56" cm="1">
        <f t="array" ref="F63">SUMPRODUCT((MONTH('Capacitaciones'!$E$2:$E$4825)=7)*('Capacitaciones'!$E$2:$E$4825&lt;&gt;"")*('Capacitaciones'!$D$2:$D$4825="PSICOSOCIAL")*(_xlfn.XLOOKUP('Capacitaciones'!$C$2:$C$4825, Trabajadores!$B$2:$B$5007, Trabajadores!$G$2:$G$5007, "")=STATS!A1))</f>
        <v>0</v>
      </c>
    </row>
    <row r="64" spans="1:6" x14ac:dyDescent="0.3">
      <c r="A64" s="51" t="s">
        <v>99</v>
      </c>
      <c r="B64" s="1" cm="1">
        <f t="array" ref="B64">SUMPRODUCT((MONTH('Capacitaciones'!$E$2:$E$4825)=8)*('Capacitaciones'!$E$2:$E$4825&lt;&gt;"")*('Capacitaciones'!$D$2:$D$4825="GOLPE DE CALOR")*(_xlfn.XLOOKUP('Capacitaciones'!$C$2:$C$4825, Trabajadores!$B$2:$B$5007, Trabajadores!$G$2:$G$5007, "")=STATS!A1))</f>
        <v>0</v>
      </c>
      <c r="C64" s="1" cm="1">
        <f t="array" ref="C64">SUMPRODUCT((MONTH('Capacitaciones'!$E$2:$E$4825)=8)*('Capacitaciones'!$E$2:$E$4825&lt;&gt;"")*('Capacitaciones'!$D$2:$D$4825="VIGILANCIA")*(_xlfn.XLOOKUP('Capacitaciones'!$C$2:$C$4825, Trabajadores!$B$2:$B$5007, Trabajadores!$G$2:$G$5007, "")=STATS!A1))</f>
        <v>0</v>
      </c>
      <c r="D64" s="1" cm="1">
        <f t="array" ref="D64">SUMPRODUCT((MONTH('Capacitaciones'!$E$2:$E$4825)=8)*('Capacitaciones'!$E$2:$E$4825&lt;&gt;"")*('Capacitaciones'!$D$2:$D$4825="ERGONOMIA")*(_xlfn.XLOOKUP('Capacitaciones'!$C$2:$C$4825, Trabajadores!$B$2:$B$5007, Trabajadores!$G$2:$G$5007, "")=STATS!A1))</f>
        <v>0</v>
      </c>
      <c r="E64" s="1" cm="1">
        <f t="array" ref="E64">SUMPRODUCT((MONTH('Capacitaciones'!$E$2:$E$4825)=8)*('Capacitaciones'!$E$2:$E$4825&lt;&gt;"")*('Capacitaciones'!$D$2:$D$4825="TME")*(_xlfn.XLOOKUP('Capacitaciones'!$C$2:$C$4825, Trabajadores!$B$2:$B$5007, Trabajadores!$G$2:$G$5007, "")=STATS!A1))</f>
        <v>0</v>
      </c>
      <c r="F64" s="56" cm="1">
        <f t="array" ref="F64">SUMPRODUCT((MONTH('Capacitaciones'!$E$2:$E$4825)=8)*('Capacitaciones'!$E$2:$E$4825&lt;&gt;"")*('Capacitaciones'!$D$2:$D$4825="PSICOSOCIAL")*(_xlfn.XLOOKUP('Capacitaciones'!$C$2:$C$4825, Trabajadores!$B$2:$B$5007, Trabajadores!$G$2:$G$5007, "")=STATS!A1))</f>
        <v>0</v>
      </c>
    </row>
    <row r="65" spans="1:6" x14ac:dyDescent="0.3">
      <c r="A65" s="51" t="s">
        <v>101</v>
      </c>
      <c r="B65" s="1" cm="1">
        <f t="array" ref="B65">SUMPRODUCT((MONTH('Capacitaciones'!$E$2:$E$4825)=9)*('Capacitaciones'!$E$2:$E$4825&lt;&gt;"")*('Capacitaciones'!$D$2:$D$4825="GOLPE DE CALOR")*(_xlfn.XLOOKUP('Capacitaciones'!$C$2:$C$4825, Trabajadores!$B$2:$B$5007, Trabajadores!$G$2:$G$5007, "")=STATS!A1))</f>
        <v>0</v>
      </c>
      <c r="C65" s="1" cm="1">
        <f t="array" ref="C65">SUMPRODUCT((MONTH('Capacitaciones'!$E$2:$E$4825)=9)*('Capacitaciones'!$E$2:$E$4825&lt;&gt;"")*('Capacitaciones'!$D$2:$D$4825="VIGILANCIA")*(_xlfn.XLOOKUP('Capacitaciones'!$C$2:$C$4825, Trabajadores!$B$2:$B$5007, Trabajadores!$G$2:$G$5007, "")=STATS!A1))</f>
        <v>0</v>
      </c>
      <c r="D65" s="1" cm="1">
        <f t="array" ref="D65">SUMPRODUCT((MONTH('Capacitaciones'!$E$2:$E$4825)=9)*('Capacitaciones'!$E$2:$E$4825&lt;&gt;"")*('Capacitaciones'!$D$2:$D$4825="ERGONOMIA")*(_xlfn.XLOOKUP('Capacitaciones'!$C$2:$C$4825, Trabajadores!$B$2:$B$5007, Trabajadores!$G$2:$G$5007, "")=STATS!A1))</f>
        <v>0</v>
      </c>
      <c r="E65" s="1" cm="1">
        <f t="array" ref="E65">SUMPRODUCT((MONTH('Capacitaciones'!$E$2:$E$4825)=9)*('Capacitaciones'!$E$2:$E$4825&lt;&gt;"")*('Capacitaciones'!$D$2:$D$4825="TME")*(_xlfn.XLOOKUP('Capacitaciones'!$C$2:$C$4825, Trabajadores!$B$2:$B$5007, Trabajadores!$G$2:$G$5007, "")=STATS!A1))</f>
        <v>0</v>
      </c>
      <c r="F65" s="56" cm="1">
        <f t="array" ref="F65">SUMPRODUCT((MONTH('Capacitaciones'!$E$2:$E$4825)=9)*('Capacitaciones'!$E$2:$E$4825&lt;&gt;"")*('Capacitaciones'!$D$2:$D$4825="PSICOSOCIAL")*(_xlfn.XLOOKUP('Capacitaciones'!$C$2:$C$4825, Trabajadores!$B$2:$B$5007, Trabajadores!$G$2:$G$5007, "")=STATS!A1))</f>
        <v>0</v>
      </c>
    </row>
    <row r="66" spans="1:6" x14ac:dyDescent="0.3">
      <c r="A66" s="51" t="s">
        <v>104</v>
      </c>
      <c r="B66" s="1" cm="1">
        <f t="array" ref="B66">SUMPRODUCT((MONTH('Capacitaciones'!$E$2:$E$4825)=10)*('Capacitaciones'!$E$2:$E$4825&lt;&gt;"")*('Capacitaciones'!$D$2:$D$4825="GOLPE DE CALOR")*(_xlfn.XLOOKUP('Capacitaciones'!$C$2:$C$4825, Trabajadores!$B$2:$B$5007, Trabajadores!$G$2:$G$5007, "")=STATS!A1))</f>
        <v>0</v>
      </c>
      <c r="C66" s="1" cm="1">
        <f t="array" ref="C66">SUMPRODUCT((MONTH('Capacitaciones'!$E$2:$E$4825)=10)*('Capacitaciones'!$E$2:$E$4825&lt;&gt;"")*('Capacitaciones'!$D$2:$D$4825="VIGILANCIA")*(_xlfn.XLOOKUP('Capacitaciones'!$C$2:$C$4825, Trabajadores!$B$2:$B$5007, Trabajadores!$G$2:$G$5007, "")=STATS!A1))</f>
        <v>0</v>
      </c>
      <c r="D66" s="1" cm="1">
        <f t="array" ref="D66">SUMPRODUCT((MONTH('Capacitaciones'!$E$2:$E$4825)=10)*('Capacitaciones'!$E$2:$E$4825&lt;&gt;"")*('Capacitaciones'!$D$2:$D$4825="ERGONOMIA")*(_xlfn.XLOOKUP('Capacitaciones'!$C$2:$C$4825, Trabajadores!$B$2:$B$5007, Trabajadores!$G$2:$G$5007, "")=STATS!A1))</f>
        <v>0</v>
      </c>
      <c r="E66" s="1" cm="1">
        <f t="array" ref="E66">SUMPRODUCT((MONTH('Capacitaciones'!$E$2:$E$4825)=10)*('Capacitaciones'!$E$2:$E$4825&lt;&gt;"")*('Capacitaciones'!$D$2:$D$4825="TME")*(_xlfn.XLOOKUP('Capacitaciones'!$C$2:$C$4825, Trabajadores!$B$2:$B$5007, Trabajadores!$G$2:$G$5007, "")=STATS!A1))</f>
        <v>0</v>
      </c>
      <c r="F66" s="56" cm="1">
        <f t="array" ref="F66">SUMPRODUCT((MONTH('Capacitaciones'!$E$2:$E$4825)=10)*('Capacitaciones'!$E$2:$E$4825&lt;&gt;"")*('Capacitaciones'!$D$2:$D$4825="PSICOSOCIAL")*(_xlfn.XLOOKUP('Capacitaciones'!$C$2:$C$4825, Trabajadores!$B$2:$B$5007, Trabajadores!$G$2:$G$5007, "")=STATS!A1))</f>
        <v>0</v>
      </c>
    </row>
    <row r="67" spans="1:6" x14ac:dyDescent="0.3">
      <c r="A67" s="51" t="s">
        <v>106</v>
      </c>
      <c r="B67" s="1" cm="1">
        <f t="array" ref="B67">SUMPRODUCT((MONTH('Capacitaciones'!$E$2:$E$4825)=11)*('Capacitaciones'!$E$2:$E$4825&lt;&gt;"")*('Capacitaciones'!$D$2:$D$4825="GOLPE DE CALOR")*(_xlfn.XLOOKUP('Capacitaciones'!$C$2:$C$4825, Trabajadores!$B$2:$B$5007, Trabajadores!$G$2:$G$5007, "")=STATS!A1))</f>
        <v>0</v>
      </c>
      <c r="C67" s="1" cm="1">
        <f t="array" ref="C67">SUMPRODUCT((MONTH('Capacitaciones'!$E$2:$E$4825)=11)*('Capacitaciones'!$E$2:$E$4825&lt;&gt;"")*('Capacitaciones'!$D$2:$D$4825="VIGILANCIA")*(_xlfn.XLOOKUP('Capacitaciones'!$C$2:$C$4825, Trabajadores!$B$2:$B$5007, Trabajadores!$G$2:$G$5007, "")=STATS!A1))</f>
        <v>0</v>
      </c>
      <c r="D67" s="1" cm="1">
        <f t="array" ref="D67">SUMPRODUCT((MONTH('Capacitaciones'!$E$2:$E$4825)=11)*('Capacitaciones'!$E$2:$E$4825&lt;&gt;"")*('Capacitaciones'!$D$2:$D$4825="ERGONOMIA")*(_xlfn.XLOOKUP('Capacitaciones'!$C$2:$C$4825, Trabajadores!$B$2:$B$5007, Trabajadores!$G$2:$G$5007, "")=STATS!A1))</f>
        <v>0</v>
      </c>
      <c r="E67" s="1" cm="1">
        <f t="array" ref="E67">SUMPRODUCT((MONTH('Capacitaciones'!$E$2:$E$4825)=11)*('Capacitaciones'!$E$2:$E$4825&lt;&gt;"")*('Capacitaciones'!$D$2:$D$4825="TME")*(_xlfn.XLOOKUP('Capacitaciones'!$C$2:$C$4825, Trabajadores!$B$2:$B$5007, Trabajadores!$G$2:$G$5007, "")=STATS!A1))</f>
        <v>0</v>
      </c>
      <c r="F67" s="56" cm="1">
        <f t="array" ref="F67">SUMPRODUCT((MONTH('Capacitaciones'!$E$2:$E$4825)=11)*('Capacitaciones'!$E$2:$E$4825&lt;&gt;"")*('Capacitaciones'!$D$2:$D$4825="PSICOSOCIAL")*(_xlfn.XLOOKUP('Capacitaciones'!$C$2:$C$4825, Trabajadores!$B$2:$B$5007, Trabajadores!$G$2:$G$5007, "")=STATS!A1))</f>
        <v>0</v>
      </c>
    </row>
    <row r="68" spans="1:6" x14ac:dyDescent="0.3">
      <c r="A68" s="51" t="s">
        <v>108</v>
      </c>
      <c r="B68" s="1" cm="1">
        <f t="array" ref="B68">SUMPRODUCT((MONTH('Capacitaciones'!$E$2:$E$4825)=12)*('Capacitaciones'!$E$2:$E$4825&lt;&gt;"")*('Capacitaciones'!$D$2:$D$4825="GOLPE DE CALOR")*(_xlfn.XLOOKUP('Capacitaciones'!$C$2:$C$4825, Trabajadores!$B$2:$B$5007, Trabajadores!$G$2:$G$5007, "")=STATS!A1))</f>
        <v>0</v>
      </c>
      <c r="C68" s="1" cm="1">
        <f t="array" ref="C68">SUMPRODUCT((MONTH('Capacitaciones'!$E$2:$E$4825)=12)*('Capacitaciones'!$E$2:$E$4825&lt;&gt;"")*('Capacitaciones'!$D$2:$D$4825="VIGILANCIA")*(_xlfn.XLOOKUP('Capacitaciones'!$C$2:$C$4825, Trabajadores!$B$2:$B$5007, Trabajadores!$G$2:$G$5007, "")=STATS!A1))</f>
        <v>0</v>
      </c>
      <c r="D68" s="1" cm="1">
        <f t="array" ref="D68">SUMPRODUCT((MONTH('Capacitaciones'!$E$2:$E$4825)=12)*('Capacitaciones'!$E$2:$E$4825&lt;&gt;"")*('Capacitaciones'!$D$2:$D$4825="ERGONOMIA")*(_xlfn.XLOOKUP('Capacitaciones'!$C$2:$C$4825, Trabajadores!$B$2:$B$5007, Trabajadores!$G$2:$G$5007, "")=STATS!A1))</f>
        <v>0</v>
      </c>
      <c r="E68" s="1" cm="1">
        <f t="array" ref="E68">SUMPRODUCT((MONTH('Capacitaciones'!$E$2:$E$4825)=12)*('Capacitaciones'!$E$2:$E$4825&lt;&gt;"")*('Capacitaciones'!$D$2:$D$4825="TME")*(_xlfn.XLOOKUP('Capacitaciones'!$C$2:$C$4825, Trabajadores!$B$2:$B$5007, Trabajadores!$G$2:$G$5007, "")=STATS!A1))</f>
        <v>0</v>
      </c>
      <c r="F68" s="56" cm="1">
        <f t="array" ref="F68">SUMPRODUCT((MONTH('Capacitaciones'!$E$2:$E$4825)=12)*('Capacitaciones'!$E$2:$E$4825&lt;&gt;"")*('Capacitaciones'!$D$2:$D$4825="PSICOSOCIAL")*(_xlfn.XLOOKUP('Capacitaciones'!$C$2:$C$4825, Trabajadores!$B$2:$B$5007, Trabajadores!$G$2:$G$5007, "")=STATS!A1))</f>
        <v>0</v>
      </c>
    </row>
    <row r="69" spans="1:6" x14ac:dyDescent="0.3">
      <c r="A69" s="102" t="s">
        <v>110</v>
      </c>
      <c r="B69" s="68">
        <f>SUM(B57:B68)</f>
        <v>0</v>
      </c>
      <c r="C69" s="53">
        <f>SUM(C57:C68)</f>
        <v>0</v>
      </c>
      <c r="D69" s="53">
        <f>SUM(D57:D68)</f>
        <v>0</v>
      </c>
      <c r="E69" s="53">
        <f>SUM(E57:E68)</f>
        <v>0</v>
      </c>
      <c r="F69" s="59">
        <f>SUM(F57:F68)</f>
        <v>0</v>
      </c>
    </row>
    <row r="70" spans="1:6" x14ac:dyDescent="0.3">
      <c r="C70" s="109"/>
    </row>
    <row r="71" spans="1:6" ht="19.95" customHeight="1" x14ac:dyDescent="0.3">
      <c r="A71" s="161" t="s">
        <v>142</v>
      </c>
      <c r="B71" s="162"/>
      <c r="C71" s="69">
        <f>C72*1</f>
        <v>0</v>
      </c>
    </row>
    <row r="72" spans="1:6" ht="19.95" customHeight="1" x14ac:dyDescent="0.3">
      <c r="A72" s="161" t="s">
        <v>143</v>
      </c>
      <c r="B72" s="162"/>
      <c r="C72" s="70" cm="1">
        <f t="array" ref="C72">IFERROR(ROWS(_xlfn.UNIQUE(_xlfn._xlws.FILTER('Capacitaciones'!$C$2:$C$4825, (_xlfn.XLOOKUP('Capacitaciones'!$C$2:$C$4825, Trabajadores!$B$2:$B$5007, Trabajadores!$G$2:$G$5007, "")=A1) * ('Capacitaciones'!$C$2:$C$4825&lt;&gt;"")))), 0)</f>
        <v>0</v>
      </c>
    </row>
    <row r="73" spans="1:6" ht="19.95" customHeight="1" x14ac:dyDescent="0.3">
      <c r="A73" s="161" t="s">
        <v>144</v>
      </c>
      <c r="B73" s="162"/>
      <c r="C73" s="71">
        <f>IFERROR(C71 / C72, 0)</f>
        <v>0</v>
      </c>
    </row>
    <row r="74" spans="1:6" ht="19.95" customHeight="1" x14ac:dyDescent="0.3">
      <c r="C74" s="109"/>
    </row>
    <row r="75" spans="1:6" ht="19.95" customHeight="1" x14ac:dyDescent="0.3">
      <c r="A75" s="110" t="s">
        <v>145</v>
      </c>
      <c r="B75" s="69" cm="1">
        <f t="array" ref="B75">SUMPRODUCT((Trabajadores!$G$2:$G$5007=STATS!A1) * (COUNTIF('Capacitaciones'!$C$2:$C$4825, Trabajadores!$B$2:$B$5007)=0))</f>
        <v>40</v>
      </c>
    </row>
    <row r="76" spans="1:6" ht="19.95" customHeight="1" x14ac:dyDescent="0.3">
      <c r="A76" s="110" t="s">
        <v>146</v>
      </c>
      <c r="B76" s="70" cm="1">
        <f t="array" ref="B76">SUMPRODUCT((Trabajadores!$G$2:$G$5007=STATS!A1) * (COUNTIF('Capacitaciones'!$C$2:$C$4825, Trabajadores!$B$2:$B$5007)=1))</f>
        <v>0</v>
      </c>
    </row>
    <row r="77" spans="1:6" ht="19.95" customHeight="1" x14ac:dyDescent="0.3">
      <c r="A77" s="110" t="s">
        <v>147</v>
      </c>
      <c r="B77" s="70" cm="1">
        <f t="array" ref="B77">SUMPRODUCT((Trabajadores!$G$2:$G$5007=STATS!A1) * (COUNTIF('Capacitaciones'!$C$2:$C$4825, Trabajadores!$B$2:$B$5007)=2))</f>
        <v>0</v>
      </c>
    </row>
    <row r="78" spans="1:6" ht="19.95" customHeight="1" x14ac:dyDescent="0.3">
      <c r="A78" s="110" t="s">
        <v>148</v>
      </c>
      <c r="B78" s="70" cm="1">
        <f t="array" ref="B78">SUMPRODUCT((Trabajadores!$G$2:$G$5007=STATS!A1) * (COUNTIF('Capacitaciones'!$C$2:$C$4825, Trabajadores!$B$2:$B$5007)=3))</f>
        <v>0</v>
      </c>
    </row>
    <row r="79" spans="1:6" ht="19.95" customHeight="1" x14ac:dyDescent="0.3">
      <c r="A79" s="110" t="s">
        <v>149</v>
      </c>
      <c r="B79" s="70" cm="1">
        <f t="array" ref="B79">SUMPRODUCT((Trabajadores!$G$2:$G$5007=STATS!A1) * (COUNTIF('Capacitaciones'!$C$2:$C$4825, Trabajadores!$B$2:$B$5007)=4))</f>
        <v>0</v>
      </c>
    </row>
    <row r="80" spans="1:6" ht="19.95" customHeight="1" x14ac:dyDescent="0.3">
      <c r="A80" s="110" t="s">
        <v>150</v>
      </c>
      <c r="B80" s="70" cm="1">
        <f t="array" ref="B80">SUMPRODUCT((Trabajadores!$G$2:$G$5007=STATS!A1) * (COUNTIF('Capacitaciones'!$C$2:$C$4825, Trabajadores!$B$2:$B$5007)=5))</f>
        <v>0</v>
      </c>
    </row>
    <row r="81" spans="1:6" ht="19.95" customHeight="1" x14ac:dyDescent="0.3">
      <c r="A81" s="110" t="s">
        <v>151</v>
      </c>
      <c r="B81" s="72">
        <f>SUM(B75:B80)</f>
        <v>40</v>
      </c>
    </row>
    <row r="84" spans="1:6" ht="30" customHeight="1" x14ac:dyDescent="0.3">
      <c r="A84" s="156" t="s">
        <v>152</v>
      </c>
      <c r="B84" s="159" t="s">
        <v>153</v>
      </c>
      <c r="C84" s="160"/>
      <c r="D84" s="159" t="s">
        <v>154</v>
      </c>
      <c r="E84" s="160"/>
      <c r="F84" s="156" t="s">
        <v>110</v>
      </c>
    </row>
    <row r="85" spans="1:6" ht="30" customHeight="1" x14ac:dyDescent="0.3">
      <c r="A85" s="158"/>
      <c r="B85" s="51" t="s">
        <v>155</v>
      </c>
      <c r="C85" s="51" t="s">
        <v>156</v>
      </c>
      <c r="D85" s="51" t="s">
        <v>155</v>
      </c>
      <c r="E85" s="51" t="s">
        <v>156</v>
      </c>
      <c r="F85" s="157"/>
    </row>
    <row r="86" spans="1:6" ht="30" customHeight="1" x14ac:dyDescent="0.3">
      <c r="A86" s="51" t="s">
        <v>88</v>
      </c>
      <c r="B86" s="73">
        <f ca="1">COUNTIFS(Trabajadores!$G:$G,STATS!A1, Trabajadores!$F:$F, "F", Trabajadores!$E:$E, "&gt;=15", Trabajadores!$E:$E, "&lt;=45", Trabajadores!$Y:$Y, "&lt;&gt;Gestante", Trabajadores!$K:$K, "Técnico")</f>
        <v>5</v>
      </c>
      <c r="C86" s="52">
        <f ca="1">COUNTIFS(Trabajadores!$G:$G,STATS!A1, Trabajadores!$F:$F, "F", Trabajadores!$E:$E, "&gt;=15", Trabajadores!$E:$E, "&lt;=45", Trabajadores!$Y:$Y, "&lt;&gt;Gestante", Trabajadores!$K:$K, "Oficina")</f>
        <v>0</v>
      </c>
      <c r="D86" s="52">
        <f ca="1">COUNTIFS(Trabajadores!$G:$G,STATS!A1, Trabajadores!$F:$F, "F", Trabajadores!$E:$E, "&gt;=15", Trabajadores!$E:$E, "&lt;=45", Trabajadores!$Y:$Y, "Gestante", Trabajadores!$K:$K, "Técnico")</f>
        <v>0</v>
      </c>
      <c r="E86" s="52">
        <f ca="1">COUNTIFS(Trabajadores!$G:$G,STATS!A1, Trabajadores!$F:$F, "F", Trabajadores!$E:$E, "&gt;=15", Trabajadores!$E:$E, "&lt;=45", Trabajadores!$Y:$Y, "Gestante", Trabajadores!$K:$K, "Oficina")</f>
        <v>0</v>
      </c>
      <c r="F86" s="76">
        <f ca="1">SUM(B86:E86)</f>
        <v>5</v>
      </c>
    </row>
    <row r="328" spans="2:4" x14ac:dyDescent="0.3">
      <c r="B328" s="85" t="s">
        <v>157</v>
      </c>
      <c r="C328" s="85" t="s">
        <v>157</v>
      </c>
      <c r="D328" s="85" t="s">
        <v>157</v>
      </c>
    </row>
    <row r="329" spans="2:4" x14ac:dyDescent="0.3">
      <c r="B329" s="86" t="s">
        <v>68</v>
      </c>
      <c r="C329" s="86" t="s">
        <v>288</v>
      </c>
      <c r="D329" s="86">
        <v>2026</v>
      </c>
    </row>
    <row r="330" spans="2:4" x14ac:dyDescent="0.3">
      <c r="B330" s="86" t="s">
        <v>158</v>
      </c>
      <c r="C330" s="86" t="s">
        <v>158</v>
      </c>
      <c r="D330" s="86" t="s">
        <v>158</v>
      </c>
    </row>
  </sheetData>
  <mergeCells count="18">
    <mergeCell ref="O8:P8"/>
    <mergeCell ref="Q8:R8"/>
    <mergeCell ref="A1:K1"/>
    <mergeCell ref="B37:E37"/>
    <mergeCell ref="K37:K38"/>
    <mergeCell ref="G37:J37"/>
    <mergeCell ref="F37:F38"/>
    <mergeCell ref="M10:N10"/>
    <mergeCell ref="K13:L13"/>
    <mergeCell ref="K16:L16"/>
    <mergeCell ref="F20:G20"/>
    <mergeCell ref="F84:F85"/>
    <mergeCell ref="A84:A85"/>
    <mergeCell ref="B84:C84"/>
    <mergeCell ref="D84:E84"/>
    <mergeCell ref="A71:B71"/>
    <mergeCell ref="A72:B72"/>
    <mergeCell ref="A73:B73"/>
  </mergeCells>
  <phoneticPr fontId="8" type="noConversion"/>
  <pageMargins left="0.7" right="0.7" top="0.75" bottom="0.75" header="0.3" footer="0.3"/>
  <ignoredErrors>
    <ignoredError sqref="F39 C17" formula="1"/>
  </ignoredErrors>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87766-A823-49ED-AEAD-5ACEDB1BA975}">
  <sheetPr codeName="Hoja6">
    <tabColor rgb="FF00B0F0"/>
  </sheetPr>
  <dimension ref="A1:AL79"/>
  <sheetViews>
    <sheetView showGridLines="0" topLeftCell="L15" zoomScale="55" zoomScaleNormal="55" workbookViewId="0">
      <selection activeCell="AP46" sqref="AP46"/>
    </sheetView>
  </sheetViews>
  <sheetFormatPr baseColWidth="10" defaultColWidth="11.44140625" defaultRowHeight="14.4" x14ac:dyDescent="0.3"/>
  <cols>
    <col min="1" max="29" width="15.6640625" customWidth="1"/>
    <col min="30" max="30" width="30.6640625" customWidth="1"/>
  </cols>
  <sheetData>
    <row r="1" spans="1:38"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row>
    <row r="2" spans="1:38" x14ac:dyDescent="0.3">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row>
    <row r="3" spans="1:38" x14ac:dyDescent="0.3">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row>
    <row r="4" spans="1:38" x14ac:dyDescent="0.3">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row>
    <row r="5" spans="1:38" x14ac:dyDescent="0.3">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row>
    <row r="6" spans="1:38" x14ac:dyDescent="0.3">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row>
    <row r="7" spans="1:38" x14ac:dyDescent="0.3">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row>
    <row r="8" spans="1:38" x14ac:dyDescent="0.3">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row>
    <row r="9" spans="1:38" x14ac:dyDescent="0.3">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row>
    <row r="10" spans="1:38"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row>
    <row r="11" spans="1:38"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row>
    <row r="12" spans="1:38"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row>
    <row r="13" spans="1:38"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row>
    <row r="14" spans="1:38"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row>
    <row r="15" spans="1:38"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row>
    <row r="16" spans="1:38"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row>
    <row r="17" spans="1:38"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row>
    <row r="18" spans="1:38"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row>
    <row r="19" spans="1:38"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row>
    <row r="20" spans="1:38"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row>
    <row r="21" spans="1:38"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row>
    <row r="22" spans="1:38"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row>
    <row r="23" spans="1:38"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row>
    <row r="24" spans="1:38"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row>
    <row r="25" spans="1:38"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row>
    <row r="26" spans="1:38"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row>
    <row r="27" spans="1:38"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row>
    <row r="28" spans="1:38"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row>
    <row r="29" spans="1:38"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row>
    <row r="30" spans="1:38"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row>
    <row r="31" spans="1:38"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row>
    <row r="32" spans="1:38"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row>
    <row r="33" spans="1:38"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row>
    <row r="34" spans="1:38"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row>
    <row r="35" spans="1:38"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row>
    <row r="36" spans="1:38"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row>
    <row r="37" spans="1:38"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row>
    <row r="38" spans="1:38"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row>
    <row r="39" spans="1:38"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row>
    <row r="40" spans="1:38"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row>
    <row r="41" spans="1:38"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row>
    <row r="42" spans="1:38"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row>
    <row r="43" spans="1:38"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row>
    <row r="44" spans="1:38"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row>
    <row r="45" spans="1:38"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row>
    <row r="46" spans="1:38"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row>
    <row r="47" spans="1:38"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row>
    <row r="48" spans="1:38"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row>
    <row r="49" spans="1:38"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row>
    <row r="50" spans="1:38"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row>
    <row r="51" spans="1:38"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row>
    <row r="52" spans="1:38"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row>
    <row r="53" spans="1:38"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row>
    <row r="54" spans="1:38"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row>
    <row r="55" spans="1:38"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row>
    <row r="56" spans="1:38"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row>
    <row r="57" spans="1:38"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row>
    <row r="58" spans="1:38"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row>
    <row r="59" spans="1:38"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row>
    <row r="60" spans="1:38"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row>
    <row r="61" spans="1:38"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row>
    <row r="62" spans="1:38"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row>
    <row r="63" spans="1:38"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row>
    <row r="64" spans="1:38"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row>
    <row r="65" spans="1:38"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row>
    <row r="66" spans="1:38"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row>
    <row r="67" spans="1:38"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row>
    <row r="68" spans="1:38"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row>
    <row r="69" spans="1:38"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row>
    <row r="70" spans="1:38"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row>
    <row r="71" spans="1:38"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row>
    <row r="72" spans="1:38"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row>
    <row r="73" spans="1:38"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row>
    <row r="74" spans="1:38"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row>
    <row r="75" spans="1:38"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row>
    <row r="76" spans="1:38"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row>
    <row r="77" spans="1:38"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row>
    <row r="78" spans="1:38"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row>
    <row r="79" spans="1:38"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33211-5223-4CAC-84B2-A32B37D80FDF}">
  <sheetPr codeName="Hoja14">
    <tabColor rgb="FF00B0F0"/>
  </sheetPr>
  <dimension ref="A1:AR105"/>
  <sheetViews>
    <sheetView showGridLines="0" topLeftCell="N74" zoomScale="77" zoomScaleNormal="40" workbookViewId="0">
      <selection activeCell="AK93" sqref="AK93"/>
    </sheetView>
  </sheetViews>
  <sheetFormatPr baseColWidth="10" defaultColWidth="11.44140625" defaultRowHeight="14.4" x14ac:dyDescent="0.3"/>
  <cols>
    <col min="1" max="29" width="15.6640625" customWidth="1"/>
    <col min="30" max="30" width="30.6640625" customWidth="1"/>
  </cols>
  <sheetData>
    <row r="1" spans="1:44" x14ac:dyDescent="0.3">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row>
    <row r="2" spans="1:44" x14ac:dyDescent="0.3">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row>
    <row r="3" spans="1:44" x14ac:dyDescent="0.3">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row>
    <row r="4" spans="1:44" x14ac:dyDescent="0.3">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row>
    <row r="5" spans="1:44" x14ac:dyDescent="0.3">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row>
    <row r="6" spans="1:44" x14ac:dyDescent="0.3">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row>
    <row r="7" spans="1:44" x14ac:dyDescent="0.3">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row>
    <row r="8" spans="1:44" x14ac:dyDescent="0.3">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row>
    <row r="9" spans="1:44" x14ac:dyDescent="0.3">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row>
    <row r="10" spans="1:44" x14ac:dyDescent="0.3">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row>
    <row r="11" spans="1:44" x14ac:dyDescent="0.3">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row>
    <row r="12" spans="1:44" x14ac:dyDescent="0.3">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row>
    <row r="13" spans="1:44" x14ac:dyDescent="0.3">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row>
    <row r="14" spans="1:44" x14ac:dyDescent="0.3">
      <c r="A14" s="84"/>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row>
    <row r="15" spans="1:44" x14ac:dyDescent="0.3">
      <c r="A15" s="84"/>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row>
    <row r="16" spans="1:44" x14ac:dyDescent="0.3">
      <c r="A16" s="84"/>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row>
    <row r="17" spans="1:44" x14ac:dyDescent="0.3">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row>
    <row r="18" spans="1:44" x14ac:dyDescent="0.3">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row>
    <row r="19" spans="1:44" x14ac:dyDescent="0.3">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row>
    <row r="20" spans="1:44" x14ac:dyDescent="0.3">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row>
    <row r="21" spans="1:44" x14ac:dyDescent="0.3">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row>
    <row r="22" spans="1:44" x14ac:dyDescent="0.3">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row>
    <row r="23" spans="1:44" x14ac:dyDescent="0.3">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row>
    <row r="24" spans="1:44" x14ac:dyDescent="0.3">
      <c r="A24" s="84"/>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row>
    <row r="25" spans="1:44" x14ac:dyDescent="0.3">
      <c r="A25" s="84"/>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row>
    <row r="26" spans="1:44" x14ac:dyDescent="0.3">
      <c r="A26" s="84"/>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row>
    <row r="27" spans="1:44" x14ac:dyDescent="0.3">
      <c r="A27" s="84"/>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row>
    <row r="28" spans="1:44" x14ac:dyDescent="0.3">
      <c r="A28" s="84"/>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row>
    <row r="29" spans="1:44" x14ac:dyDescent="0.3">
      <c r="A29" s="84"/>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row>
    <row r="30" spans="1:44" x14ac:dyDescent="0.3">
      <c r="A30" s="84"/>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row>
    <row r="31" spans="1:44" x14ac:dyDescent="0.3">
      <c r="A31" s="84"/>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row>
    <row r="32" spans="1:44" x14ac:dyDescent="0.3">
      <c r="A32" s="84"/>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row>
    <row r="33" spans="1:44" x14ac:dyDescent="0.3">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row>
    <row r="34" spans="1:44" x14ac:dyDescent="0.3">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row>
    <row r="35" spans="1:44" x14ac:dyDescent="0.3">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row>
    <row r="36" spans="1:44" x14ac:dyDescent="0.3">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row>
    <row r="37" spans="1:44" x14ac:dyDescent="0.3">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row>
    <row r="38" spans="1:44" x14ac:dyDescent="0.3">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row>
    <row r="39" spans="1:44" x14ac:dyDescent="0.3">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row>
    <row r="40" spans="1:44" x14ac:dyDescent="0.3">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row>
    <row r="41" spans="1:44" x14ac:dyDescent="0.3">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row>
    <row r="42" spans="1:44" x14ac:dyDescent="0.3">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row>
    <row r="43" spans="1:44" x14ac:dyDescent="0.3">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row>
    <row r="44" spans="1:44" x14ac:dyDescent="0.3">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row>
    <row r="45" spans="1:44" x14ac:dyDescent="0.3">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row>
    <row r="46" spans="1:44" x14ac:dyDescent="0.3">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row>
    <row r="47" spans="1:44" x14ac:dyDescent="0.3">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row>
    <row r="48" spans="1:44" x14ac:dyDescent="0.3">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row>
    <row r="49" spans="1:44" x14ac:dyDescent="0.3">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row>
    <row r="50" spans="1:44" x14ac:dyDescent="0.3">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row>
    <row r="51" spans="1:44" x14ac:dyDescent="0.3">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row>
    <row r="52" spans="1:44" x14ac:dyDescent="0.3">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row>
    <row r="53" spans="1:44" x14ac:dyDescent="0.3">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row>
    <row r="54" spans="1:44" x14ac:dyDescent="0.3">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c r="AN54" s="84"/>
      <c r="AO54" s="84"/>
      <c r="AP54" s="84"/>
      <c r="AQ54" s="84"/>
      <c r="AR54" s="84"/>
    </row>
    <row r="55" spans="1:44" x14ac:dyDescent="0.3">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row>
    <row r="56" spans="1:44" x14ac:dyDescent="0.3">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row>
    <row r="57" spans="1:44" x14ac:dyDescent="0.3">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row>
    <row r="58" spans="1:44" x14ac:dyDescent="0.3">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row>
    <row r="59" spans="1:44" x14ac:dyDescent="0.3">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row>
    <row r="60" spans="1:44" x14ac:dyDescent="0.3">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row>
    <row r="61" spans="1:44" x14ac:dyDescent="0.3">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row>
    <row r="62" spans="1:44" x14ac:dyDescent="0.3">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row>
    <row r="63" spans="1:44" x14ac:dyDescent="0.3">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row>
    <row r="64" spans="1:44" x14ac:dyDescent="0.3">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row>
    <row r="65" spans="1:44" x14ac:dyDescent="0.3">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row>
    <row r="66" spans="1:44" x14ac:dyDescent="0.3">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row>
    <row r="67" spans="1:44" x14ac:dyDescent="0.3">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row>
    <row r="68" spans="1:44" x14ac:dyDescent="0.3">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row>
    <row r="69" spans="1:44" x14ac:dyDescent="0.3">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row>
    <row r="70" spans="1:44" x14ac:dyDescent="0.3">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row>
    <row r="71" spans="1:44" x14ac:dyDescent="0.3">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row>
    <row r="72" spans="1:44" x14ac:dyDescent="0.3">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row>
    <row r="73" spans="1:44" x14ac:dyDescent="0.3">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row>
    <row r="74" spans="1:44" x14ac:dyDescent="0.3">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row>
    <row r="75" spans="1:44" x14ac:dyDescent="0.3">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row>
    <row r="76" spans="1:44" x14ac:dyDescent="0.3">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row>
    <row r="77" spans="1:44" x14ac:dyDescent="0.3">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row>
    <row r="78" spans="1:44" x14ac:dyDescent="0.3">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row>
    <row r="79" spans="1:44" x14ac:dyDescent="0.3">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row>
    <row r="80" spans="1:44" x14ac:dyDescent="0.3">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row>
    <row r="81" spans="1:44" x14ac:dyDescent="0.3">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row>
    <row r="82" spans="1:44" x14ac:dyDescent="0.3">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row>
    <row r="83" spans="1:44" x14ac:dyDescent="0.3">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row>
    <row r="84" spans="1:44" x14ac:dyDescent="0.3">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row>
    <row r="85" spans="1:44" x14ac:dyDescent="0.3">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row>
    <row r="86" spans="1:44" x14ac:dyDescent="0.3">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row>
    <row r="87" spans="1:44" x14ac:dyDescent="0.3">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row>
    <row r="88" spans="1:44" x14ac:dyDescent="0.3">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row>
    <row r="89" spans="1:44" x14ac:dyDescent="0.3">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row>
    <row r="90" spans="1:44" x14ac:dyDescent="0.3">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row>
    <row r="91" spans="1:44" x14ac:dyDescent="0.3">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row>
    <row r="92" spans="1:44" x14ac:dyDescent="0.3">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row>
    <row r="93" spans="1:44" x14ac:dyDescent="0.3">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row>
    <row r="94" spans="1:44" x14ac:dyDescent="0.3">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row>
    <row r="95" spans="1:44" x14ac:dyDescent="0.3">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row>
    <row r="96" spans="1:44" x14ac:dyDescent="0.3">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row>
    <row r="97" spans="1:44" x14ac:dyDescent="0.3">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row>
    <row r="98" spans="1:44" x14ac:dyDescent="0.3">
      <c r="A98" s="84"/>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row>
    <row r="99" spans="1:44" x14ac:dyDescent="0.3">
      <c r="A99" s="84"/>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row>
    <row r="100" spans="1:44" x14ac:dyDescent="0.3">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row>
    <row r="101" spans="1:44" x14ac:dyDescent="0.3">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row>
    <row r="102" spans="1:44" x14ac:dyDescent="0.3">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row>
    <row r="103" spans="1:44" x14ac:dyDescent="0.3">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row>
    <row r="104" spans="1:44" x14ac:dyDescent="0.3">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row>
    <row r="105" spans="1:44" x14ac:dyDescent="0.3">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0">
    <tabColor rgb="FFFFC000"/>
  </sheetPr>
  <dimension ref="A1:L2"/>
  <sheetViews>
    <sheetView workbookViewId="0">
      <selection activeCell="H12" sqref="H12"/>
    </sheetView>
  </sheetViews>
  <sheetFormatPr baseColWidth="10" defaultColWidth="11.44140625" defaultRowHeight="14.4" x14ac:dyDescent="0.3"/>
  <cols>
    <col min="1" max="1" width="15.5546875" style="15" bestFit="1" customWidth="1"/>
    <col min="2" max="2" width="13.33203125" style="15" bestFit="1" customWidth="1"/>
    <col min="3" max="3" width="25.6640625" style="18" customWidth="1"/>
    <col min="4" max="4" width="15.6640625" style="18" customWidth="1"/>
    <col min="5" max="5" width="22.6640625" style="15" customWidth="1"/>
    <col min="6" max="6" width="17.6640625" style="28" customWidth="1"/>
    <col min="7" max="7" width="12.6640625" style="18" customWidth="1"/>
    <col min="8" max="9" width="25.6640625" style="18" customWidth="1"/>
    <col min="10" max="10" width="19" style="15" bestFit="1" customWidth="1"/>
    <col min="11" max="11" width="14" style="18" bestFit="1" customWidth="1"/>
    <col min="12" max="12" width="11.5546875" style="15" customWidth="1"/>
  </cols>
  <sheetData>
    <row r="1" spans="1:12" x14ac:dyDescent="0.3">
      <c r="A1" s="16" t="s">
        <v>159</v>
      </c>
      <c r="B1" s="16" t="s">
        <v>35</v>
      </c>
      <c r="C1" s="16" t="s">
        <v>2</v>
      </c>
      <c r="D1" s="16" t="s">
        <v>1</v>
      </c>
      <c r="E1" s="16" t="s">
        <v>160</v>
      </c>
      <c r="F1" s="16" t="s">
        <v>36</v>
      </c>
      <c r="G1" s="16" t="s">
        <v>51</v>
      </c>
      <c r="H1" s="16" t="s">
        <v>53</v>
      </c>
      <c r="I1" s="16" t="s">
        <v>161</v>
      </c>
      <c r="J1" s="16" t="s">
        <v>26</v>
      </c>
      <c r="K1" s="16" t="s">
        <v>162</v>
      </c>
      <c r="L1" s="19" t="s">
        <v>163</v>
      </c>
    </row>
    <row r="2" spans="1:12" ht="28.95" customHeight="1" x14ac:dyDescent="0.3">
      <c r="A2" s="13" t="str">
        <f>IF(B2&lt;&gt;"", "SEG-" &amp; TEXT(8000 + ROW(A2) - 1, "0000"), "")</f>
        <v/>
      </c>
      <c r="B2" s="13"/>
      <c r="C2" s="17"/>
      <c r="D2" s="17"/>
      <c r="E2" s="13"/>
      <c r="F2" s="20"/>
      <c r="G2" s="17"/>
      <c r="H2" s="17"/>
      <c r="I2" s="17"/>
      <c r="J2" s="13"/>
      <c r="K2" s="17"/>
      <c r="L2" s="14"/>
    </row>
  </sheetData>
  <dataValidations count="1">
    <dataValidation type="list" allowBlank="1" showInputMessage="1" showErrorMessage="1" sqref="G2" xr:uid="{00000000-0002-0000-0300-000000000000}">
      <formula1>"SI,NO"</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tabColor rgb="FFFFC000"/>
  </sheetPr>
  <dimension ref="A1:J2"/>
  <sheetViews>
    <sheetView zoomScale="90" zoomScaleNormal="90" workbookViewId="0">
      <pane ySplit="1" topLeftCell="A2" activePane="bottomLeft" state="frozen"/>
      <selection activeCell="E2" sqref="E2"/>
      <selection pane="bottomLeft" activeCell="G11" sqref="G11"/>
    </sheetView>
  </sheetViews>
  <sheetFormatPr baseColWidth="10" defaultColWidth="8.88671875" defaultRowHeight="14.4" x14ac:dyDescent="0.3"/>
  <cols>
    <col min="1" max="1" width="19" style="2" bestFit="1" customWidth="1"/>
    <col min="2" max="2" width="25.6640625" style="2" customWidth="1"/>
    <col min="3" max="3" width="15.6640625" style="2" customWidth="1"/>
    <col min="4" max="4" width="20.6640625" style="3" customWidth="1"/>
    <col min="5" max="5" width="17.6640625" style="3" customWidth="1"/>
    <col min="6" max="6" width="22.6640625" style="3" hidden="1" customWidth="1"/>
    <col min="7" max="7" width="17.109375" style="21" bestFit="1" customWidth="1"/>
    <col min="8" max="8" width="11.109375" style="21" bestFit="1" customWidth="1"/>
    <col min="9" max="9" width="15.6640625" customWidth="1"/>
    <col min="10" max="10" width="10.6640625" customWidth="1"/>
  </cols>
  <sheetData>
    <row r="1" spans="1:10" ht="30" customHeight="1" x14ac:dyDescent="0.3">
      <c r="A1" s="8" t="s">
        <v>164</v>
      </c>
      <c r="B1" s="8" t="s">
        <v>2</v>
      </c>
      <c r="C1" s="8" t="s">
        <v>1</v>
      </c>
      <c r="D1" s="10" t="s">
        <v>165</v>
      </c>
      <c r="E1" s="33" t="s">
        <v>36</v>
      </c>
      <c r="F1" s="45" t="s">
        <v>166</v>
      </c>
      <c r="G1" s="44" t="s">
        <v>167</v>
      </c>
      <c r="H1" s="10" t="s">
        <v>168</v>
      </c>
      <c r="I1" s="50" t="s">
        <v>169</v>
      </c>
      <c r="J1" s="50" t="s">
        <v>170</v>
      </c>
    </row>
    <row r="2" spans="1:10" x14ac:dyDescent="0.3">
      <c r="A2" s="11" t="str">
        <f>IF(B2&lt;&gt;"", "PRG-" &amp; TEXT(2000 + ROW(A2) - 1, "0000"), "")</f>
        <v/>
      </c>
      <c r="B2" s="7"/>
      <c r="C2" s="11"/>
      <c r="D2" s="7"/>
      <c r="E2" s="96"/>
      <c r="F2" s="46"/>
      <c r="G2" s="47"/>
      <c r="H2" s="7"/>
      <c r="I2" s="7"/>
      <c r="J2" s="7"/>
    </row>
  </sheetData>
  <dataValidations count="2">
    <dataValidation type="list" allowBlank="1" showInputMessage="1" showErrorMessage="1" sqref="D2" xr:uid="{00000000-0002-0000-0700-000000000000}">
      <formula1>"Vigilancia,Seguimiento"</formula1>
    </dataValidation>
    <dataValidation type="list" allowBlank="1" showInputMessage="1" showErrorMessage="1" sqref="H2" xr:uid="{00000000-0002-0000-0700-000001000000}">
      <formula1>"Realizado, Cancelado, Postergado, Pendiente"</formula1>
    </dataValidation>
  </dataValidations>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32365-94FF-4B01-AFB4-172E8D0F542B}">
  <sheetPr codeName="Hoja3">
    <tabColor rgb="FF92D050"/>
  </sheetPr>
  <dimension ref="A1:G46"/>
  <sheetViews>
    <sheetView workbookViewId="0">
      <selection activeCell="F32" sqref="F32"/>
    </sheetView>
  </sheetViews>
  <sheetFormatPr baseColWidth="10" defaultColWidth="11.44140625" defaultRowHeight="14.4" x14ac:dyDescent="0.3"/>
  <cols>
    <col min="1" max="1" width="15.6640625" customWidth="1"/>
    <col min="2" max="2" width="30.6640625" customWidth="1"/>
    <col min="3" max="5" width="15.6640625" customWidth="1"/>
    <col min="6" max="7" width="15.6640625" style="82" customWidth="1"/>
  </cols>
  <sheetData>
    <row r="1" spans="1:7" ht="19.95" customHeight="1" x14ac:dyDescent="0.3">
      <c r="A1" s="80" t="s">
        <v>1</v>
      </c>
      <c r="B1" s="80" t="s">
        <v>2</v>
      </c>
      <c r="C1" s="81" t="s">
        <v>4</v>
      </c>
      <c r="D1" s="80" t="s">
        <v>5</v>
      </c>
      <c r="E1" s="80" t="s">
        <v>6</v>
      </c>
      <c r="F1" s="83" t="s">
        <v>11</v>
      </c>
      <c r="G1" s="83" t="s">
        <v>171</v>
      </c>
    </row>
    <row r="2" spans="1:7" x14ac:dyDescent="0.3">
      <c r="A2">
        <v>42727114</v>
      </c>
      <c r="B2" t="s">
        <v>255</v>
      </c>
      <c r="C2">
        <v>44</v>
      </c>
      <c r="D2" t="s">
        <v>32</v>
      </c>
      <c r="E2" t="s">
        <v>288</v>
      </c>
      <c r="F2" s="82">
        <v>46023</v>
      </c>
      <c r="G2" s="82">
        <v>46081</v>
      </c>
    </row>
    <row r="3" spans="1:7" x14ac:dyDescent="0.3">
      <c r="A3">
        <v>75282121</v>
      </c>
      <c r="B3" t="s">
        <v>256</v>
      </c>
      <c r="C3">
        <v>29</v>
      </c>
      <c r="D3" t="s">
        <v>32</v>
      </c>
      <c r="E3" t="s">
        <v>288</v>
      </c>
      <c r="F3" s="82">
        <v>46029</v>
      </c>
    </row>
    <row r="4" spans="1:7" x14ac:dyDescent="0.3">
      <c r="A4">
        <v>43827159</v>
      </c>
      <c r="B4" t="s">
        <v>257</v>
      </c>
      <c r="C4">
        <v>39</v>
      </c>
      <c r="D4" t="s">
        <v>32</v>
      </c>
      <c r="E4" t="s">
        <v>288</v>
      </c>
      <c r="F4" s="82">
        <v>46025</v>
      </c>
    </row>
    <row r="5" spans="1:7" x14ac:dyDescent="0.3">
      <c r="A5">
        <v>77385279</v>
      </c>
      <c r="B5" t="s">
        <v>258</v>
      </c>
      <c r="C5">
        <v>29</v>
      </c>
      <c r="D5" t="s">
        <v>32</v>
      </c>
      <c r="E5" t="s">
        <v>288</v>
      </c>
      <c r="F5" s="82">
        <v>46025</v>
      </c>
    </row>
    <row r="6" spans="1:7" x14ac:dyDescent="0.3">
      <c r="A6">
        <v>73042361</v>
      </c>
      <c r="B6" t="s">
        <v>259</v>
      </c>
      <c r="C6">
        <v>23</v>
      </c>
      <c r="D6" t="s">
        <v>32</v>
      </c>
      <c r="E6" t="s">
        <v>288</v>
      </c>
      <c r="F6" s="82">
        <v>46036</v>
      </c>
    </row>
    <row r="7" spans="1:7" x14ac:dyDescent="0.3">
      <c r="A7">
        <v>76552792</v>
      </c>
      <c r="B7" t="s">
        <v>260</v>
      </c>
      <c r="C7">
        <v>29</v>
      </c>
      <c r="D7" t="s">
        <v>32</v>
      </c>
      <c r="E7" t="s">
        <v>288</v>
      </c>
      <c r="F7" s="82">
        <v>46027</v>
      </c>
    </row>
    <row r="8" spans="1:7" x14ac:dyDescent="0.3">
      <c r="A8">
        <v>61791545</v>
      </c>
      <c r="B8" t="s">
        <v>261</v>
      </c>
      <c r="C8">
        <v>23</v>
      </c>
      <c r="D8" t="s">
        <v>32</v>
      </c>
      <c r="E8" t="s">
        <v>288</v>
      </c>
      <c r="F8" s="82">
        <v>46034</v>
      </c>
    </row>
    <row r="9" spans="1:7" x14ac:dyDescent="0.3">
      <c r="A9">
        <v>46100109</v>
      </c>
      <c r="B9" t="s">
        <v>262</v>
      </c>
      <c r="C9">
        <v>36</v>
      </c>
      <c r="D9" t="s">
        <v>32</v>
      </c>
      <c r="E9" t="s">
        <v>288</v>
      </c>
      <c r="F9" s="82">
        <v>46034</v>
      </c>
    </row>
    <row r="10" spans="1:7" x14ac:dyDescent="0.3">
      <c r="A10">
        <v>47119779</v>
      </c>
      <c r="B10" t="s">
        <v>263</v>
      </c>
      <c r="C10">
        <v>35</v>
      </c>
      <c r="D10" t="s">
        <v>32</v>
      </c>
      <c r="E10" t="s">
        <v>288</v>
      </c>
      <c r="F10" s="82">
        <v>46028</v>
      </c>
    </row>
    <row r="11" spans="1:7" x14ac:dyDescent="0.3">
      <c r="A11">
        <v>48554801</v>
      </c>
      <c r="B11" t="s">
        <v>264</v>
      </c>
      <c r="C11">
        <v>31</v>
      </c>
      <c r="D11" t="s">
        <v>32</v>
      </c>
      <c r="E11" t="s">
        <v>288</v>
      </c>
      <c r="F11" s="82">
        <v>46044</v>
      </c>
    </row>
    <row r="12" spans="1:7" x14ac:dyDescent="0.3">
      <c r="A12">
        <v>70881487</v>
      </c>
      <c r="B12" t="s">
        <v>265</v>
      </c>
      <c r="C12">
        <v>33</v>
      </c>
      <c r="D12" t="s">
        <v>32</v>
      </c>
      <c r="E12" t="s">
        <v>288</v>
      </c>
      <c r="F12" s="82">
        <v>46028</v>
      </c>
    </row>
    <row r="13" spans="1:7" x14ac:dyDescent="0.3">
      <c r="A13">
        <v>45754041</v>
      </c>
      <c r="B13" t="s">
        <v>266</v>
      </c>
      <c r="C13">
        <v>36</v>
      </c>
      <c r="D13" t="s">
        <v>32</v>
      </c>
      <c r="E13" t="s">
        <v>288</v>
      </c>
      <c r="F13" s="82">
        <v>46028</v>
      </c>
    </row>
    <row r="14" spans="1:7" x14ac:dyDescent="0.3">
      <c r="A14">
        <v>27408361</v>
      </c>
      <c r="B14" t="s">
        <v>267</v>
      </c>
      <c r="C14">
        <v>51</v>
      </c>
      <c r="D14" t="s">
        <v>32</v>
      </c>
      <c r="E14" t="s">
        <v>288</v>
      </c>
      <c r="F14" s="82">
        <v>45839</v>
      </c>
    </row>
    <row r="15" spans="1:7" x14ac:dyDescent="0.3">
      <c r="A15">
        <v>46142359</v>
      </c>
      <c r="B15" t="s">
        <v>268</v>
      </c>
      <c r="C15">
        <v>36</v>
      </c>
      <c r="D15" t="s">
        <v>32</v>
      </c>
      <c r="E15" t="s">
        <v>288</v>
      </c>
      <c r="F15" s="82">
        <v>46035</v>
      </c>
    </row>
    <row r="16" spans="1:7" x14ac:dyDescent="0.3">
      <c r="A16">
        <v>74591068</v>
      </c>
      <c r="B16" t="s">
        <v>269</v>
      </c>
      <c r="C16">
        <v>19</v>
      </c>
      <c r="D16" t="s">
        <v>32</v>
      </c>
      <c r="E16" t="s">
        <v>288</v>
      </c>
      <c r="F16" s="82">
        <v>46029</v>
      </c>
    </row>
    <row r="17" spans="1:6" x14ac:dyDescent="0.3">
      <c r="A17">
        <v>76312321</v>
      </c>
      <c r="B17" t="s">
        <v>270</v>
      </c>
      <c r="C17">
        <v>23</v>
      </c>
      <c r="D17" t="s">
        <v>34</v>
      </c>
      <c r="E17" t="s">
        <v>288</v>
      </c>
      <c r="F17" s="82">
        <v>46031</v>
      </c>
    </row>
    <row r="18" spans="1:6" x14ac:dyDescent="0.3">
      <c r="A18">
        <v>45420391</v>
      </c>
      <c r="B18" t="s">
        <v>271</v>
      </c>
      <c r="C18">
        <v>37</v>
      </c>
      <c r="D18" t="s">
        <v>34</v>
      </c>
      <c r="E18" t="s">
        <v>288</v>
      </c>
      <c r="F18" s="82">
        <v>46031</v>
      </c>
    </row>
    <row r="19" spans="1:6" x14ac:dyDescent="0.3">
      <c r="A19">
        <v>47069747</v>
      </c>
      <c r="B19" t="s">
        <v>272</v>
      </c>
      <c r="C19">
        <v>34</v>
      </c>
      <c r="D19" t="s">
        <v>34</v>
      </c>
      <c r="E19" t="s">
        <v>288</v>
      </c>
      <c r="F19" s="82">
        <v>46031</v>
      </c>
    </row>
    <row r="20" spans="1:6" x14ac:dyDescent="0.3">
      <c r="A20">
        <v>76056978</v>
      </c>
      <c r="B20" t="s">
        <v>273</v>
      </c>
      <c r="C20">
        <v>27</v>
      </c>
      <c r="D20" t="s">
        <v>32</v>
      </c>
      <c r="E20" t="s">
        <v>288</v>
      </c>
      <c r="F20" s="82">
        <v>46036</v>
      </c>
    </row>
    <row r="21" spans="1:6" x14ac:dyDescent="0.3">
      <c r="A21">
        <v>41048622</v>
      </c>
      <c r="B21" t="s">
        <v>274</v>
      </c>
      <c r="C21">
        <v>46</v>
      </c>
      <c r="D21" t="s">
        <v>34</v>
      </c>
      <c r="E21" t="s">
        <v>288</v>
      </c>
      <c r="F21" s="82">
        <v>46032</v>
      </c>
    </row>
    <row r="22" spans="1:6" x14ac:dyDescent="0.3">
      <c r="A22">
        <v>72944298</v>
      </c>
      <c r="B22" t="s">
        <v>275</v>
      </c>
      <c r="C22">
        <v>27</v>
      </c>
      <c r="D22" t="s">
        <v>32</v>
      </c>
      <c r="E22" t="s">
        <v>288</v>
      </c>
      <c r="F22" s="82">
        <v>46048</v>
      </c>
    </row>
    <row r="23" spans="1:6" x14ac:dyDescent="0.3">
      <c r="A23">
        <v>9644497</v>
      </c>
      <c r="B23" t="s">
        <v>276</v>
      </c>
      <c r="C23">
        <v>55</v>
      </c>
      <c r="D23" t="s">
        <v>32</v>
      </c>
      <c r="E23" t="s">
        <v>288</v>
      </c>
      <c r="F23" s="82">
        <v>46048</v>
      </c>
    </row>
    <row r="24" spans="1:6" x14ac:dyDescent="0.3">
      <c r="A24">
        <v>10017711</v>
      </c>
      <c r="B24" t="s">
        <v>277</v>
      </c>
      <c r="C24">
        <v>53</v>
      </c>
      <c r="D24" t="s">
        <v>34</v>
      </c>
      <c r="E24" t="s">
        <v>288</v>
      </c>
      <c r="F24" s="82">
        <v>46045</v>
      </c>
    </row>
    <row r="25" spans="1:6" x14ac:dyDescent="0.3">
      <c r="A25">
        <v>60130077</v>
      </c>
      <c r="B25" t="s">
        <v>278</v>
      </c>
      <c r="C25">
        <v>22</v>
      </c>
      <c r="D25" t="s">
        <v>32</v>
      </c>
      <c r="E25" t="s">
        <v>288</v>
      </c>
      <c r="F25" s="82">
        <v>46049</v>
      </c>
    </row>
    <row r="26" spans="1:6" x14ac:dyDescent="0.3">
      <c r="A26">
        <v>72696609</v>
      </c>
      <c r="B26" t="s">
        <v>279</v>
      </c>
      <c r="C26">
        <v>22</v>
      </c>
      <c r="D26" t="s">
        <v>32</v>
      </c>
      <c r="E26" t="s">
        <v>288</v>
      </c>
      <c r="F26" s="82">
        <v>46049</v>
      </c>
    </row>
    <row r="27" spans="1:6" x14ac:dyDescent="0.3">
      <c r="A27">
        <v>73229681</v>
      </c>
      <c r="B27" t="s">
        <v>280</v>
      </c>
      <c r="C27">
        <v>19</v>
      </c>
      <c r="D27" t="s">
        <v>34</v>
      </c>
      <c r="E27" t="s">
        <v>288</v>
      </c>
      <c r="F27" s="82">
        <v>46056</v>
      </c>
    </row>
    <row r="28" spans="1:6" x14ac:dyDescent="0.3">
      <c r="A28">
        <v>46477482</v>
      </c>
      <c r="B28" t="s">
        <v>281</v>
      </c>
      <c r="C28">
        <v>35</v>
      </c>
      <c r="D28" t="s">
        <v>32</v>
      </c>
      <c r="E28" t="s">
        <v>288</v>
      </c>
      <c r="F28" s="82">
        <v>46057</v>
      </c>
    </row>
    <row r="29" spans="1:6" x14ac:dyDescent="0.3">
      <c r="A29">
        <v>46683846</v>
      </c>
      <c r="B29" t="s">
        <v>282</v>
      </c>
      <c r="C29">
        <v>35</v>
      </c>
      <c r="D29" t="s">
        <v>32</v>
      </c>
      <c r="E29" t="s">
        <v>288</v>
      </c>
      <c r="F29" s="82">
        <v>46063</v>
      </c>
    </row>
    <row r="30" spans="1:6" x14ac:dyDescent="0.3">
      <c r="A30">
        <v>75963161</v>
      </c>
      <c r="B30" t="s">
        <v>283</v>
      </c>
      <c r="C30">
        <v>23</v>
      </c>
      <c r="D30" t="s">
        <v>32</v>
      </c>
      <c r="E30" t="s">
        <v>288</v>
      </c>
      <c r="F30" s="82">
        <v>46064</v>
      </c>
    </row>
    <row r="31" spans="1:6" x14ac:dyDescent="0.3">
      <c r="A31">
        <v>45920208</v>
      </c>
      <c r="B31" t="s">
        <v>284</v>
      </c>
      <c r="C31">
        <v>36</v>
      </c>
      <c r="D31" t="s">
        <v>32</v>
      </c>
      <c r="E31" t="s">
        <v>288</v>
      </c>
      <c r="F31" s="82">
        <v>46023</v>
      </c>
    </row>
    <row r="32" spans="1:6" x14ac:dyDescent="0.3">
      <c r="A32">
        <v>73644745</v>
      </c>
      <c r="B32" t="s">
        <v>285</v>
      </c>
      <c r="C32">
        <v>29</v>
      </c>
      <c r="D32" t="s">
        <v>32</v>
      </c>
      <c r="E32" t="s">
        <v>288</v>
      </c>
      <c r="F32" s="82">
        <v>46023</v>
      </c>
    </row>
    <row r="33" spans="1:6" x14ac:dyDescent="0.3">
      <c r="A33">
        <v>44693106</v>
      </c>
      <c r="B33" t="s">
        <v>286</v>
      </c>
      <c r="C33">
        <v>38</v>
      </c>
      <c r="D33" t="s">
        <v>32</v>
      </c>
      <c r="E33" t="s">
        <v>288</v>
      </c>
      <c r="F33" s="82">
        <v>46023</v>
      </c>
    </row>
    <row r="34" spans="1:6" x14ac:dyDescent="0.3">
      <c r="A34">
        <v>43934392</v>
      </c>
      <c r="B34" t="s">
        <v>287</v>
      </c>
      <c r="C34">
        <v>39</v>
      </c>
      <c r="D34" t="s">
        <v>32</v>
      </c>
      <c r="E34" t="s">
        <v>288</v>
      </c>
      <c r="F34" s="82">
        <v>46023</v>
      </c>
    </row>
    <row r="35" spans="1:6" x14ac:dyDescent="0.3">
      <c r="A35">
        <v>40888707</v>
      </c>
      <c r="B35" t="s">
        <v>300</v>
      </c>
      <c r="C35">
        <v>45</v>
      </c>
      <c r="D35" t="s">
        <v>32</v>
      </c>
      <c r="E35" t="s">
        <v>288</v>
      </c>
      <c r="F35" s="82">
        <v>45631</v>
      </c>
    </row>
    <row r="36" spans="1:6" x14ac:dyDescent="0.3">
      <c r="A36">
        <v>70577038</v>
      </c>
      <c r="B36" t="s">
        <v>301</v>
      </c>
      <c r="C36">
        <v>24</v>
      </c>
      <c r="D36" t="s">
        <v>32</v>
      </c>
      <c r="E36" t="s">
        <v>288</v>
      </c>
      <c r="F36" s="82">
        <v>45745</v>
      </c>
    </row>
    <row r="37" spans="1:6" x14ac:dyDescent="0.3">
      <c r="A37">
        <v>43776197</v>
      </c>
      <c r="B37" t="s">
        <v>302</v>
      </c>
      <c r="C37">
        <v>39</v>
      </c>
      <c r="D37" t="s">
        <v>32</v>
      </c>
      <c r="E37" t="s">
        <v>288</v>
      </c>
      <c r="F37" s="82">
        <v>45625</v>
      </c>
    </row>
    <row r="38" spans="1:6" x14ac:dyDescent="0.3">
      <c r="A38">
        <v>6266082</v>
      </c>
      <c r="B38" t="s">
        <v>303</v>
      </c>
      <c r="C38">
        <v>69</v>
      </c>
      <c r="D38" t="s">
        <v>32</v>
      </c>
      <c r="E38" t="s">
        <v>288</v>
      </c>
      <c r="F38" s="82">
        <v>45595</v>
      </c>
    </row>
    <row r="39" spans="1:6" x14ac:dyDescent="0.3">
      <c r="A39">
        <v>74053510</v>
      </c>
      <c r="B39" t="s">
        <v>304</v>
      </c>
      <c r="C39">
        <v>32</v>
      </c>
      <c r="D39" t="s">
        <v>32</v>
      </c>
      <c r="E39" t="s">
        <v>288</v>
      </c>
      <c r="F39" s="82">
        <v>45624</v>
      </c>
    </row>
    <row r="40" spans="1:6" x14ac:dyDescent="0.3">
      <c r="A40">
        <v>10003815</v>
      </c>
      <c r="B40" t="s">
        <v>305</v>
      </c>
      <c r="C40">
        <v>52</v>
      </c>
      <c r="D40" t="s">
        <v>32</v>
      </c>
      <c r="E40" t="s">
        <v>288</v>
      </c>
      <c r="F40" s="82">
        <v>45574</v>
      </c>
    </row>
    <row r="41" spans="1:6" x14ac:dyDescent="0.3">
      <c r="A41">
        <v>43532414</v>
      </c>
      <c r="B41" t="s">
        <v>306</v>
      </c>
      <c r="C41">
        <v>40</v>
      </c>
      <c r="D41" t="s">
        <v>34</v>
      </c>
      <c r="E41" t="s">
        <v>288</v>
      </c>
      <c r="F41" s="82">
        <v>45623</v>
      </c>
    </row>
    <row r="42" spans="1:6" x14ac:dyDescent="0.3">
      <c r="A42">
        <v>42566193</v>
      </c>
      <c r="B42" t="s">
        <v>307</v>
      </c>
      <c r="C42">
        <v>41</v>
      </c>
      <c r="D42" t="s">
        <v>32</v>
      </c>
      <c r="E42" t="s">
        <v>288</v>
      </c>
      <c r="F42" s="82">
        <v>45624</v>
      </c>
    </row>
    <row r="43" spans="1:6" x14ac:dyDescent="0.3">
      <c r="A43">
        <v>43881306</v>
      </c>
      <c r="B43" t="s">
        <v>308</v>
      </c>
      <c r="C43">
        <v>39</v>
      </c>
      <c r="D43" t="s">
        <v>32</v>
      </c>
      <c r="E43" t="s">
        <v>288</v>
      </c>
      <c r="F43" s="82">
        <v>45625</v>
      </c>
    </row>
    <row r="44" spans="1:6" x14ac:dyDescent="0.3">
      <c r="A44">
        <v>42727114</v>
      </c>
      <c r="B44" t="s">
        <v>255</v>
      </c>
      <c r="C44">
        <v>44</v>
      </c>
      <c r="D44" t="s">
        <v>32</v>
      </c>
      <c r="E44" t="s">
        <v>288</v>
      </c>
      <c r="F44" s="82">
        <v>46035</v>
      </c>
    </row>
    <row r="45" spans="1:6" x14ac:dyDescent="0.3">
      <c r="A45">
        <v>71141780</v>
      </c>
      <c r="B45" t="s">
        <v>309</v>
      </c>
      <c r="C45">
        <v>30</v>
      </c>
      <c r="D45" t="s">
        <v>32</v>
      </c>
      <c r="E45" t="s">
        <v>288</v>
      </c>
      <c r="F45" s="82">
        <v>45623</v>
      </c>
    </row>
    <row r="46" spans="1:6" x14ac:dyDescent="0.3">
      <c r="A46">
        <v>41641826</v>
      </c>
      <c r="B46" t="s">
        <v>310</v>
      </c>
      <c r="C46">
        <v>43</v>
      </c>
      <c r="D46" t="s">
        <v>32</v>
      </c>
      <c r="E46" t="s">
        <v>288</v>
      </c>
      <c r="F46" s="82">
        <v>45278</v>
      </c>
    </row>
  </sheetData>
  <autoFilter ref="A1:G1" xr:uid="{45D32365-94FF-4B01-AFB4-172E8D0F542B}"/>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62FCD-CF37-43CB-A145-0774B72AD3E5}">
  <sheetPr codeName="Hoja16">
    <tabColor rgb="FF92D050"/>
  </sheetPr>
  <dimension ref="A1:E2"/>
  <sheetViews>
    <sheetView workbookViewId="0">
      <selection activeCell="E2" sqref="E2"/>
    </sheetView>
  </sheetViews>
  <sheetFormatPr baseColWidth="10" defaultColWidth="11.44140625" defaultRowHeight="14.4" x14ac:dyDescent="0.3"/>
  <cols>
    <col min="1" max="4" width="18.6640625" customWidth="1"/>
    <col min="5" max="5" width="18.6640625" style="101" customWidth="1"/>
  </cols>
  <sheetData>
    <row r="1" spans="1:5" x14ac:dyDescent="0.3">
      <c r="A1" s="18" t="s">
        <v>172</v>
      </c>
      <c r="B1" s="18" t="s">
        <v>2</v>
      </c>
      <c r="C1" s="18" t="s">
        <v>1</v>
      </c>
      <c r="D1" s="18" t="s">
        <v>173</v>
      </c>
      <c r="E1" s="42" t="s">
        <v>36</v>
      </c>
    </row>
    <row r="2" spans="1:5" x14ac:dyDescent="0.3">
      <c r="A2" s="43" t="str">
        <f>IF(B2&lt;&gt;"", "CAPA-" &amp; TEXT(12000 + ROW(A2) - 1, "0000"), "")</f>
        <v/>
      </c>
      <c r="B2" s="43"/>
      <c r="C2" s="43"/>
      <c r="D2" s="43"/>
      <c r="E2" s="100"/>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B2BED-1B24-411F-8222-9CCBEAD43CB2}">
  <sheetPr codeName="Hoja7">
    <tabColor rgb="FF92D050"/>
  </sheetPr>
  <dimension ref="A1:E2"/>
  <sheetViews>
    <sheetView workbookViewId="0">
      <pane ySplit="1" topLeftCell="A2" activePane="bottomLeft" state="frozen"/>
      <selection activeCell="E2" sqref="E2"/>
      <selection pane="bottomLeft" activeCell="A2" sqref="A2"/>
    </sheetView>
  </sheetViews>
  <sheetFormatPr baseColWidth="10" defaultColWidth="8.88671875" defaultRowHeight="14.4" x14ac:dyDescent="0.3"/>
  <cols>
    <col min="1" max="1" width="15.6640625" style="2" customWidth="1"/>
    <col min="2" max="2" width="25.6640625" style="2" customWidth="1"/>
    <col min="3" max="3" width="15.6640625" style="2" customWidth="1"/>
    <col min="4" max="5" width="25.6640625" style="21" customWidth="1"/>
  </cols>
  <sheetData>
    <row r="1" spans="1:5" ht="14.4" customHeight="1" x14ac:dyDescent="0.3">
      <c r="A1" s="8" t="s">
        <v>174</v>
      </c>
      <c r="B1" s="8" t="s">
        <v>2</v>
      </c>
      <c r="C1" s="8" t="s">
        <v>1</v>
      </c>
      <c r="D1" s="9" t="s">
        <v>27</v>
      </c>
      <c r="E1" s="9" t="s">
        <v>28</v>
      </c>
    </row>
    <row r="2" spans="1:5" ht="14.4" customHeight="1" x14ac:dyDescent="0.3">
      <c r="A2" s="22" t="str">
        <f>IF(B2&lt;&gt;"", "VMO_SEG-" &amp; TEXT(7000 + ROW(A2) - 1, "0000"), "")</f>
        <v/>
      </c>
      <c r="B2" s="23"/>
      <c r="C2" s="22" t="str">
        <f>IF(B2="", "", _xlfn.XLOOKUP(B2, tbl_Trabajadores[Nombre], tbl_Trabajadores[DNI], ""))</f>
        <v/>
      </c>
      <c r="D2" s="22"/>
      <c r="E2" s="22"/>
    </row>
  </sheetData>
  <pageMargins left="0.75" right="0.75" top="1" bottom="1" header="0.5" footer="0.5"/>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rgb="FF92D050"/>
  </sheetPr>
  <dimension ref="A1:I52"/>
  <sheetViews>
    <sheetView topLeftCell="A11" zoomScale="66" workbookViewId="0">
      <selection activeCell="B15" sqref="B15"/>
    </sheetView>
  </sheetViews>
  <sheetFormatPr baseColWidth="10" defaultColWidth="11.44140625" defaultRowHeight="14.4" x14ac:dyDescent="0.3"/>
  <cols>
    <col min="1" max="1" width="11.44140625" customWidth="1"/>
    <col min="2" max="2" width="38.6640625" style="1" customWidth="1"/>
    <col min="3" max="3" width="11.44140625" style="25" customWidth="1"/>
    <col min="4" max="4" width="40.6640625" style="25" customWidth="1"/>
    <col min="5" max="5" width="25.6640625" style="25" customWidth="1"/>
    <col min="6" max="6" width="15.6640625" style="27" customWidth="1"/>
    <col min="7" max="7" width="20.6640625" style="26" customWidth="1"/>
    <col min="8" max="8" width="12.6640625" style="26" customWidth="1"/>
    <col min="11" max="11" width="19.33203125" bestFit="1" customWidth="1"/>
  </cols>
  <sheetData>
    <row r="1" spans="1:9" x14ac:dyDescent="0.3">
      <c r="A1" s="190"/>
      <c r="B1" s="177"/>
      <c r="C1" s="177"/>
      <c r="D1" s="177"/>
      <c r="E1" s="177"/>
      <c r="F1" s="177"/>
      <c r="G1" s="177"/>
      <c r="H1" s="177"/>
      <c r="I1" s="177"/>
    </row>
    <row r="2" spans="1:9" x14ac:dyDescent="0.3">
      <c r="A2" s="191"/>
      <c r="B2" s="177"/>
      <c r="C2" s="177"/>
      <c r="D2" s="177"/>
      <c r="E2" s="177"/>
      <c r="F2" s="177"/>
      <c r="G2" s="177"/>
      <c r="H2" s="177"/>
      <c r="I2" s="177"/>
    </row>
    <row r="3" spans="1:9" x14ac:dyDescent="0.3">
      <c r="A3" s="186"/>
      <c r="B3" s="186"/>
      <c r="C3" s="177"/>
      <c r="D3" s="177"/>
      <c r="E3" s="177"/>
      <c r="F3" s="177"/>
      <c r="G3" s="177"/>
      <c r="H3" s="177"/>
      <c r="I3" s="177"/>
    </row>
    <row r="4" spans="1:9" ht="14.4" customHeight="1" x14ac:dyDescent="0.3">
      <c r="A4" s="175" t="s">
        <v>175</v>
      </c>
      <c r="B4" s="176"/>
      <c r="C4" s="176"/>
      <c r="D4" s="176"/>
      <c r="E4" s="176"/>
      <c r="F4" s="176"/>
      <c r="G4" s="176"/>
      <c r="H4" s="176"/>
      <c r="I4" s="176"/>
    </row>
    <row r="5" spans="1:9" ht="14.4" customHeight="1" x14ac:dyDescent="0.3">
      <c r="A5" s="175"/>
      <c r="B5" s="176"/>
      <c r="C5" s="176"/>
      <c r="D5" s="176"/>
      <c r="E5" s="176"/>
      <c r="F5" s="176"/>
      <c r="G5" s="176"/>
      <c r="H5" s="176"/>
      <c r="I5" s="176"/>
    </row>
    <row r="6" spans="1:9" ht="14.4" customHeight="1" x14ac:dyDescent="0.3">
      <c r="A6" s="188" t="s">
        <v>176</v>
      </c>
      <c r="B6" s="183"/>
      <c r="C6" s="184"/>
      <c r="D6" s="188" t="s">
        <v>177</v>
      </c>
      <c r="E6" s="178" t="s">
        <v>178</v>
      </c>
      <c r="F6" s="179"/>
      <c r="G6" s="173" t="s">
        <v>179</v>
      </c>
      <c r="H6" s="174"/>
      <c r="I6" s="174"/>
    </row>
    <row r="7" spans="1:9" x14ac:dyDescent="0.3">
      <c r="A7" s="185"/>
      <c r="B7" s="186"/>
      <c r="C7" s="187"/>
      <c r="D7" s="189"/>
      <c r="E7" s="180"/>
      <c r="F7" s="181"/>
      <c r="G7" s="173"/>
      <c r="H7" s="174"/>
      <c r="I7" s="174"/>
    </row>
    <row r="8" spans="1:9" ht="14.4" customHeight="1" x14ac:dyDescent="0.3">
      <c r="A8" s="182" t="s">
        <v>180</v>
      </c>
      <c r="B8" s="183"/>
      <c r="C8" s="184"/>
      <c r="D8" s="182" t="s">
        <v>181</v>
      </c>
      <c r="E8" s="192" t="s">
        <v>182</v>
      </c>
      <c r="F8" s="193"/>
      <c r="G8" s="171">
        <f>COUNTA(Trabajadores!C:C) - 1</f>
        <v>40</v>
      </c>
      <c r="H8" s="172"/>
      <c r="I8" s="172"/>
    </row>
    <row r="9" spans="1:9" x14ac:dyDescent="0.3">
      <c r="A9" s="185"/>
      <c r="B9" s="186"/>
      <c r="C9" s="187"/>
      <c r="D9" s="189"/>
      <c r="E9" s="185"/>
      <c r="F9" s="194"/>
      <c r="G9" s="171"/>
      <c r="H9" s="172"/>
      <c r="I9" s="172"/>
    </row>
    <row r="10" spans="1:9" ht="14.4" customHeight="1" x14ac:dyDescent="0.3">
      <c r="A10" s="169" t="s">
        <v>183</v>
      </c>
      <c r="B10" s="170"/>
      <c r="C10" s="170"/>
      <c r="D10" s="170"/>
      <c r="E10" s="170"/>
      <c r="F10" s="170"/>
      <c r="G10" s="170"/>
      <c r="H10" s="170"/>
      <c r="I10" s="170"/>
    </row>
    <row r="11" spans="1:9" ht="14.4" customHeight="1" x14ac:dyDescent="0.3">
      <c r="A11" s="169"/>
      <c r="B11" s="170"/>
      <c r="C11" s="170"/>
      <c r="D11" s="170"/>
      <c r="E11" s="170"/>
      <c r="F11" s="170"/>
      <c r="G11" s="170"/>
      <c r="H11" s="170"/>
      <c r="I11" s="170"/>
    </row>
    <row r="12" spans="1:9" x14ac:dyDescent="0.3">
      <c r="A12" s="54" t="s">
        <v>184</v>
      </c>
      <c r="B12" s="54" t="s">
        <v>185</v>
      </c>
      <c r="C12" s="54" t="s">
        <v>1</v>
      </c>
      <c r="D12" s="54" t="s">
        <v>186</v>
      </c>
      <c r="E12" s="54" t="s">
        <v>187</v>
      </c>
      <c r="F12" s="111" t="s">
        <v>188</v>
      </c>
      <c r="G12" s="54" t="s">
        <v>21</v>
      </c>
      <c r="H12" s="18" t="s">
        <v>189</v>
      </c>
      <c r="I12" s="54" t="s">
        <v>190</v>
      </c>
    </row>
    <row r="13" spans="1:9" x14ac:dyDescent="0.3">
      <c r="A13" s="30" t="str">
        <f t="shared" ref="A13" si="0">IF(B13&lt;&gt;"", "EMO-" &amp; TEXT(1000 + ROW(A2) - 1, "0000"), "")</f>
        <v>EMO-1001</v>
      </c>
      <c r="B13" s="31" t="s">
        <v>275</v>
      </c>
      <c r="C13" s="131">
        <v>72944298</v>
      </c>
      <c r="D13" s="32" t="s">
        <v>312</v>
      </c>
      <c r="E13" s="32" t="s">
        <v>298</v>
      </c>
      <c r="F13" s="97">
        <v>46045</v>
      </c>
      <c r="G13" s="32" t="s">
        <v>296</v>
      </c>
      <c r="H13" s="130" t="s">
        <v>33</v>
      </c>
      <c r="I13" s="149"/>
    </row>
    <row r="14" spans="1:9" x14ac:dyDescent="0.3">
      <c r="A14" s="30" t="str">
        <f t="shared" ref="A14:A52" si="1">IF(B14&lt;&gt;"", "EMO-" &amp; TEXT(1000 + ROW(A3) - 1, "0000"), "")</f>
        <v>EMO-1002</v>
      </c>
      <c r="B14" s="31" t="s">
        <v>300</v>
      </c>
      <c r="C14" s="131">
        <v>40888707</v>
      </c>
      <c r="D14" s="32" t="s">
        <v>314</v>
      </c>
      <c r="E14" s="32" t="s">
        <v>299</v>
      </c>
      <c r="F14" s="97">
        <v>45637</v>
      </c>
      <c r="G14" s="32" t="s">
        <v>297</v>
      </c>
      <c r="H14" s="130" t="s">
        <v>344</v>
      </c>
      <c r="I14" s="149">
        <v>45677</v>
      </c>
    </row>
    <row r="15" spans="1:9" x14ac:dyDescent="0.3">
      <c r="A15" s="30" t="str">
        <f t="shared" si="1"/>
        <v>EMO-1003</v>
      </c>
      <c r="B15" s="31" t="s">
        <v>301</v>
      </c>
      <c r="C15" s="131">
        <v>70577038</v>
      </c>
      <c r="D15" s="32" t="s">
        <v>316</v>
      </c>
      <c r="E15" s="32" t="s">
        <v>298</v>
      </c>
      <c r="F15" s="97">
        <v>45745</v>
      </c>
      <c r="G15" s="32" t="s">
        <v>296</v>
      </c>
      <c r="H15" s="130" t="s">
        <v>344</v>
      </c>
      <c r="I15" s="149">
        <v>45772</v>
      </c>
    </row>
    <row r="16" spans="1:9" x14ac:dyDescent="0.3">
      <c r="A16" s="30" t="str">
        <f t="shared" si="1"/>
        <v>EMO-1004</v>
      </c>
      <c r="B16" s="31" t="s">
        <v>302</v>
      </c>
      <c r="C16" s="131">
        <v>43776197</v>
      </c>
      <c r="D16" s="32" t="s">
        <v>318</v>
      </c>
      <c r="E16" s="32" t="s">
        <v>299</v>
      </c>
      <c r="F16" s="97">
        <v>45625</v>
      </c>
      <c r="G16" s="32" t="s">
        <v>296</v>
      </c>
      <c r="H16" s="130" t="s">
        <v>344</v>
      </c>
      <c r="I16" s="149">
        <v>45684</v>
      </c>
    </row>
    <row r="17" spans="1:9" x14ac:dyDescent="0.3">
      <c r="A17" s="30" t="str">
        <f t="shared" si="1"/>
        <v>EMO-1005</v>
      </c>
      <c r="B17" s="31" t="s">
        <v>263</v>
      </c>
      <c r="C17" s="131">
        <v>47119779</v>
      </c>
      <c r="D17" s="32" t="s">
        <v>291</v>
      </c>
      <c r="E17" s="32" t="s">
        <v>298</v>
      </c>
      <c r="F17" s="97">
        <v>46028</v>
      </c>
      <c r="G17" s="32" t="s">
        <v>296</v>
      </c>
      <c r="H17" s="130" t="s">
        <v>33</v>
      </c>
      <c r="I17" s="149"/>
    </row>
    <row r="18" spans="1:9" x14ac:dyDescent="0.3">
      <c r="A18" s="30" t="str">
        <f t="shared" si="1"/>
        <v>EMO-1006</v>
      </c>
      <c r="B18" s="31" t="s">
        <v>271</v>
      </c>
      <c r="C18" s="131">
        <v>45420391</v>
      </c>
      <c r="D18" s="32" t="s">
        <v>292</v>
      </c>
      <c r="E18" s="32" t="s">
        <v>298</v>
      </c>
      <c r="F18" s="97">
        <v>46031</v>
      </c>
      <c r="G18" s="32" t="s">
        <v>297</v>
      </c>
      <c r="H18" s="130" t="s">
        <v>344</v>
      </c>
      <c r="I18" s="149">
        <v>46043</v>
      </c>
    </row>
    <row r="19" spans="1:9" x14ac:dyDescent="0.3">
      <c r="A19" s="30" t="str">
        <f t="shared" si="1"/>
        <v>EMO-1007</v>
      </c>
      <c r="B19" s="31" t="s">
        <v>303</v>
      </c>
      <c r="C19" s="131">
        <v>6266082</v>
      </c>
      <c r="D19" s="32" t="s">
        <v>291</v>
      </c>
      <c r="E19" s="32" t="s">
        <v>299</v>
      </c>
      <c r="F19" s="97">
        <v>45595</v>
      </c>
      <c r="G19" s="32" t="s">
        <v>296</v>
      </c>
      <c r="H19" s="130" t="s">
        <v>344</v>
      </c>
      <c r="I19" s="149">
        <v>45684</v>
      </c>
    </row>
    <row r="20" spans="1:9" x14ac:dyDescent="0.3">
      <c r="A20" s="30" t="str">
        <f t="shared" si="1"/>
        <v>EMO-1008</v>
      </c>
      <c r="B20" s="31" t="s">
        <v>282</v>
      </c>
      <c r="C20" s="131">
        <v>46683846</v>
      </c>
      <c r="D20" s="32" t="s">
        <v>323</v>
      </c>
      <c r="E20" s="32" t="s">
        <v>298</v>
      </c>
      <c r="F20" s="97">
        <v>46063</v>
      </c>
      <c r="G20" s="32" t="s">
        <v>296</v>
      </c>
      <c r="H20" s="130" t="s">
        <v>33</v>
      </c>
      <c r="I20" s="149"/>
    </row>
    <row r="21" spans="1:9" x14ac:dyDescent="0.3">
      <c r="A21" s="30" t="str">
        <f t="shared" si="1"/>
        <v>EMO-1009</v>
      </c>
      <c r="B21" s="31" t="s">
        <v>283</v>
      </c>
      <c r="C21" s="131">
        <v>75963161</v>
      </c>
      <c r="D21" s="32" t="s">
        <v>295</v>
      </c>
      <c r="E21" s="32" t="s">
        <v>298</v>
      </c>
      <c r="F21" s="97">
        <v>46064</v>
      </c>
      <c r="G21" s="32" t="s">
        <v>297</v>
      </c>
      <c r="H21" s="130" t="s">
        <v>344</v>
      </c>
      <c r="I21" s="149"/>
    </row>
    <row r="22" spans="1:9" x14ac:dyDescent="0.3">
      <c r="A22" s="30" t="str">
        <f t="shared" si="1"/>
        <v>EMO-1010</v>
      </c>
      <c r="B22" s="31" t="s">
        <v>269</v>
      </c>
      <c r="C22" s="131">
        <v>74591068</v>
      </c>
      <c r="D22" s="32" t="s">
        <v>291</v>
      </c>
      <c r="E22" s="32" t="s">
        <v>298</v>
      </c>
      <c r="F22" s="97">
        <v>46029</v>
      </c>
      <c r="G22" s="32" t="s">
        <v>297</v>
      </c>
      <c r="H22" s="130" t="s">
        <v>33</v>
      </c>
      <c r="I22" s="149">
        <v>45838</v>
      </c>
    </row>
    <row r="23" spans="1:9" x14ac:dyDescent="0.3">
      <c r="A23" s="30" t="str">
        <f t="shared" si="1"/>
        <v>EMO-1011</v>
      </c>
      <c r="B23" s="31" t="s">
        <v>262</v>
      </c>
      <c r="C23" s="131">
        <v>46100109</v>
      </c>
      <c r="D23" s="32" t="s">
        <v>325</v>
      </c>
      <c r="E23" s="32" t="s">
        <v>298</v>
      </c>
      <c r="F23" s="97">
        <v>46028</v>
      </c>
      <c r="G23" s="32" t="s">
        <v>297</v>
      </c>
      <c r="H23" s="130" t="s">
        <v>344</v>
      </c>
      <c r="I23" s="149"/>
    </row>
    <row r="24" spans="1:9" x14ac:dyDescent="0.3">
      <c r="A24" s="30" t="str">
        <f t="shared" si="1"/>
        <v>EMO-1012</v>
      </c>
      <c r="B24" s="31" t="s">
        <v>267</v>
      </c>
      <c r="C24" s="131">
        <v>27408361</v>
      </c>
      <c r="D24" s="32" t="s">
        <v>326</v>
      </c>
      <c r="E24" s="32" t="s">
        <v>298</v>
      </c>
      <c r="F24" s="97">
        <v>46029</v>
      </c>
      <c r="G24" s="32" t="s">
        <v>296</v>
      </c>
      <c r="H24" s="130" t="s">
        <v>344</v>
      </c>
      <c r="I24" s="149">
        <v>46048</v>
      </c>
    </row>
    <row r="25" spans="1:9" x14ac:dyDescent="0.3">
      <c r="A25" s="30" t="str">
        <f t="shared" si="1"/>
        <v>EMO-1013</v>
      </c>
      <c r="B25" s="31" t="s">
        <v>304</v>
      </c>
      <c r="C25" s="131">
        <v>74053510</v>
      </c>
      <c r="D25" s="32" t="s">
        <v>327</v>
      </c>
      <c r="E25" s="32" t="s">
        <v>298</v>
      </c>
      <c r="F25" s="97">
        <v>45624</v>
      </c>
      <c r="G25" s="32" t="s">
        <v>297</v>
      </c>
      <c r="H25" s="130" t="s">
        <v>344</v>
      </c>
      <c r="I25" s="149">
        <v>45684</v>
      </c>
    </row>
    <row r="26" spans="1:9" x14ac:dyDescent="0.3">
      <c r="A26" s="30" t="str">
        <f t="shared" si="1"/>
        <v>EMO-1014</v>
      </c>
      <c r="B26" s="31" t="s">
        <v>305</v>
      </c>
      <c r="C26" s="131">
        <v>10003815</v>
      </c>
      <c r="D26" s="32" t="s">
        <v>329</v>
      </c>
      <c r="E26" s="32" t="s">
        <v>299</v>
      </c>
      <c r="F26" s="97">
        <v>45574</v>
      </c>
      <c r="G26" s="32" t="s">
        <v>297</v>
      </c>
      <c r="H26" s="130" t="s">
        <v>344</v>
      </c>
      <c r="I26" s="149">
        <v>45684</v>
      </c>
    </row>
    <row r="27" spans="1:9" x14ac:dyDescent="0.3">
      <c r="A27" s="30" t="str">
        <f t="shared" si="1"/>
        <v>EMO-1015</v>
      </c>
      <c r="B27" s="31" t="s">
        <v>306</v>
      </c>
      <c r="C27" s="131">
        <v>43532414</v>
      </c>
      <c r="D27" s="32" t="s">
        <v>330</v>
      </c>
      <c r="E27" s="32" t="s">
        <v>299</v>
      </c>
      <c r="F27" s="97">
        <v>45623</v>
      </c>
      <c r="G27" s="32" t="s">
        <v>296</v>
      </c>
      <c r="H27" s="130" t="s">
        <v>344</v>
      </c>
      <c r="I27" s="149">
        <v>45747</v>
      </c>
    </row>
    <row r="28" spans="1:9" x14ac:dyDescent="0.3">
      <c r="A28" s="30" t="str">
        <f t="shared" si="1"/>
        <v>EMO-1016</v>
      </c>
      <c r="B28" s="31" t="s">
        <v>307</v>
      </c>
      <c r="C28" s="131">
        <v>42566193</v>
      </c>
      <c r="D28" s="32" t="s">
        <v>331</v>
      </c>
      <c r="E28" s="32" t="s">
        <v>298</v>
      </c>
      <c r="F28" s="97">
        <v>45624</v>
      </c>
      <c r="G28" s="32" t="s">
        <v>345</v>
      </c>
      <c r="H28" s="130" t="s">
        <v>33</v>
      </c>
      <c r="I28" s="149">
        <v>45684</v>
      </c>
    </row>
    <row r="29" spans="1:9" x14ac:dyDescent="0.3">
      <c r="A29" s="30" t="str">
        <f t="shared" si="1"/>
        <v>EMO-1017</v>
      </c>
      <c r="B29" s="31" t="s">
        <v>278</v>
      </c>
      <c r="C29" s="131">
        <v>60130077</v>
      </c>
      <c r="D29" s="32" t="s">
        <v>294</v>
      </c>
      <c r="E29" s="32" t="s">
        <v>298</v>
      </c>
      <c r="F29" s="97">
        <v>46049</v>
      </c>
      <c r="G29" s="32" t="s">
        <v>296</v>
      </c>
      <c r="H29" s="130" t="s">
        <v>344</v>
      </c>
      <c r="I29" s="149"/>
    </row>
    <row r="30" spans="1:9" x14ac:dyDescent="0.3">
      <c r="A30" s="30" t="str">
        <f t="shared" si="1"/>
        <v>EMO-1018</v>
      </c>
      <c r="B30" s="31" t="s">
        <v>258</v>
      </c>
      <c r="C30" s="131">
        <v>77385279</v>
      </c>
      <c r="D30" s="32" t="s">
        <v>326</v>
      </c>
      <c r="E30" s="32" t="s">
        <v>298</v>
      </c>
      <c r="F30" s="97">
        <v>46025</v>
      </c>
      <c r="G30" s="32" t="s">
        <v>297</v>
      </c>
      <c r="H30" s="130" t="s">
        <v>33</v>
      </c>
      <c r="I30" s="149">
        <v>46048</v>
      </c>
    </row>
    <row r="31" spans="1:9" x14ac:dyDescent="0.3">
      <c r="A31" s="30" t="str">
        <f t="shared" si="1"/>
        <v>EMO-1019</v>
      </c>
      <c r="B31" s="31" t="s">
        <v>276</v>
      </c>
      <c r="C31" s="131">
        <v>9644497</v>
      </c>
      <c r="D31" s="32" t="s">
        <v>293</v>
      </c>
      <c r="E31" s="32" t="s">
        <v>298</v>
      </c>
      <c r="F31" s="97">
        <v>46045</v>
      </c>
      <c r="G31" s="32" t="s">
        <v>296</v>
      </c>
      <c r="H31" s="130" t="s">
        <v>33</v>
      </c>
      <c r="I31" s="149"/>
    </row>
    <row r="32" spans="1:9" x14ac:dyDescent="0.3">
      <c r="A32" s="30" t="str">
        <f t="shared" si="1"/>
        <v>EMO-1020</v>
      </c>
      <c r="B32" s="31" t="s">
        <v>273</v>
      </c>
      <c r="C32" s="131">
        <v>76056978</v>
      </c>
      <c r="D32" s="32" t="s">
        <v>334</v>
      </c>
      <c r="E32" s="32" t="s">
        <v>298</v>
      </c>
      <c r="F32" s="97">
        <v>46032</v>
      </c>
      <c r="G32" s="32" t="s">
        <v>296</v>
      </c>
      <c r="H32" s="130" t="s">
        <v>344</v>
      </c>
      <c r="I32" s="149"/>
    </row>
    <row r="33" spans="1:9" x14ac:dyDescent="0.3">
      <c r="A33" s="30" t="str">
        <f t="shared" si="1"/>
        <v>EMO-1021</v>
      </c>
      <c r="B33" s="31" t="s">
        <v>268</v>
      </c>
      <c r="C33" s="131">
        <v>46142359</v>
      </c>
      <c r="D33" s="32" t="s">
        <v>290</v>
      </c>
      <c r="E33" s="32" t="s">
        <v>298</v>
      </c>
      <c r="F33" s="97">
        <v>45839</v>
      </c>
      <c r="G33" s="32" t="s">
        <v>296</v>
      </c>
      <c r="H33" s="130" t="s">
        <v>33</v>
      </c>
      <c r="I33" s="149">
        <v>46048</v>
      </c>
    </row>
    <row r="34" spans="1:9" x14ac:dyDescent="0.3">
      <c r="A34" s="30" t="str">
        <f t="shared" si="1"/>
        <v>EMO-1022</v>
      </c>
      <c r="B34" s="31" t="s">
        <v>260</v>
      </c>
      <c r="C34" s="131">
        <v>76552792</v>
      </c>
      <c r="D34" s="32" t="s">
        <v>326</v>
      </c>
      <c r="E34" s="32" t="s">
        <v>298</v>
      </c>
      <c r="F34" s="97">
        <v>46027</v>
      </c>
      <c r="G34" s="32" t="s">
        <v>296</v>
      </c>
      <c r="H34" s="130" t="s">
        <v>33</v>
      </c>
      <c r="I34" s="149"/>
    </row>
    <row r="35" spans="1:9" x14ac:dyDescent="0.3">
      <c r="A35" s="30" t="str">
        <f t="shared" si="1"/>
        <v>EMO-1023</v>
      </c>
      <c r="B35" s="31" t="s">
        <v>277</v>
      </c>
      <c r="C35" s="131">
        <v>10017711</v>
      </c>
      <c r="D35" s="32" t="s">
        <v>292</v>
      </c>
      <c r="E35" s="32" t="s">
        <v>298</v>
      </c>
      <c r="F35" s="97">
        <v>46045</v>
      </c>
      <c r="G35" s="32" t="s">
        <v>296</v>
      </c>
      <c r="H35" s="130" t="s">
        <v>344</v>
      </c>
      <c r="I35" s="149"/>
    </row>
    <row r="36" spans="1:9" x14ac:dyDescent="0.3">
      <c r="A36" s="30" t="str">
        <f t="shared" si="1"/>
        <v>EMO-1024</v>
      </c>
      <c r="B36" s="31" t="s">
        <v>308</v>
      </c>
      <c r="C36" s="131">
        <v>43881306</v>
      </c>
      <c r="D36" s="32" t="s">
        <v>335</v>
      </c>
      <c r="E36" s="32" t="s">
        <v>299</v>
      </c>
      <c r="F36" s="97">
        <v>45625</v>
      </c>
      <c r="G36" s="32" t="s">
        <v>296</v>
      </c>
      <c r="H36" s="130" t="s">
        <v>344</v>
      </c>
      <c r="I36" s="149">
        <v>46048</v>
      </c>
    </row>
    <row r="37" spans="1:9" x14ac:dyDescent="0.3">
      <c r="A37" s="30" t="str">
        <f t="shared" si="1"/>
        <v>EMO-1025</v>
      </c>
      <c r="B37" s="31" t="s">
        <v>272</v>
      </c>
      <c r="C37" s="131">
        <v>47069747</v>
      </c>
      <c r="D37" s="32" t="s">
        <v>292</v>
      </c>
      <c r="E37" s="32" t="s">
        <v>298</v>
      </c>
      <c r="F37" s="97">
        <v>46031</v>
      </c>
      <c r="G37" s="32" t="s">
        <v>297</v>
      </c>
      <c r="H37" s="130" t="s">
        <v>33</v>
      </c>
      <c r="I37" s="149">
        <v>46043</v>
      </c>
    </row>
    <row r="38" spans="1:9" x14ac:dyDescent="0.3">
      <c r="A38" s="30" t="str">
        <f t="shared" si="1"/>
        <v>EMO-1026</v>
      </c>
      <c r="B38" s="31" t="s">
        <v>257</v>
      </c>
      <c r="C38" s="131">
        <v>43827159</v>
      </c>
      <c r="D38" s="32" t="s">
        <v>290</v>
      </c>
      <c r="E38" s="32" t="s">
        <v>298</v>
      </c>
      <c r="F38" s="97">
        <v>46025</v>
      </c>
      <c r="G38" s="32" t="s">
        <v>296</v>
      </c>
      <c r="H38" s="130" t="s">
        <v>33</v>
      </c>
      <c r="I38" s="149"/>
    </row>
    <row r="39" spans="1:9" x14ac:dyDescent="0.3">
      <c r="A39" s="30" t="str">
        <f t="shared" si="1"/>
        <v>EMO-1027</v>
      </c>
      <c r="B39" s="31" t="s">
        <v>255</v>
      </c>
      <c r="C39" s="131">
        <v>42727114</v>
      </c>
      <c r="D39" s="32" t="s">
        <v>326</v>
      </c>
      <c r="E39" s="32" t="s">
        <v>298</v>
      </c>
      <c r="F39" s="97">
        <v>46048</v>
      </c>
      <c r="G39" s="32" t="s">
        <v>296</v>
      </c>
      <c r="H39" s="130" t="s">
        <v>344</v>
      </c>
      <c r="I39" s="149"/>
    </row>
    <row r="40" spans="1:9" x14ac:dyDescent="0.3">
      <c r="A40" s="30" t="str">
        <f t="shared" si="1"/>
        <v>EMO-1028</v>
      </c>
      <c r="B40" s="31" t="s">
        <v>309</v>
      </c>
      <c r="C40" s="131">
        <v>71141780</v>
      </c>
      <c r="D40" s="32" t="s">
        <v>337</v>
      </c>
      <c r="E40" s="32" t="s">
        <v>299</v>
      </c>
      <c r="F40" s="97">
        <v>45623</v>
      </c>
      <c r="G40" s="32" t="s">
        <v>296</v>
      </c>
      <c r="H40" s="130" t="s">
        <v>33</v>
      </c>
      <c r="I40" s="149">
        <v>46049</v>
      </c>
    </row>
    <row r="41" spans="1:9" x14ac:dyDescent="0.3">
      <c r="A41" s="30" t="str">
        <f t="shared" si="1"/>
        <v>EMO-1029</v>
      </c>
      <c r="B41" s="31" t="s">
        <v>279</v>
      </c>
      <c r="C41" s="131">
        <v>72696609</v>
      </c>
      <c r="D41" s="32" t="s">
        <v>326</v>
      </c>
      <c r="E41" s="32" t="s">
        <v>298</v>
      </c>
      <c r="F41" s="97">
        <v>46049</v>
      </c>
      <c r="G41" s="32" t="s">
        <v>297</v>
      </c>
      <c r="H41" s="130" t="s">
        <v>344</v>
      </c>
      <c r="I41" s="149"/>
    </row>
    <row r="42" spans="1:9" x14ac:dyDescent="0.3">
      <c r="A42" s="30" t="str">
        <f t="shared" si="1"/>
        <v>EMO-1030</v>
      </c>
      <c r="B42" s="31" t="s">
        <v>261</v>
      </c>
      <c r="C42" s="131">
        <v>61791545</v>
      </c>
      <c r="D42" s="32" t="s">
        <v>338</v>
      </c>
      <c r="E42" s="32" t="s">
        <v>298</v>
      </c>
      <c r="F42" s="97">
        <v>46027</v>
      </c>
      <c r="G42" s="32" t="s">
        <v>297</v>
      </c>
      <c r="H42" s="130" t="s">
        <v>344</v>
      </c>
      <c r="I42" s="149">
        <v>46049</v>
      </c>
    </row>
    <row r="43" spans="1:9" x14ac:dyDescent="0.3">
      <c r="A43" s="30" t="str">
        <f t="shared" si="1"/>
        <v>EMO-1031</v>
      </c>
      <c r="B43" s="31" t="s">
        <v>256</v>
      </c>
      <c r="C43" s="131">
        <v>75282121</v>
      </c>
      <c r="D43" s="32" t="s">
        <v>289</v>
      </c>
      <c r="E43" s="32" t="s">
        <v>298</v>
      </c>
      <c r="F43" s="97">
        <v>46025</v>
      </c>
      <c r="G43" s="32" t="s">
        <v>297</v>
      </c>
      <c r="H43" s="130" t="s">
        <v>344</v>
      </c>
      <c r="I43" s="149">
        <v>46049</v>
      </c>
    </row>
    <row r="44" spans="1:9" x14ac:dyDescent="0.3">
      <c r="A44" s="30" t="str">
        <f t="shared" si="1"/>
        <v>EMO-1032</v>
      </c>
      <c r="B44" s="31" t="s">
        <v>310</v>
      </c>
      <c r="C44" s="131">
        <v>41641826</v>
      </c>
      <c r="D44" s="32" t="s">
        <v>339</v>
      </c>
      <c r="E44" s="32" t="s">
        <v>299</v>
      </c>
      <c r="F44" s="97">
        <v>45278</v>
      </c>
      <c r="G44" s="32" t="s">
        <v>296</v>
      </c>
      <c r="H44" s="130" t="s">
        <v>344</v>
      </c>
      <c r="I44" s="149">
        <v>46049</v>
      </c>
    </row>
    <row r="45" spans="1:9" x14ac:dyDescent="0.3">
      <c r="A45" s="30" t="str">
        <f t="shared" si="1"/>
        <v>EMO-1033</v>
      </c>
      <c r="B45" s="31" t="s">
        <v>274</v>
      </c>
      <c r="C45" s="131">
        <v>41048622</v>
      </c>
      <c r="D45" s="32" t="s">
        <v>292</v>
      </c>
      <c r="E45" s="32" t="s">
        <v>298</v>
      </c>
      <c r="F45" s="97">
        <v>46032</v>
      </c>
      <c r="G45" s="32" t="s">
        <v>297</v>
      </c>
      <c r="H45" s="130" t="s">
        <v>344</v>
      </c>
      <c r="I45" s="149">
        <v>46043</v>
      </c>
    </row>
    <row r="46" spans="1:9" x14ac:dyDescent="0.3">
      <c r="A46" s="30" t="str">
        <f t="shared" si="1"/>
        <v>EMO-1034</v>
      </c>
      <c r="B46" s="31" t="s">
        <v>259</v>
      </c>
      <c r="C46" s="131">
        <v>73042361</v>
      </c>
      <c r="D46" s="32" t="s">
        <v>341</v>
      </c>
      <c r="E46" s="32" t="s">
        <v>298</v>
      </c>
      <c r="F46" s="97">
        <v>46025</v>
      </c>
      <c r="G46" s="32" t="s">
        <v>296</v>
      </c>
      <c r="H46" s="130" t="s">
        <v>33</v>
      </c>
      <c r="I46" s="149">
        <v>46049</v>
      </c>
    </row>
    <row r="47" spans="1:9" x14ac:dyDescent="0.3">
      <c r="A47" s="30" t="str">
        <f t="shared" si="1"/>
        <v>EMO-1035</v>
      </c>
      <c r="B47" s="31" t="s">
        <v>280</v>
      </c>
      <c r="C47" s="131">
        <v>73229681</v>
      </c>
      <c r="D47" s="32" t="s">
        <v>292</v>
      </c>
      <c r="E47" s="32" t="s">
        <v>298</v>
      </c>
      <c r="F47" s="97">
        <v>46056</v>
      </c>
      <c r="G47" s="32" t="s">
        <v>296</v>
      </c>
      <c r="H47" s="130" t="s">
        <v>33</v>
      </c>
      <c r="I47" s="149"/>
    </row>
    <row r="48" spans="1:9" x14ac:dyDescent="0.3">
      <c r="A48" s="30" t="str">
        <f t="shared" si="1"/>
        <v>EMO-1036</v>
      </c>
      <c r="B48" s="31" t="s">
        <v>281</v>
      </c>
      <c r="C48" s="131">
        <v>46477482</v>
      </c>
      <c r="D48" s="32" t="s">
        <v>342</v>
      </c>
      <c r="E48" s="32" t="s">
        <v>298</v>
      </c>
      <c r="F48" s="97">
        <v>46057</v>
      </c>
      <c r="G48" s="32" t="s">
        <v>296</v>
      </c>
      <c r="H48" s="130" t="s">
        <v>344</v>
      </c>
      <c r="I48" s="149"/>
    </row>
    <row r="49" spans="1:9" x14ac:dyDescent="0.3">
      <c r="A49" s="30" t="str">
        <f t="shared" si="1"/>
        <v>EMO-1037</v>
      </c>
      <c r="B49" s="31" t="s">
        <v>264</v>
      </c>
      <c r="C49" s="131">
        <v>48554801</v>
      </c>
      <c r="D49" s="32" t="s">
        <v>326</v>
      </c>
      <c r="E49" s="32" t="s">
        <v>299</v>
      </c>
      <c r="F49" s="97">
        <v>46030</v>
      </c>
      <c r="G49" s="32" t="s">
        <v>296</v>
      </c>
      <c r="H49" s="130" t="s">
        <v>344</v>
      </c>
      <c r="I49" s="149">
        <v>46049</v>
      </c>
    </row>
    <row r="50" spans="1:9" x14ac:dyDescent="0.3">
      <c r="A50" s="30" t="str">
        <f t="shared" si="1"/>
        <v>EMO-1038</v>
      </c>
      <c r="B50" s="31" t="s">
        <v>266</v>
      </c>
      <c r="C50" s="131">
        <v>45754041</v>
      </c>
      <c r="D50" s="32" t="s">
        <v>343</v>
      </c>
      <c r="E50" s="32" t="s">
        <v>298</v>
      </c>
      <c r="F50" s="97">
        <v>45621</v>
      </c>
      <c r="G50" s="32" t="s">
        <v>297</v>
      </c>
      <c r="H50" s="130" t="s">
        <v>33</v>
      </c>
      <c r="I50" s="149">
        <v>46043</v>
      </c>
    </row>
    <row r="51" spans="1:9" x14ac:dyDescent="0.3">
      <c r="A51" s="30" t="str">
        <f t="shared" si="1"/>
        <v>EMO-1039</v>
      </c>
      <c r="B51" s="31" t="s">
        <v>270</v>
      </c>
      <c r="C51" s="131">
        <v>76312321</v>
      </c>
      <c r="D51" s="32" t="s">
        <v>292</v>
      </c>
      <c r="E51" s="32" t="s">
        <v>298</v>
      </c>
      <c r="F51" s="97">
        <v>46031</v>
      </c>
      <c r="G51" s="32" t="s">
        <v>296</v>
      </c>
      <c r="H51" s="130" t="s">
        <v>33</v>
      </c>
      <c r="I51" s="149"/>
    </row>
    <row r="52" spans="1:9" x14ac:dyDescent="0.3">
      <c r="A52" s="30" t="str">
        <f t="shared" si="1"/>
        <v>EMO-1040</v>
      </c>
      <c r="B52" s="31" t="s">
        <v>265</v>
      </c>
      <c r="C52" s="131">
        <v>70881487</v>
      </c>
      <c r="D52" s="32" t="s">
        <v>312</v>
      </c>
      <c r="E52" s="32" t="s">
        <v>298</v>
      </c>
      <c r="F52" s="97">
        <v>46028</v>
      </c>
      <c r="G52" s="32" t="s">
        <v>296</v>
      </c>
      <c r="H52" s="130" t="s">
        <v>33</v>
      </c>
      <c r="I52" s="149"/>
    </row>
  </sheetData>
  <dataConsolidate/>
  <mergeCells count="12">
    <mergeCell ref="A10:I11"/>
    <mergeCell ref="G8:I9"/>
    <mergeCell ref="G6:I7"/>
    <mergeCell ref="A4:I5"/>
    <mergeCell ref="C1:I3"/>
    <mergeCell ref="E6:F7"/>
    <mergeCell ref="A8:C9"/>
    <mergeCell ref="D6:D7"/>
    <mergeCell ref="A1:B3"/>
    <mergeCell ref="A6:C7"/>
    <mergeCell ref="D8:D9"/>
    <mergeCell ref="E8:F9"/>
  </mergeCells>
  <dataValidations count="1">
    <dataValidation type="list" allowBlank="1" showInputMessage="1" showErrorMessage="1" sqref="E13:E1048576" xr:uid="{AFF329ED-C5B0-438F-8D59-64FEEAD48DC4}">
      <formula1>"Pre-Ocupacional,Ocupacional,Periódicos,Cambio Puesto de Trabajo, Reincorporación,Retiro"</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92D050"/>
  </sheetPr>
  <dimension ref="A1:K2"/>
  <sheetViews>
    <sheetView workbookViewId="0">
      <selection activeCell="I9" sqref="I9"/>
    </sheetView>
  </sheetViews>
  <sheetFormatPr baseColWidth="10" defaultColWidth="11.44140625" defaultRowHeight="14.4" x14ac:dyDescent="0.3"/>
  <cols>
    <col min="1" max="1" width="12.5546875" style="21" customWidth="1"/>
    <col min="2" max="2" width="25.6640625" style="21" customWidth="1"/>
    <col min="3" max="6" width="15.6640625" style="21" customWidth="1"/>
    <col min="7" max="8" width="17.6640625" style="21" customWidth="1"/>
    <col min="9" max="9" width="22.6640625" style="40" customWidth="1"/>
    <col min="10" max="10" width="22.6640625" customWidth="1"/>
  </cols>
  <sheetData>
    <row r="1" spans="1:11" ht="28.95" customHeight="1" x14ac:dyDescent="0.3">
      <c r="A1" s="16" t="s">
        <v>191</v>
      </c>
      <c r="B1" s="16" t="s">
        <v>35</v>
      </c>
      <c r="C1" s="16" t="s">
        <v>2</v>
      </c>
      <c r="D1" s="16" t="s">
        <v>1</v>
      </c>
      <c r="E1" s="16" t="s">
        <v>192</v>
      </c>
      <c r="F1" s="16" t="s">
        <v>193</v>
      </c>
      <c r="G1" s="16" t="s">
        <v>26</v>
      </c>
      <c r="H1" s="16" t="s">
        <v>194</v>
      </c>
      <c r="I1" s="16" t="s">
        <v>195</v>
      </c>
      <c r="J1" s="16" t="s">
        <v>196</v>
      </c>
      <c r="K1" s="19" t="s">
        <v>197</v>
      </c>
    </row>
    <row r="2" spans="1:11" x14ac:dyDescent="0.3">
      <c r="A2" s="37" t="str">
        <f>IF(C2&lt;&gt;"", "DM-" &amp; TEXT(9000 + ROW(A2) - 1, "0000"), "")</f>
        <v/>
      </c>
      <c r="B2" s="37"/>
      <c r="C2" s="37"/>
      <c r="D2" s="48"/>
      <c r="E2" s="38"/>
      <c r="F2" s="38"/>
      <c r="G2" s="37"/>
      <c r="H2" s="39"/>
      <c r="I2" s="39" t="str">
        <f>IF(B2="", "",H2+F2)</f>
        <v/>
      </c>
      <c r="J2" s="37"/>
      <c r="K2" s="4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tabColor rgb="FF92D050"/>
  </sheetPr>
  <dimension ref="A1:E2"/>
  <sheetViews>
    <sheetView workbookViewId="0">
      <pane ySplit="1" topLeftCell="A2" activePane="bottomLeft" state="frozen"/>
      <selection activeCell="G20" sqref="G20"/>
      <selection pane="bottomLeft" activeCell="E2" sqref="E2"/>
    </sheetView>
  </sheetViews>
  <sheetFormatPr baseColWidth="10" defaultColWidth="8.88671875" defaultRowHeight="14.4" x14ac:dyDescent="0.3"/>
  <cols>
    <col min="1" max="1" width="11" style="1" customWidth="1"/>
    <col min="2" max="2" width="10" style="1" customWidth="1"/>
    <col min="3" max="3" width="27" style="5" customWidth="1"/>
    <col min="4" max="4" width="15" style="1" customWidth="1"/>
    <col min="5" max="5" width="60" style="6" customWidth="1"/>
  </cols>
  <sheetData>
    <row r="1" spans="1:5" x14ac:dyDescent="0.3">
      <c r="A1" s="8" t="s">
        <v>198</v>
      </c>
      <c r="B1" s="9" t="s">
        <v>1</v>
      </c>
      <c r="C1" s="8" t="s">
        <v>199</v>
      </c>
      <c r="D1" s="9" t="s">
        <v>200</v>
      </c>
      <c r="E1" s="10" t="s">
        <v>201</v>
      </c>
    </row>
    <row r="2" spans="1:5" x14ac:dyDescent="0.3">
      <c r="A2" s="1" t="str">
        <f>IF(B2&lt;&gt;"", "ANU-" &amp; TEXT(11000 + ROW(A2) - 1, "0000"), "")</f>
        <v/>
      </c>
      <c r="D2" s="4"/>
    </row>
  </sheetData>
  <phoneticPr fontId="8" type="noConversion"/>
  <pageMargins left="0.75" right="0.75" top="1" bottom="1" header="0.5" footer="0.5"/>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dimension ref="A1:I46"/>
  <sheetViews>
    <sheetView topLeftCell="B1" workbookViewId="0">
      <selection activeCell="D3" sqref="D3"/>
    </sheetView>
  </sheetViews>
  <sheetFormatPr baseColWidth="10" defaultColWidth="11.44140625" defaultRowHeight="14.4" x14ac:dyDescent="0.3"/>
  <cols>
    <col min="2" max="2" width="65.33203125" customWidth="1"/>
    <col min="3" max="3" width="21.33203125" customWidth="1"/>
    <col min="4" max="4" width="73" customWidth="1"/>
    <col min="7" max="7" width="17.88671875" customWidth="1"/>
    <col min="8" max="8" width="23.33203125" customWidth="1"/>
    <col min="9" max="9" width="34.33203125" customWidth="1"/>
  </cols>
  <sheetData>
    <row r="1" spans="1:9" x14ac:dyDescent="0.3">
      <c r="A1" t="str" cm="1">
        <f t="array" ref="A1">_xlfn.UNIQUE(tbl_Accidentes[AccidenteID])</f>
        <v/>
      </c>
      <c r="B1" t="str" cm="1">
        <f t="array" ref="B1:B40">_xlfn.UNIQUE(tbl_Trabajadores[Nombre])</f>
        <v>ALLCCAHUAMAN MISAICO MOISES</v>
      </c>
      <c r="C1" s="1" t="s">
        <v>57</v>
      </c>
      <c r="D1" t="s">
        <v>202</v>
      </c>
      <c r="E1" cm="1">
        <f t="array" ref="E1">_xlfn.UNIQUE(Tabla_Seguimiento_Vigilancia[Nombre])</f>
        <v>0</v>
      </c>
      <c r="F1" t="s">
        <v>203</v>
      </c>
      <c r="G1" t="s">
        <v>75</v>
      </c>
      <c r="H1" t="str" cm="1">
        <f t="array" ref="H1:H10">_xlfn.UNIQUE(G1:G46)</f>
        <v>Cabeza</v>
      </c>
      <c r="I1" t="str" cm="1">
        <f t="array" ref="I1:I11">_xlfn.UNIQUE(tbl_Trabajadores[Área])</f>
        <v>II.EE.- II.SS</v>
      </c>
    </row>
    <row r="2" spans="1:9" x14ac:dyDescent="0.3">
      <c r="B2" t="str">
        <v>AMPUDIA CORDOVA JORGE LUIS</v>
      </c>
      <c r="C2" s="1" t="s">
        <v>68</v>
      </c>
      <c r="D2" t="s">
        <v>288</v>
      </c>
      <c r="F2" t="s">
        <v>204</v>
      </c>
      <c r="G2" t="s">
        <v>75</v>
      </c>
      <c r="H2" t="str">
        <v>Torso Alto</v>
      </c>
      <c r="I2" t="str">
        <v>TOPOGRAFO</v>
      </c>
    </row>
    <row r="3" spans="1:9" x14ac:dyDescent="0.3">
      <c r="B3" t="str">
        <v>BELLIDO CHUCHON FRANK CRISTIAN</v>
      </c>
      <c r="C3" s="1" t="s">
        <v>69</v>
      </c>
      <c r="F3" t="s">
        <v>205</v>
      </c>
      <c r="G3" t="s">
        <v>75</v>
      </c>
      <c r="H3" t="str">
        <v>Torso Bajo</v>
      </c>
      <c r="I3" t="str">
        <v>STAFF</v>
      </c>
    </row>
    <row r="4" spans="1:9" x14ac:dyDescent="0.3">
      <c r="B4" t="str">
        <v>BOCANEGRA MAXIMO LUIS MIGUEL</v>
      </c>
      <c r="C4" s="1" t="s">
        <v>76</v>
      </c>
      <c r="F4" t="s">
        <v>206</v>
      </c>
      <c r="G4" t="s">
        <v>75</v>
      </c>
      <c r="H4" t="str">
        <v>Brazos</v>
      </c>
      <c r="I4" t="str">
        <v>CARPINTERO</v>
      </c>
    </row>
    <row r="5" spans="1:9" x14ac:dyDescent="0.3">
      <c r="B5" t="str">
        <v>CAINAMARI TAMANI SEGUNDO ARTEMINO</v>
      </c>
      <c r="C5" s="1" t="s">
        <v>78</v>
      </c>
      <c r="F5" t="s">
        <v>207</v>
      </c>
      <c r="G5" t="s">
        <v>75</v>
      </c>
      <c r="H5" t="str">
        <v>Codos</v>
      </c>
      <c r="I5" t="str">
        <v>LIMPIEZA</v>
      </c>
    </row>
    <row r="6" spans="1:9" x14ac:dyDescent="0.3">
      <c r="B6" t="str">
        <v>CALIXTO CORONEL IRIS NATALIA</v>
      </c>
      <c r="C6" s="1" t="s">
        <v>87</v>
      </c>
      <c r="F6" t="s">
        <v>208</v>
      </c>
      <c r="G6" t="s">
        <v>75</v>
      </c>
      <c r="H6" t="str">
        <v>Manos</v>
      </c>
      <c r="I6" t="str">
        <v>SINDICATO</v>
      </c>
    </row>
    <row r="7" spans="1:9" x14ac:dyDescent="0.3">
      <c r="B7" t="str">
        <v>CASTAMAN CHIOTTI JESUS MIGUEL</v>
      </c>
      <c r="C7" s="1" t="s">
        <v>90</v>
      </c>
      <c r="F7" t="s">
        <v>209</v>
      </c>
      <c r="G7" t="s">
        <v>75</v>
      </c>
      <c r="H7" t="str">
        <v>Muslos</v>
      </c>
      <c r="I7" t="str">
        <v>RIGGER</v>
      </c>
    </row>
    <row r="8" spans="1:9" x14ac:dyDescent="0.3">
      <c r="B8" t="str">
        <v>CORDOVA MARTEL PIERRE DARIO</v>
      </c>
      <c r="C8" s="1" t="s">
        <v>97</v>
      </c>
      <c r="F8" t="s">
        <v>210</v>
      </c>
      <c r="G8" t="s">
        <v>77</v>
      </c>
      <c r="H8" t="str">
        <v>Rodillas</v>
      </c>
      <c r="I8" t="str">
        <v>SSOMA</v>
      </c>
    </row>
    <row r="9" spans="1:9" x14ac:dyDescent="0.3">
      <c r="B9" t="str">
        <v>CRUZ HURCAYA, BRAYAN MARCOS</v>
      </c>
      <c r="C9" s="1" t="s">
        <v>99</v>
      </c>
      <c r="F9" t="s">
        <v>211</v>
      </c>
      <c r="G9" t="s">
        <v>77</v>
      </c>
      <c r="H9" t="str">
        <v>Pantorrilla</v>
      </c>
      <c r="I9" t="str">
        <v>CAPINTERIA</v>
      </c>
    </row>
    <row r="10" spans="1:9" x14ac:dyDescent="0.3">
      <c r="B10" t="str">
        <v>DELGADO RANGEL JAIR ALESSANDRO</v>
      </c>
      <c r="C10" s="1" t="s">
        <v>101</v>
      </c>
      <c r="F10" t="s">
        <v>212</v>
      </c>
      <c r="G10" t="s">
        <v>77</v>
      </c>
      <c r="H10" t="str">
        <v>Pies</v>
      </c>
      <c r="I10" t="str">
        <v>ALBAÑIL</v>
      </c>
    </row>
    <row r="11" spans="1:9" x14ac:dyDescent="0.3">
      <c r="B11" t="str">
        <v>ESTEBAN BERROSPI OLIVER HERNAN</v>
      </c>
      <c r="C11" s="1" t="s">
        <v>104</v>
      </c>
      <c r="F11" t="s">
        <v>213</v>
      </c>
      <c r="G11" t="s">
        <v>77</v>
      </c>
      <c r="I11" t="str">
        <v>ACERO</v>
      </c>
    </row>
    <row r="12" spans="1:9" x14ac:dyDescent="0.3">
      <c r="B12" t="str">
        <v>FERNANDEZ ACUÑA EMILIANO</v>
      </c>
      <c r="C12" s="1" t="s">
        <v>106</v>
      </c>
      <c r="F12" t="s">
        <v>214</v>
      </c>
      <c r="G12" t="s">
        <v>77</v>
      </c>
    </row>
    <row r="13" spans="1:9" x14ac:dyDescent="0.3">
      <c r="B13" t="str">
        <v>FLORES FLORES JEREMY CRISTHIAN</v>
      </c>
      <c r="C13" s="1" t="s">
        <v>108</v>
      </c>
      <c r="F13" t="s">
        <v>215</v>
      </c>
      <c r="G13" t="s">
        <v>86</v>
      </c>
    </row>
    <row r="14" spans="1:9" x14ac:dyDescent="0.3">
      <c r="B14" t="str">
        <v>FLORES MORI HOSMER JHIN</v>
      </c>
      <c r="C14" s="1"/>
      <c r="F14" t="s">
        <v>216</v>
      </c>
      <c r="G14" t="s">
        <v>86</v>
      </c>
    </row>
    <row r="15" spans="1:9" x14ac:dyDescent="0.3">
      <c r="B15" t="str">
        <v>GARCIA TORREJON TANIA PAOLA</v>
      </c>
      <c r="C15" s="1" t="s">
        <v>254</v>
      </c>
      <c r="F15" t="s">
        <v>217</v>
      </c>
      <c r="G15" t="s">
        <v>86</v>
      </c>
    </row>
    <row r="16" spans="1:9" hidden="1" x14ac:dyDescent="0.3">
      <c r="B16" t="str">
        <v>GOMEZ CHUCHON RUBEN</v>
      </c>
      <c r="C16" s="1">
        <v>2025</v>
      </c>
      <c r="F16" t="s">
        <v>218</v>
      </c>
      <c r="G16" t="s">
        <v>86</v>
      </c>
    </row>
    <row r="17" spans="2:7" x14ac:dyDescent="0.3">
      <c r="B17" t="str">
        <v>GUERRA TAPULLIMA TAYSON</v>
      </c>
      <c r="C17" s="1">
        <v>2026</v>
      </c>
      <c r="F17" t="s">
        <v>219</v>
      </c>
      <c r="G17" t="s">
        <v>86</v>
      </c>
    </row>
    <row r="18" spans="2:7" x14ac:dyDescent="0.3">
      <c r="B18" t="str">
        <v>GUEVARA PANURA JORGE ALBERTO</v>
      </c>
      <c r="C18" s="1">
        <v>2026</v>
      </c>
      <c r="F18" t="s">
        <v>220</v>
      </c>
      <c r="G18" t="s">
        <v>89</v>
      </c>
    </row>
    <row r="19" spans="2:7" x14ac:dyDescent="0.3">
      <c r="B19" t="str">
        <v>LAUPA BUITRON MARTIN</v>
      </c>
      <c r="C19" s="1">
        <v>2026</v>
      </c>
      <c r="F19" t="s">
        <v>221</v>
      </c>
      <c r="G19" t="s">
        <v>89</v>
      </c>
    </row>
    <row r="20" spans="2:7" x14ac:dyDescent="0.3">
      <c r="B20" t="str">
        <v>LIGAS CHAVEZ NESTOR EFRAIN</v>
      </c>
      <c r="F20" t="s">
        <v>222</v>
      </c>
      <c r="G20" t="s">
        <v>89</v>
      </c>
    </row>
    <row r="21" spans="2:7" x14ac:dyDescent="0.3">
      <c r="B21" t="str">
        <v>LLANCARI DELGADO ADRIEL GUSMAN</v>
      </c>
      <c r="F21" t="s">
        <v>223</v>
      </c>
      <c r="G21" t="s">
        <v>89</v>
      </c>
    </row>
    <row r="22" spans="2:7" x14ac:dyDescent="0.3">
      <c r="B22" t="str">
        <v>MARTINEZ SOTO LUIS FERNANDO</v>
      </c>
      <c r="F22" t="s">
        <v>224</v>
      </c>
      <c r="G22" t="s">
        <v>96</v>
      </c>
    </row>
    <row r="23" spans="2:7" x14ac:dyDescent="0.3">
      <c r="B23" t="str">
        <v>MOLLEDA CONZA BERTHA</v>
      </c>
      <c r="F23" t="s">
        <v>225</v>
      </c>
      <c r="G23" t="s">
        <v>96</v>
      </c>
    </row>
    <row r="24" spans="2:7" x14ac:dyDescent="0.3">
      <c r="B24" t="str">
        <v>MORENO NAVARRO JOSE FELIX</v>
      </c>
      <c r="F24" t="s">
        <v>226</v>
      </c>
      <c r="G24" t="s">
        <v>98</v>
      </c>
    </row>
    <row r="25" spans="2:7" x14ac:dyDescent="0.3">
      <c r="B25" t="str">
        <v>NAITO AQUINO SHAORI ZENAIDA</v>
      </c>
      <c r="F25" t="s">
        <v>227</v>
      </c>
      <c r="G25" t="s">
        <v>98</v>
      </c>
    </row>
    <row r="26" spans="2:7" x14ac:dyDescent="0.3">
      <c r="B26" t="str">
        <v>ORTIZ NAVARRO HILLIAMS DAVID</v>
      </c>
      <c r="F26" t="s">
        <v>228</v>
      </c>
      <c r="G26" t="s">
        <v>98</v>
      </c>
    </row>
    <row r="27" spans="2:7" x14ac:dyDescent="0.3">
      <c r="B27" t="str">
        <v>POCCO MACHACCA FREDE</v>
      </c>
      <c r="F27" t="s">
        <v>229</v>
      </c>
      <c r="G27" t="s">
        <v>98</v>
      </c>
    </row>
    <row r="28" spans="2:7" x14ac:dyDescent="0.3">
      <c r="B28" t="str">
        <v>QUIROZ GONZALES JOEL ADASS AARON</v>
      </c>
      <c r="F28" t="s">
        <v>230</v>
      </c>
      <c r="G28" t="s">
        <v>98</v>
      </c>
    </row>
    <row r="29" spans="2:7" x14ac:dyDescent="0.3">
      <c r="B29" t="str">
        <v>QUISPE GAVILAN ROBERT</v>
      </c>
      <c r="F29" t="s">
        <v>231</v>
      </c>
      <c r="G29" t="s">
        <v>100</v>
      </c>
    </row>
    <row r="30" spans="2:7" x14ac:dyDescent="0.3">
      <c r="B30" t="str">
        <v>RENGIFO PALOMINO CHRISTOPHER ALEXANDER</v>
      </c>
      <c r="F30" t="s">
        <v>232</v>
      </c>
      <c r="G30" t="s">
        <v>100</v>
      </c>
    </row>
    <row r="31" spans="2:7" x14ac:dyDescent="0.3">
      <c r="B31" t="str">
        <v>REYMUNDO REYNA GIANCARLOS</v>
      </c>
      <c r="F31" t="s">
        <v>233</v>
      </c>
      <c r="G31" t="s">
        <v>100</v>
      </c>
    </row>
    <row r="32" spans="2:7" x14ac:dyDescent="0.3">
      <c r="B32" t="str">
        <v>ROSALES BREÑA YSAAC SAMUEL</v>
      </c>
      <c r="F32" t="s">
        <v>234</v>
      </c>
      <c r="G32" t="s">
        <v>100</v>
      </c>
    </row>
    <row r="33" spans="2:7" x14ac:dyDescent="0.3">
      <c r="B33" t="str">
        <v>SAAVEDRA VALLEJOS PAOLA</v>
      </c>
      <c r="F33" t="s">
        <v>235</v>
      </c>
      <c r="G33" t="s">
        <v>100</v>
      </c>
    </row>
    <row r="34" spans="2:7" x14ac:dyDescent="0.3">
      <c r="B34" t="str">
        <v>SALAZAR LUCAS LUIS SANTOS</v>
      </c>
      <c r="F34" t="s">
        <v>236</v>
      </c>
      <c r="G34" t="s">
        <v>103</v>
      </c>
    </row>
    <row r="35" spans="2:7" x14ac:dyDescent="0.3">
      <c r="B35" t="str">
        <v>SANCHEZ ARGOMEDO YAMILETH FABIOLA</v>
      </c>
      <c r="F35" t="s">
        <v>237</v>
      </c>
      <c r="G35" t="s">
        <v>103</v>
      </c>
    </row>
    <row r="36" spans="2:7" x14ac:dyDescent="0.3">
      <c r="B36" t="str">
        <v>SANTIAGO AVALOS EDGAR JUNIOR</v>
      </c>
      <c r="F36" t="s">
        <v>238</v>
      </c>
      <c r="G36" t="s">
        <v>103</v>
      </c>
    </row>
    <row r="37" spans="2:7" x14ac:dyDescent="0.3">
      <c r="B37" t="str">
        <v>SULCA CHAVEZ JAVIER NICANOR</v>
      </c>
      <c r="F37" t="s">
        <v>239</v>
      </c>
      <c r="G37" t="s">
        <v>103</v>
      </c>
    </row>
    <row r="38" spans="2:7" x14ac:dyDescent="0.3">
      <c r="B38" t="str">
        <v>VARGAS GUZMAN PAULO ENRIQUE</v>
      </c>
      <c r="F38" t="s">
        <v>240</v>
      </c>
      <c r="G38" t="s">
        <v>105</v>
      </c>
    </row>
    <row r="39" spans="2:7" x14ac:dyDescent="0.3">
      <c r="B39" t="str">
        <v>VILCA GUTIERREZ LORENA</v>
      </c>
      <c r="F39" t="s">
        <v>241</v>
      </c>
      <c r="G39" t="s">
        <v>105</v>
      </c>
    </row>
    <row r="40" spans="2:7" x14ac:dyDescent="0.3">
      <c r="B40" t="str">
        <v>VILLARREAL GOMEZ ALEXANDER</v>
      </c>
      <c r="F40" t="s">
        <v>242</v>
      </c>
      <c r="G40" t="s">
        <v>105</v>
      </c>
    </row>
    <row r="41" spans="2:7" x14ac:dyDescent="0.3">
      <c r="F41" t="s">
        <v>243</v>
      </c>
      <c r="G41" t="s">
        <v>105</v>
      </c>
    </row>
    <row r="42" spans="2:7" x14ac:dyDescent="0.3">
      <c r="F42" t="s">
        <v>244</v>
      </c>
      <c r="G42" t="s">
        <v>107</v>
      </c>
    </row>
    <row r="43" spans="2:7" x14ac:dyDescent="0.3">
      <c r="F43" t="s">
        <v>245</v>
      </c>
      <c r="G43" t="s">
        <v>107</v>
      </c>
    </row>
    <row r="44" spans="2:7" x14ac:dyDescent="0.3">
      <c r="F44" t="s">
        <v>246</v>
      </c>
      <c r="G44" t="s">
        <v>107</v>
      </c>
    </row>
    <row r="45" spans="2:7" x14ac:dyDescent="0.3">
      <c r="F45" t="s">
        <v>247</v>
      </c>
      <c r="G45" t="s">
        <v>107</v>
      </c>
    </row>
    <row r="46" spans="2:7" x14ac:dyDescent="0.3">
      <c r="F46" t="s">
        <v>248</v>
      </c>
      <c r="G46" t="s">
        <v>107</v>
      </c>
    </row>
  </sheetData>
  <phoneticPr fontId="8" type="noConversion"/>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1</vt:i4>
      </vt:variant>
    </vt:vector>
  </HeadingPairs>
  <TitlesOfParts>
    <vt:vector size="17" baseType="lpstr">
      <vt:lpstr>Trabajadores</vt:lpstr>
      <vt:lpstr>Accidentes</vt:lpstr>
      <vt:lpstr>Atenciones</vt:lpstr>
      <vt:lpstr>Vacunaciones</vt:lpstr>
      <vt:lpstr>STATS</vt:lpstr>
      <vt:lpstr>DASHBOARD_ACCIDENTES</vt:lpstr>
      <vt:lpstr>DASHBOARD_TRABAJADORES</vt:lpstr>
      <vt:lpstr>Seguimiento_Accidentes</vt:lpstr>
      <vt:lpstr>Programaciones</vt:lpstr>
      <vt:lpstr>Historial_Trabajadores</vt:lpstr>
      <vt:lpstr>Capacitaciones</vt:lpstr>
      <vt:lpstr>VMO_Seguimiento</vt:lpstr>
      <vt:lpstr>Registro EMO</vt:lpstr>
      <vt:lpstr>Descansos_Medicos</vt:lpstr>
      <vt:lpstr>Anuncios</vt:lpstr>
      <vt:lpstr>ListasAuxiliares</vt:lpstr>
      <vt:lpstr>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u202111660 (Melgar Puertas, Jose Guillermo)</cp:lastModifiedBy>
  <cp:revision/>
  <dcterms:created xsi:type="dcterms:W3CDTF">2025-12-20T03:49:52Z</dcterms:created>
  <dcterms:modified xsi:type="dcterms:W3CDTF">2026-03-10T16:53:16Z</dcterms:modified>
  <cp:category/>
  <cp:contentStatus/>
</cp:coreProperties>
</file>