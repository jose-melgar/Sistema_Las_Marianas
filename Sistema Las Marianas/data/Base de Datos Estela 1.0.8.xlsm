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slicers/slicer2.xml" ContentType="application/vnd.ms-excel.slicer+xml"/>
  <Override PartName="/xl/slicers/slicer3.xml" ContentType="application/vnd.ms-excel.slicer+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5.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slicers/slicer4.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Usuario\Desktop\Sistema Las Marianas\data\"/>
    </mc:Choice>
  </mc:AlternateContent>
  <xr:revisionPtr revIDLastSave="0" documentId="13_ncr:1_{85C0CB0B-5749-42C6-94AE-0FB7766E2EF5}" xr6:coauthVersionLast="47" xr6:coauthVersionMax="47" xr10:uidLastSave="{00000000-0000-0000-0000-000000000000}"/>
  <bookViews>
    <workbookView xWindow="-108" yWindow="-108" windowWidth="23256" windowHeight="12456" tabRatio="862" firstSheet="4" activeTab="4" xr2:uid="{00000000-000D-0000-FFFF-FFFF00000000}"/>
  </bookViews>
  <sheets>
    <sheet name="Trabajadores" sheetId="1" r:id="rId1"/>
    <sheet name="Accidentes" sheetId="2" r:id="rId2"/>
    <sheet name="Atenciones" sheetId="3" r:id="rId3"/>
    <sheet name="Vacunaciones" sheetId="6" r:id="rId4"/>
    <sheet name="STATS" sheetId="16" r:id="rId5"/>
    <sheet name="DASHBOARD_ACCIDENTES" sheetId="19" r:id="rId6"/>
    <sheet name="DASHBOARD_TRABAJADORES" sheetId="21" r:id="rId7"/>
    <sheet name="Seguimiento_Accidentes" sheetId="4" r:id="rId8"/>
    <sheet name="Programaciones" sheetId="8" r:id="rId9"/>
    <sheet name="Historial_Trabajadores" sheetId="18" r:id="rId10"/>
    <sheet name="Capacitaciones" sheetId="17" r:id="rId11"/>
    <sheet name="VMO_Seguimiento" sheetId="14" r:id="rId12"/>
    <sheet name="Registro EMO" sheetId="9" r:id="rId13"/>
    <sheet name="Descansos_Medicos" sheetId="11" r:id="rId14"/>
    <sheet name="Anuncios" sheetId="12" r:id="rId15"/>
    <sheet name="ListasAuxiliares" sheetId="13" r:id="rId16"/>
  </sheets>
  <definedNames>
    <definedName name="_xlnm._FilterDatabase" localSheetId="9" hidden="1">Historial_Trabajadores!$A$1:$G$2</definedName>
    <definedName name="_xlnm._FilterDatabase" localSheetId="15" hidden="1">ListasAuxiliares!$C$15:$C$17</definedName>
    <definedName name="_xlnm._FilterDatabase" localSheetId="12" hidden="1">'Registro EMO'!$A$13:$H$232</definedName>
    <definedName name="_xlpm.act" hidden="1" xlm="1">#NAME?</definedName>
    <definedName name="_xlpm.anio_sel" hidden="1" xlm="1">#NAME?</definedName>
    <definedName name="_xlpm.area" hidden="1" xlm="1">#NAME?</definedName>
    <definedName name="_xlpm.conteo" hidden="1" xlm="1">#NAME?</definedName>
    <definedName name="_xlpm.conteos" hidden="1" xlm="1">#NAME?</definedName>
    <definedName name="_xlpm.d" hidden="1" xlm="1">#NAME?</definedName>
    <definedName name="_xlpm.dicc_f" hidden="1" xlm="1">#NAME?</definedName>
    <definedName name="_xlpm.dicc_g" hidden="1" xlm="1">#NAME?</definedName>
    <definedName name="_xlpm.dn" hidden="1" xlm="1">#NAME?</definedName>
    <definedName name="_xlpm.dni_acc" hidden="1" xlm="1">#NAME?</definedName>
    <definedName name="_xlpm.fil" hidden="1" xlm="1">#NAME?</definedName>
    <definedName name="_xlpm.id_h" hidden="1" xlm="1">#NAME?</definedName>
    <definedName name="_xlpm.list" hidden="1" xlm="1">#NAME?</definedName>
    <definedName name="_xlpm.lista" hidden="1" xlm="1">#NAME?</definedName>
    <definedName name="_xlpm.lista_areas" hidden="1" xlm="1">#NAME?</definedName>
    <definedName name="_xlpm.lista_descripciones" hidden="1" xlm="1">#NAME?</definedName>
    <definedName name="_xlpm.lista_dni" hidden="1" xlm="1">#NAME?</definedName>
    <definedName name="_xlpm.lista_mapeada" hidden="1" xlm="1">#NAME?</definedName>
    <definedName name="_xlpm.lista_perfiles" hidden="1" xlm="1">#NAME?</definedName>
    <definedName name="_xlpm.m" hidden="1" xlm="1">#NAME?</definedName>
    <definedName name="_xlpm.mes_num" hidden="1" xlm="1">#NAME?</definedName>
    <definedName name="_xlpm.o" hidden="1" xlm="1">#NAME?</definedName>
    <definedName name="_xlpm.obra_sel" hidden="1" xlm="1">#NAME?</definedName>
    <definedName name="_xlpm.p" hidden="1" xlm="1">#NAME?</definedName>
    <definedName name="_xlpm.perfiles_unicos" hidden="1" xlm="1">#NAME?</definedName>
    <definedName name="_xlpm.resultado" hidden="1" xlm="1">#NAME?</definedName>
    <definedName name="_xlpm.t" hidden="1" xlm="1">#NAME?</definedName>
    <definedName name="_xlpm.tp" hidden="1" xlm="1">#NAME?</definedName>
    <definedName name="_xlpm.u" hidden="1" xlm="1">#NAME?</definedName>
    <definedName name="_xlpm.ultima_fecha" hidden="1" xlm="1">#NAME?</definedName>
    <definedName name="_xlpm.ut" hidden="1" xlm="1">#NAME?</definedName>
    <definedName name="_xlpm.x" hidden="1" xlm="1">#NAME?</definedName>
    <definedName name="MES">ListasAuxiliares!$C:$C</definedName>
    <definedName name="SegmentaciónDeDatos_AÑO">#N/A</definedName>
    <definedName name="SegmentaciónDeDatos_MES">#N/A</definedName>
    <definedName name="SegmentaciónDeDatos_OBRA1">#N/A</definedName>
  </definedNames>
  <calcPr calcId="191028"/>
  <pivotCaches>
    <pivotCache cacheId="0" r:id="rId17"/>
    <pivotCache cacheId="1" r:id="rId18"/>
    <pivotCache cacheId="2" r:id="rId19"/>
  </pivotCaches>
  <extLs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9" i="16" l="1" a="1"/>
  <c r="I9" i="16" s="1"/>
  <c r="G8" i="16"/>
  <c r="J7" i="16" a="1"/>
  <c r="J7" i="16" s="1"/>
  <c r="I7" i="16" a="1"/>
  <c r="I7" i="16" s="1"/>
  <c r="H7" i="16" a="1"/>
  <c r="H7" i="16" s="1"/>
  <c r="G7" i="16" a="1"/>
  <c r="G7" i="16" s="1"/>
  <c r="B5" i="16" a="1"/>
  <c r="B5" i="16" s="1"/>
  <c r="F16" i="16" a="1"/>
  <c r="F16" i="16" s="1"/>
  <c r="F15" i="16" a="1"/>
  <c r="F15" i="16" s="1"/>
  <c r="F14" i="16" a="1"/>
  <c r="F14" i="16" s="1"/>
  <c r="F13" i="16" a="1"/>
  <c r="F13" i="16" s="1"/>
  <c r="F12" i="16" a="1"/>
  <c r="F12" i="16" s="1"/>
  <c r="F11" i="16" a="1"/>
  <c r="F11" i="16" s="1"/>
  <c r="F10" i="16" a="1"/>
  <c r="F10" i="16" s="1"/>
  <c r="F9" i="16" a="1"/>
  <c r="F9" i="16" s="1"/>
  <c r="F8" i="16" a="1"/>
  <c r="F8" i="16" s="1"/>
  <c r="F7" i="16" a="1"/>
  <c r="F7" i="16" s="1"/>
  <c r="F6" i="16" a="1"/>
  <c r="F6" i="16" s="1"/>
  <c r="F5" i="16" a="1"/>
  <c r="F5" i="16" s="1"/>
  <c r="C16" i="16" a="1"/>
  <c r="C16" i="16" s="1"/>
  <c r="C17" i="16" s="1"/>
  <c r="C15" i="16" a="1"/>
  <c r="C15" i="16" s="1"/>
  <c r="C14" i="16" a="1"/>
  <c r="C14" i="16" s="1"/>
  <c r="C13" i="16" a="1"/>
  <c r="C13" i="16" s="1"/>
  <c r="C12" i="16" a="1"/>
  <c r="C12" i="16" s="1"/>
  <c r="C11" i="16" a="1"/>
  <c r="C11" i="16" s="1"/>
  <c r="C10" i="16" a="1"/>
  <c r="C10" i="16" s="1"/>
  <c r="C9" i="16" a="1"/>
  <c r="C9" i="16" s="1"/>
  <c r="C8" i="16" a="1"/>
  <c r="C8" i="16" s="1"/>
  <c r="C7" i="16" a="1"/>
  <c r="C7" i="16" s="1"/>
  <c r="C6" i="16" a="1"/>
  <c r="C6" i="16" s="1"/>
  <c r="C5" i="16" a="1"/>
  <c r="C5" i="16" s="1"/>
  <c r="B16" i="16" a="1"/>
  <c r="B16" i="16" s="1"/>
  <c r="B15" i="16" a="1"/>
  <c r="B15" i="16" s="1"/>
  <c r="B14" i="16" a="1"/>
  <c r="B14" i="16" s="1"/>
  <c r="B13" i="16" a="1"/>
  <c r="B13" i="16" s="1"/>
  <c r="B12" i="16" a="1"/>
  <c r="B12" i="16" s="1"/>
  <c r="B11" i="16" a="1"/>
  <c r="B11" i="16" s="1"/>
  <c r="B10" i="16" a="1"/>
  <c r="B10" i="16" s="1"/>
  <c r="B9" i="16" a="1"/>
  <c r="B9" i="16" s="1"/>
  <c r="B8" i="16" a="1"/>
  <c r="B8" i="16" s="1"/>
  <c r="B7" i="16" a="1"/>
  <c r="B7" i="16" s="1"/>
  <c r="B6" i="16" a="1"/>
  <c r="B6" i="16" s="1"/>
  <c r="P2" i="1" l="1" a="1"/>
  <c r="P2" i="1" s="1"/>
  <c r="P3" i="1" a="1"/>
  <c r="P3" i="1" s="1"/>
  <c r="P4" i="1" a="1"/>
  <c r="P4" i="1" s="1"/>
  <c r="P5" i="1" a="1"/>
  <c r="P5" i="1" s="1"/>
  <c r="P6" i="1" a="1"/>
  <c r="P6" i="1" s="1"/>
  <c r="P7" i="1" a="1"/>
  <c r="P7" i="1" s="1"/>
  <c r="P8" i="1" a="1"/>
  <c r="P8" i="1" s="1"/>
  <c r="P9" i="1" a="1"/>
  <c r="P9" i="1" s="1"/>
  <c r="P10" i="1" a="1"/>
  <c r="P10" i="1" s="1"/>
  <c r="P11" i="1" a="1"/>
  <c r="P11" i="1" s="1"/>
  <c r="P12" i="1" a="1"/>
  <c r="P12" i="1" s="1"/>
  <c r="P13" i="1" a="1"/>
  <c r="P13" i="1" s="1"/>
  <c r="P14" i="1" a="1"/>
  <c r="P14" i="1" s="1"/>
  <c r="P15" i="1" a="1"/>
  <c r="P15" i="1" s="1"/>
  <c r="P16" i="1" a="1"/>
  <c r="P16" i="1" s="1"/>
  <c r="P17" i="1" a="1"/>
  <c r="P17" i="1" s="1"/>
  <c r="P18" i="1" a="1"/>
  <c r="P18" i="1" s="1"/>
  <c r="P19" i="1" a="1"/>
  <c r="P19" i="1" s="1"/>
  <c r="P20" i="1" a="1"/>
  <c r="P20" i="1" s="1"/>
  <c r="P21" i="1" a="1"/>
  <c r="P21" i="1" s="1"/>
  <c r="P22" i="1" a="1"/>
  <c r="P22" i="1" s="1"/>
  <c r="P23" i="1" a="1"/>
  <c r="P23" i="1" s="1"/>
  <c r="P24" i="1" a="1"/>
  <c r="P24" i="1" s="1"/>
  <c r="P25" i="1" a="1"/>
  <c r="P25" i="1" s="1"/>
  <c r="P26" i="1" a="1"/>
  <c r="P26" i="1" s="1"/>
  <c r="P27" i="1" a="1"/>
  <c r="P27" i="1" s="1"/>
  <c r="P28" i="1" a="1"/>
  <c r="P28" i="1" s="1"/>
  <c r="P29" i="1" a="1"/>
  <c r="P29" i="1"/>
  <c r="P30" i="1" a="1"/>
  <c r="P30" i="1" s="1"/>
  <c r="P31" i="1" a="1"/>
  <c r="P31" i="1" s="1"/>
  <c r="P32" i="1" a="1"/>
  <c r="P32" i="1" s="1"/>
  <c r="P33" i="1" a="1"/>
  <c r="P33" i="1" s="1"/>
  <c r="P34" i="1" a="1"/>
  <c r="P34" i="1" s="1"/>
  <c r="P35" i="1" a="1"/>
  <c r="P35" i="1" s="1"/>
  <c r="P36" i="1" a="1"/>
  <c r="P36" i="1" s="1"/>
  <c r="P37" i="1" a="1"/>
  <c r="P37" i="1" s="1"/>
  <c r="P38" i="1" a="1"/>
  <c r="P38" i="1" s="1"/>
  <c r="P39" i="1" a="1"/>
  <c r="P39" i="1" s="1"/>
  <c r="P40" i="1" a="1"/>
  <c r="P40" i="1" s="1"/>
  <c r="P41" i="1" a="1"/>
  <c r="P41" i="1" s="1"/>
  <c r="P42" i="1" a="1"/>
  <c r="P42" i="1" s="1"/>
  <c r="P43" i="1" a="1"/>
  <c r="P43" i="1" s="1"/>
  <c r="P44" i="1" a="1"/>
  <c r="P44" i="1" s="1"/>
  <c r="P45" i="1" a="1"/>
  <c r="P45" i="1" s="1"/>
  <c r="P46" i="1" a="1"/>
  <c r="P46" i="1" s="1"/>
  <c r="P47" i="1" a="1"/>
  <c r="P47" i="1" s="1"/>
  <c r="P48" i="1" a="1"/>
  <c r="P48" i="1" s="1"/>
  <c r="P49" i="1" a="1"/>
  <c r="P49" i="1" s="1"/>
  <c r="P50" i="1" a="1"/>
  <c r="P50" i="1" s="1"/>
  <c r="P51" i="1" a="1"/>
  <c r="P51" i="1" s="1"/>
  <c r="P52" i="1" a="1"/>
  <c r="P52" i="1" s="1"/>
  <c r="P53" i="1" a="1"/>
  <c r="P53" i="1"/>
  <c r="P54" i="1" a="1"/>
  <c r="P54" i="1" s="1"/>
  <c r="P55" i="1" a="1"/>
  <c r="P55" i="1" s="1"/>
  <c r="P56" i="1" a="1"/>
  <c r="P56" i="1" s="1"/>
  <c r="P57" i="1" a="1"/>
  <c r="P57" i="1" s="1"/>
  <c r="P58" i="1" a="1"/>
  <c r="P58" i="1" s="1"/>
  <c r="P59" i="1" a="1"/>
  <c r="P59" i="1" s="1"/>
  <c r="P60" i="1" a="1"/>
  <c r="P60" i="1" s="1"/>
  <c r="P61" i="1" a="1"/>
  <c r="P61" i="1"/>
  <c r="P62" i="1" a="1"/>
  <c r="P62" i="1" s="1"/>
  <c r="P63" i="1" a="1"/>
  <c r="P63" i="1" s="1"/>
  <c r="P64" i="1" a="1"/>
  <c r="P64" i="1" s="1"/>
  <c r="P65" i="1" a="1"/>
  <c r="P65" i="1" s="1"/>
  <c r="P66" i="1" a="1"/>
  <c r="P66" i="1" s="1"/>
  <c r="P67" i="1" a="1"/>
  <c r="P67" i="1" s="1"/>
  <c r="P68" i="1" a="1"/>
  <c r="P68" i="1" s="1"/>
  <c r="P69" i="1" a="1"/>
  <c r="P69" i="1" s="1"/>
  <c r="P70" i="1" a="1"/>
  <c r="P70" i="1" s="1"/>
  <c r="P71" i="1" a="1"/>
  <c r="P71" i="1" s="1"/>
  <c r="P72" i="1" a="1"/>
  <c r="P72" i="1" s="1"/>
  <c r="P73" i="1" a="1"/>
  <c r="P73" i="1" s="1"/>
  <c r="P74" i="1" a="1"/>
  <c r="P74" i="1" s="1"/>
  <c r="P75" i="1" a="1"/>
  <c r="P75" i="1" s="1"/>
  <c r="P76" i="1" a="1"/>
  <c r="P76" i="1" s="1"/>
  <c r="P77" i="1" a="1"/>
  <c r="P77" i="1" s="1"/>
  <c r="P78" i="1" a="1"/>
  <c r="P78" i="1" s="1"/>
  <c r="P79" i="1" a="1"/>
  <c r="P79" i="1" s="1"/>
  <c r="P80" i="1" a="1"/>
  <c r="P80" i="1" s="1"/>
  <c r="P81" i="1" a="1"/>
  <c r="P81" i="1" s="1"/>
  <c r="P82" i="1" a="1"/>
  <c r="P82" i="1" s="1"/>
  <c r="P83" i="1" a="1"/>
  <c r="P83" i="1" s="1"/>
  <c r="P84" i="1" a="1"/>
  <c r="P84" i="1" s="1"/>
  <c r="P85" i="1" a="1"/>
  <c r="P85" i="1" s="1"/>
  <c r="P86" i="1" a="1"/>
  <c r="P86" i="1" s="1"/>
  <c r="P87" i="1" a="1"/>
  <c r="P87" i="1" s="1"/>
  <c r="P88" i="1" a="1"/>
  <c r="P88" i="1" s="1"/>
  <c r="P89" i="1" a="1"/>
  <c r="P89" i="1" s="1"/>
  <c r="P90" i="1" a="1"/>
  <c r="P90" i="1" s="1"/>
  <c r="P91" i="1" a="1"/>
  <c r="P91" i="1" s="1"/>
  <c r="P92" i="1" a="1"/>
  <c r="P92" i="1" s="1"/>
  <c r="P93" i="1" a="1"/>
  <c r="P93" i="1" s="1"/>
  <c r="P94" i="1" a="1"/>
  <c r="P94" i="1" s="1"/>
  <c r="P95" i="1" a="1"/>
  <c r="P95" i="1" s="1"/>
  <c r="P96" i="1" a="1"/>
  <c r="P96" i="1" s="1"/>
  <c r="P97" i="1" a="1"/>
  <c r="P97" i="1" s="1"/>
  <c r="P98" i="1" a="1"/>
  <c r="P98" i="1" s="1"/>
  <c r="P99" i="1" a="1"/>
  <c r="P99" i="1" s="1"/>
  <c r="P100" i="1" a="1"/>
  <c r="P100" i="1" s="1"/>
  <c r="P101" i="1" a="1"/>
  <c r="P101" i="1" s="1"/>
  <c r="P102" i="1" a="1"/>
  <c r="P102" i="1" s="1"/>
  <c r="P103" i="1" a="1"/>
  <c r="P103" i="1" s="1"/>
  <c r="P104" i="1" a="1"/>
  <c r="P104" i="1" s="1"/>
  <c r="P105" i="1" a="1"/>
  <c r="P105" i="1" s="1"/>
  <c r="P106" i="1" a="1"/>
  <c r="P106" i="1" s="1"/>
  <c r="P107" i="1" a="1"/>
  <c r="P107" i="1" s="1"/>
  <c r="P108" i="1" a="1"/>
  <c r="P108" i="1" s="1"/>
  <c r="P109" i="1" a="1"/>
  <c r="P109" i="1" s="1"/>
  <c r="P110" i="1" a="1"/>
  <c r="P110" i="1" s="1"/>
  <c r="P111" i="1" a="1"/>
  <c r="P111" i="1" s="1"/>
  <c r="P112" i="1" a="1"/>
  <c r="P112" i="1" s="1"/>
  <c r="P113" i="1" a="1"/>
  <c r="P113" i="1" s="1"/>
  <c r="P114" i="1" a="1"/>
  <c r="P114" i="1" s="1"/>
  <c r="P115" i="1" a="1"/>
  <c r="P115" i="1" s="1"/>
  <c r="P116" i="1" a="1"/>
  <c r="P116" i="1" s="1"/>
  <c r="P117" i="1" a="1"/>
  <c r="P117" i="1" s="1"/>
  <c r="P118" i="1" a="1"/>
  <c r="P118" i="1" s="1"/>
  <c r="N18" i="1" l="1" a="1"/>
  <c r="N18" i="1" s="1"/>
  <c r="A232" i="9"/>
  <c r="A231" i="9"/>
  <c r="A230" i="9"/>
  <c r="A229" i="9"/>
  <c r="A228" i="9"/>
  <c r="A227" i="9"/>
  <c r="A226" i="9"/>
  <c r="A225" i="9"/>
  <c r="A224" i="9"/>
  <c r="A223" i="9"/>
  <c r="A222" i="9"/>
  <c r="A221" i="9"/>
  <c r="A220" i="9"/>
  <c r="A219" i="9"/>
  <c r="A218" i="9"/>
  <c r="A217" i="9"/>
  <c r="A216" i="9"/>
  <c r="A215" i="9"/>
  <c r="A214" i="9"/>
  <c r="A213" i="9"/>
  <c r="A212" i="9"/>
  <c r="A211" i="9"/>
  <c r="A210" i="9"/>
  <c r="A209" i="9"/>
  <c r="A208" i="9"/>
  <c r="A207" i="9"/>
  <c r="A206" i="9"/>
  <c r="A205" i="9"/>
  <c r="A204" i="9"/>
  <c r="A203" i="9"/>
  <c r="A202" i="9"/>
  <c r="A201" i="9"/>
  <c r="A200" i="9"/>
  <c r="A199" i="9"/>
  <c r="A198" i="9"/>
  <c r="A197" i="9"/>
  <c r="A196" i="9"/>
  <c r="A195" i="9"/>
  <c r="A194" i="9"/>
  <c r="A193" i="9"/>
  <c r="A192" i="9"/>
  <c r="A191" i="9"/>
  <c r="A190" i="9"/>
  <c r="A189" i="9"/>
  <c r="A188" i="9"/>
  <c r="A187" i="9"/>
  <c r="A186" i="9"/>
  <c r="A185" i="9"/>
  <c r="A184" i="9"/>
  <c r="A183" i="9"/>
  <c r="A182" i="9"/>
  <c r="A181" i="9"/>
  <c r="A180" i="9"/>
  <c r="A179" i="9"/>
  <c r="A178" i="9"/>
  <c r="A177" i="9"/>
  <c r="A176" i="9"/>
  <c r="A175" i="9"/>
  <c r="A174" i="9"/>
  <c r="A173" i="9"/>
  <c r="A172" i="9"/>
  <c r="A171" i="9"/>
  <c r="A170" i="9"/>
  <c r="A169" i="9"/>
  <c r="A168" i="9"/>
  <c r="A167" i="9"/>
  <c r="A166" i="9"/>
  <c r="A165" i="9"/>
  <c r="A164" i="9"/>
  <c r="A163" i="9"/>
  <c r="A162" i="9"/>
  <c r="A161" i="9"/>
  <c r="A160" i="9"/>
  <c r="A159" i="9"/>
  <c r="A158" i="9"/>
  <c r="A157" i="9"/>
  <c r="A156" i="9"/>
  <c r="A155" i="9"/>
  <c r="A154" i="9"/>
  <c r="A153" i="9"/>
  <c r="A152" i="9"/>
  <c r="A151" i="9"/>
  <c r="A150" i="9"/>
  <c r="A149" i="9"/>
  <c r="A148" i="9"/>
  <c r="A147" i="9"/>
  <c r="A146" i="9"/>
  <c r="A145" i="9"/>
  <c r="A144" i="9"/>
  <c r="A143" i="9"/>
  <c r="A142" i="9"/>
  <c r="A141" i="9"/>
  <c r="A140" i="9"/>
  <c r="A139" i="9"/>
  <c r="A138" i="9"/>
  <c r="A137" i="9"/>
  <c r="A136" i="9"/>
  <c r="A135" i="9"/>
  <c r="A134" i="9"/>
  <c r="A133" i="9"/>
  <c r="A132" i="9"/>
  <c r="A131" i="9"/>
  <c r="A130" i="9"/>
  <c r="T3" i="1"/>
  <c r="T4" i="1"/>
  <c r="T5" i="1"/>
  <c r="T6" i="1"/>
  <c r="T2"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O2" i="1" l="1"/>
  <c r="A2" i="1"/>
  <c r="A158" i="17"/>
  <c r="A157" i="17"/>
  <c r="A156" i="17"/>
  <c r="A155" i="17"/>
  <c r="A154" i="17"/>
  <c r="A153" i="17"/>
  <c r="A152" i="17"/>
  <c r="A151" i="17"/>
  <c r="A150" i="17"/>
  <c r="A149" i="17"/>
  <c r="A148" i="17"/>
  <c r="A147" i="17"/>
  <c r="A146" i="17"/>
  <c r="A145" i="17"/>
  <c r="A144" i="17"/>
  <c r="A143" i="17"/>
  <c r="A142" i="17"/>
  <c r="A141" i="17"/>
  <c r="A140" i="17"/>
  <c r="A139" i="17"/>
  <c r="A138" i="17"/>
  <c r="A137" i="17"/>
  <c r="A136" i="17"/>
  <c r="A135" i="17"/>
  <c r="A134" i="17"/>
  <c r="A133" i="17"/>
  <c r="A132" i="17"/>
  <c r="A131" i="17"/>
  <c r="A130" i="17"/>
  <c r="A129" i="17"/>
  <c r="A128" i="17"/>
  <c r="A127" i="17"/>
  <c r="A126" i="17"/>
  <c r="A125" i="17"/>
  <c r="A124" i="17"/>
  <c r="A123" i="17"/>
  <c r="A122" i="17"/>
  <c r="A121" i="17"/>
  <c r="A120" i="17"/>
  <c r="A119" i="17"/>
  <c r="A118" i="17"/>
  <c r="A117" i="17"/>
  <c r="A116" i="17"/>
  <c r="A115" i="17"/>
  <c r="A114" i="17"/>
  <c r="A113" i="17"/>
  <c r="A112" i="17"/>
  <c r="A111" i="17"/>
  <c r="A110" i="17"/>
  <c r="A109" i="17"/>
  <c r="A108" i="17"/>
  <c r="A107" i="17"/>
  <c r="A106" i="17"/>
  <c r="A105" i="17"/>
  <c r="A104" i="17"/>
  <c r="A103" i="17"/>
  <c r="A102" i="17"/>
  <c r="A101" i="17"/>
  <c r="A100" i="17"/>
  <c r="A99" i="17"/>
  <c r="A98" i="17"/>
  <c r="A97" i="17"/>
  <c r="A96" i="17"/>
  <c r="A95" i="17"/>
  <c r="A94" i="17"/>
  <c r="A93" i="17"/>
  <c r="A92" i="17"/>
  <c r="A91" i="17"/>
  <c r="A90" i="17"/>
  <c r="A89" i="17"/>
  <c r="A88" i="17"/>
  <c r="A87" i="17"/>
  <c r="A86" i="17"/>
  <c r="A85" i="17"/>
  <c r="A84" i="17"/>
  <c r="A83" i="17"/>
  <c r="A82" i="17"/>
  <c r="A81" i="17"/>
  <c r="A80" i="17"/>
  <c r="A79" i="17"/>
  <c r="A78" i="17"/>
  <c r="A77" i="17"/>
  <c r="A76" i="17"/>
  <c r="A75" i="17"/>
  <c r="A74" i="17"/>
  <c r="A73" i="17"/>
  <c r="A72" i="17"/>
  <c r="A71" i="17"/>
  <c r="A70" i="17"/>
  <c r="A69" i="17"/>
  <c r="A68" i="17"/>
  <c r="A67" i="17"/>
  <c r="A66" i="17"/>
  <c r="A65" i="17"/>
  <c r="A64" i="17"/>
  <c r="A63" i="17"/>
  <c r="A62" i="17"/>
  <c r="A61" i="17"/>
  <c r="A60" i="17"/>
  <c r="A59" i="17"/>
  <c r="A58" i="17"/>
  <c r="A57" i="17"/>
  <c r="A56" i="17"/>
  <c r="A55" i="17"/>
  <c r="A54" i="17"/>
  <c r="A53" i="17"/>
  <c r="A52" i="17"/>
  <c r="A51" i="17"/>
  <c r="A50" i="17"/>
  <c r="A49" i="17"/>
  <c r="A48" i="17"/>
  <c r="A47" i="17"/>
  <c r="A46" i="17"/>
  <c r="A45" i="17"/>
  <c r="A44" i="17"/>
  <c r="A43" i="17"/>
  <c r="A42" i="17"/>
  <c r="E64" i="1" l="1"/>
  <c r="E54" i="1"/>
  <c r="M64" i="1" a="1"/>
  <c r="M64" i="1" s="1"/>
  <c r="Q64" i="1" s="1"/>
  <c r="M54" i="1" a="1"/>
  <c r="M54" i="1" s="1"/>
  <c r="Q54" i="1" s="1"/>
  <c r="N64" i="1" a="1"/>
  <c r="N64" i="1" s="1"/>
  <c r="N54" i="1" a="1"/>
  <c r="N54" i="1" s="1"/>
  <c r="O64" i="1"/>
  <c r="O54" i="1"/>
  <c r="A81" i="1"/>
  <c r="A64" i="1"/>
  <c r="A54" i="1"/>
  <c r="E81" i="1"/>
  <c r="M81" i="1" a="1"/>
  <c r="M81" i="1" s="1"/>
  <c r="Q81" i="1" s="1"/>
  <c r="N81" i="1" a="1"/>
  <c r="N81" i="1" s="1"/>
  <c r="O81" i="1"/>
  <c r="A41" i="17"/>
  <c r="A40" i="17"/>
  <c r="A39" i="17"/>
  <c r="A38" i="17"/>
  <c r="A37" i="17"/>
  <c r="A36" i="17"/>
  <c r="A35" i="17"/>
  <c r="A34" i="17"/>
  <c r="A33" i="17"/>
  <c r="A32" i="17"/>
  <c r="A31" i="17"/>
  <c r="A30" i="17"/>
  <c r="A29" i="17"/>
  <c r="A28" i="17"/>
  <c r="A27" i="17"/>
  <c r="A26" i="17"/>
  <c r="A25" i="17"/>
  <c r="A24" i="17"/>
  <c r="A23" i="17"/>
  <c r="A22" i="17"/>
  <c r="A21" i="17"/>
  <c r="A20" i="17"/>
  <c r="A19" i="17"/>
  <c r="A18" i="17"/>
  <c r="A17" i="17"/>
  <c r="A16" i="17"/>
  <c r="A15" i="17"/>
  <c r="A14" i="17"/>
  <c r="A13" i="17"/>
  <c r="A12" i="17"/>
  <c r="A11" i="17"/>
  <c r="A10" i="17"/>
  <c r="A9" i="17"/>
  <c r="A8" i="17"/>
  <c r="A7" i="17"/>
  <c r="A6" i="17"/>
  <c r="A5" i="17"/>
  <c r="A4" i="17"/>
  <c r="A3" i="17"/>
  <c r="A3" i="1" l="1"/>
  <c r="A4" i="1"/>
  <c r="A5" i="1"/>
  <c r="A6" i="1"/>
  <c r="A7" i="1"/>
  <c r="A8" i="1"/>
  <c r="A9" i="1"/>
  <c r="A10" i="1"/>
  <c r="A11" i="1"/>
  <c r="A12" i="1"/>
  <c r="A13" i="1"/>
  <c r="A14" i="1"/>
  <c r="A15" i="1"/>
  <c r="A17" i="1"/>
  <c r="A16"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5" i="1"/>
  <c r="A56" i="1"/>
  <c r="A57" i="1"/>
  <c r="A58" i="1"/>
  <c r="A59" i="1"/>
  <c r="A60" i="1"/>
  <c r="A61" i="1"/>
  <c r="A62" i="1"/>
  <c r="A63" i="1"/>
  <c r="A65" i="1"/>
  <c r="A66" i="1"/>
  <c r="A67" i="1"/>
  <c r="A68" i="1"/>
  <c r="A69" i="1"/>
  <c r="A70" i="1"/>
  <c r="A71" i="1"/>
  <c r="A72" i="1"/>
  <c r="A73" i="1"/>
  <c r="A74" i="1"/>
  <c r="A75" i="1"/>
  <c r="A76" i="1"/>
  <c r="A77" i="1"/>
  <c r="A78" i="1"/>
  <c r="A79" i="1"/>
  <c r="A80" i="1"/>
  <c r="A82" i="1"/>
  <c r="A83" i="1"/>
  <c r="A84" i="1"/>
  <c r="A85" i="1"/>
  <c r="A86" i="1"/>
  <c r="A87" i="1"/>
  <c r="A88" i="1"/>
  <c r="A89" i="1"/>
  <c r="A91" i="1"/>
  <c r="A90"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E3" i="1"/>
  <c r="E4" i="1"/>
  <c r="E5" i="1"/>
  <c r="E6" i="1"/>
  <c r="E7" i="1"/>
  <c r="E8" i="1"/>
  <c r="E9" i="1"/>
  <c r="E10" i="1"/>
  <c r="E11" i="1"/>
  <c r="E12" i="1"/>
  <c r="E13" i="1"/>
  <c r="E14" i="1"/>
  <c r="E15" i="1"/>
  <c r="E17" i="1"/>
  <c r="E16"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5" i="1"/>
  <c r="E56" i="1"/>
  <c r="E57" i="1"/>
  <c r="E58" i="1"/>
  <c r="E59" i="1"/>
  <c r="E60" i="1"/>
  <c r="E61" i="1"/>
  <c r="E62" i="1"/>
  <c r="E63" i="1"/>
  <c r="E65" i="1"/>
  <c r="E66" i="1"/>
  <c r="E67" i="1"/>
  <c r="E68" i="1"/>
  <c r="E69" i="1"/>
  <c r="E70" i="1"/>
  <c r="E71" i="1"/>
  <c r="E72" i="1"/>
  <c r="E73" i="1"/>
  <c r="E74" i="1"/>
  <c r="E75" i="1"/>
  <c r="E76" i="1"/>
  <c r="E77" i="1"/>
  <c r="E78" i="1"/>
  <c r="E79" i="1"/>
  <c r="E80" i="1"/>
  <c r="E82" i="1"/>
  <c r="E83" i="1"/>
  <c r="E84" i="1"/>
  <c r="E85" i="1"/>
  <c r="E86" i="1"/>
  <c r="E87" i="1"/>
  <c r="E88" i="1"/>
  <c r="E89" i="1"/>
  <c r="E91" i="1"/>
  <c r="E90"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M3" i="1" a="1"/>
  <c r="M3" i="1" s="1"/>
  <c r="Q3" i="1" s="1"/>
  <c r="M4" i="1" a="1"/>
  <c r="M4" i="1" s="1"/>
  <c r="Q4" i="1" s="1"/>
  <c r="M5" i="1" a="1"/>
  <c r="M5" i="1" s="1"/>
  <c r="Q5" i="1" s="1"/>
  <c r="M6" i="1" a="1"/>
  <c r="M6" i="1" s="1"/>
  <c r="Q6" i="1" s="1"/>
  <c r="M7" i="1" a="1"/>
  <c r="M7" i="1" s="1"/>
  <c r="Q7" i="1" s="1"/>
  <c r="M8" i="1" a="1"/>
  <c r="M8" i="1" s="1"/>
  <c r="Q8" i="1" s="1"/>
  <c r="M9" i="1" a="1"/>
  <c r="M9" i="1" s="1"/>
  <c r="Q9" i="1" s="1"/>
  <c r="M10" i="1" a="1"/>
  <c r="M10" i="1" s="1"/>
  <c r="M11" i="1" a="1"/>
  <c r="M11" i="1" s="1"/>
  <c r="M12" i="1" a="1"/>
  <c r="M12" i="1" s="1"/>
  <c r="M13" i="1" a="1"/>
  <c r="M13" i="1" s="1"/>
  <c r="M14" i="1" a="1"/>
  <c r="M14" i="1" s="1"/>
  <c r="Q14" i="1" s="1"/>
  <c r="M15" i="1" a="1"/>
  <c r="M15" i="1" s="1"/>
  <c r="Q15" i="1" s="1"/>
  <c r="M17" i="1" a="1"/>
  <c r="M17" i="1" s="1"/>
  <c r="Q17" i="1" s="1"/>
  <c r="M16" i="1" a="1"/>
  <c r="M16" i="1" s="1"/>
  <c r="Q16" i="1" s="1"/>
  <c r="M18" i="1" a="1"/>
  <c r="M18" i="1" s="1"/>
  <c r="Q18" i="1" s="1"/>
  <c r="M19" i="1" a="1"/>
  <c r="M19" i="1" s="1"/>
  <c r="M20" i="1" a="1"/>
  <c r="M20" i="1" s="1"/>
  <c r="M21" i="1" a="1"/>
  <c r="M21" i="1" s="1"/>
  <c r="Q21" i="1" s="1"/>
  <c r="M22" i="1" a="1"/>
  <c r="M22" i="1" s="1"/>
  <c r="M23" i="1" a="1"/>
  <c r="M23" i="1" s="1"/>
  <c r="Q23" i="1" s="1"/>
  <c r="M24" i="1" a="1"/>
  <c r="M24" i="1" s="1"/>
  <c r="Q24" i="1" s="1"/>
  <c r="M25" i="1" a="1"/>
  <c r="M25" i="1" s="1"/>
  <c r="M26" i="1" a="1"/>
  <c r="M26" i="1" s="1"/>
  <c r="Q26" i="1" s="1"/>
  <c r="M27" i="1" a="1"/>
  <c r="M27" i="1" s="1"/>
  <c r="M28" i="1" a="1"/>
  <c r="M28" i="1" s="1"/>
  <c r="M29" i="1" a="1"/>
  <c r="M29" i="1" s="1"/>
  <c r="M30" i="1" a="1"/>
  <c r="M30" i="1" s="1"/>
  <c r="M31" i="1" a="1"/>
  <c r="M31" i="1" s="1"/>
  <c r="Q31" i="1" s="1"/>
  <c r="M32" i="1" a="1"/>
  <c r="M32" i="1" s="1"/>
  <c r="Q32" i="1" s="1"/>
  <c r="M33" i="1" a="1"/>
  <c r="M33" i="1" s="1"/>
  <c r="Q33" i="1" s="1"/>
  <c r="M34" i="1" a="1"/>
  <c r="M34" i="1" s="1"/>
  <c r="Q34" i="1" s="1"/>
  <c r="M35" i="1" a="1"/>
  <c r="M35" i="1" s="1"/>
  <c r="M36" i="1" a="1"/>
  <c r="M36" i="1" s="1"/>
  <c r="M37" i="1" a="1"/>
  <c r="M37" i="1" s="1"/>
  <c r="Q37" i="1" s="1"/>
  <c r="M38" i="1" a="1"/>
  <c r="M38" i="1" s="1"/>
  <c r="M39" i="1" a="1"/>
  <c r="M39" i="1" s="1"/>
  <c r="Q39" i="1" s="1"/>
  <c r="M40" i="1" a="1"/>
  <c r="M40" i="1" s="1"/>
  <c r="Q40" i="1" s="1"/>
  <c r="M41" i="1" a="1"/>
  <c r="M41" i="1" s="1"/>
  <c r="Q41" i="1" s="1"/>
  <c r="M42" i="1" a="1"/>
  <c r="M42" i="1" s="1"/>
  <c r="M43" i="1" a="1"/>
  <c r="M43" i="1" s="1"/>
  <c r="M44" i="1" a="1"/>
  <c r="M44" i="1" s="1"/>
  <c r="M45" i="1" a="1"/>
  <c r="M45" i="1" s="1"/>
  <c r="M46" i="1" a="1"/>
  <c r="M46" i="1" s="1"/>
  <c r="M47" i="1" a="1"/>
  <c r="M47" i="1" s="1"/>
  <c r="Q47" i="1" s="1"/>
  <c r="M48" i="1" a="1"/>
  <c r="M48" i="1" s="1"/>
  <c r="Q48" i="1" s="1"/>
  <c r="M49" i="1" a="1"/>
  <c r="M49" i="1" s="1"/>
  <c r="Q49" i="1" s="1"/>
  <c r="M50" i="1" a="1"/>
  <c r="M50" i="1" s="1"/>
  <c r="M51" i="1" a="1"/>
  <c r="M51" i="1" s="1"/>
  <c r="M52" i="1" a="1"/>
  <c r="M52" i="1" s="1"/>
  <c r="M53" i="1" a="1"/>
  <c r="M53" i="1" s="1"/>
  <c r="M55" i="1" a="1"/>
  <c r="M55" i="1" s="1"/>
  <c r="M56" i="1" a="1"/>
  <c r="M56" i="1" s="1"/>
  <c r="Q56" i="1" s="1"/>
  <c r="M57" i="1" a="1"/>
  <c r="M57" i="1" s="1"/>
  <c r="Q57" i="1" s="1"/>
  <c r="M58" i="1" a="1"/>
  <c r="M58" i="1" s="1"/>
  <c r="M59" i="1" a="1"/>
  <c r="M59" i="1" s="1"/>
  <c r="M60" i="1" a="1"/>
  <c r="M60" i="1" s="1"/>
  <c r="Q60" i="1" s="1"/>
  <c r="M61" i="1" a="1"/>
  <c r="M61" i="1" s="1"/>
  <c r="Q61" i="1" s="1"/>
  <c r="M62" i="1" a="1"/>
  <c r="M62" i="1" s="1"/>
  <c r="Q62" i="1" s="1"/>
  <c r="M63" i="1" a="1"/>
  <c r="M63" i="1" s="1"/>
  <c r="M65" i="1" a="1"/>
  <c r="M65" i="1" s="1"/>
  <c r="Q65" i="1" s="1"/>
  <c r="M66" i="1" a="1"/>
  <c r="M66" i="1" s="1"/>
  <c r="Q66" i="1" s="1"/>
  <c r="M67" i="1" a="1"/>
  <c r="M67" i="1" s="1"/>
  <c r="Q67" i="1" s="1"/>
  <c r="M68" i="1" a="1"/>
  <c r="M68" i="1" s="1"/>
  <c r="M69" i="1" a="1"/>
  <c r="M69" i="1" s="1"/>
  <c r="M70" i="1" a="1"/>
  <c r="M70" i="1" s="1"/>
  <c r="M71" i="1" a="1"/>
  <c r="M71" i="1" s="1"/>
  <c r="M72" i="1" a="1"/>
  <c r="M72" i="1" s="1"/>
  <c r="M73" i="1" a="1"/>
  <c r="M73" i="1" s="1"/>
  <c r="Q73" i="1" s="1"/>
  <c r="M74" i="1" a="1"/>
  <c r="M74" i="1" s="1"/>
  <c r="Q74" i="1" s="1"/>
  <c r="M75" i="1" a="1"/>
  <c r="M75" i="1" s="1"/>
  <c r="Q75" i="1" s="1"/>
  <c r="M76" i="1" a="1"/>
  <c r="M76" i="1" s="1"/>
  <c r="M77" i="1" a="1"/>
  <c r="M77" i="1" s="1"/>
  <c r="M78" i="1" a="1"/>
  <c r="M78" i="1" s="1"/>
  <c r="Q78" i="1" s="1"/>
  <c r="M79" i="1" a="1"/>
  <c r="M79" i="1" s="1"/>
  <c r="M80" i="1" a="1"/>
  <c r="M80" i="1" s="1"/>
  <c r="M82" i="1" a="1"/>
  <c r="M82" i="1" s="1"/>
  <c r="Q82" i="1" s="1"/>
  <c r="M83" i="1" a="1"/>
  <c r="M83" i="1" s="1"/>
  <c r="Q83" i="1" s="1"/>
  <c r="M84" i="1" a="1"/>
  <c r="M84" i="1" s="1"/>
  <c r="Q84" i="1" s="1"/>
  <c r="M85" i="1" a="1"/>
  <c r="M85" i="1" s="1"/>
  <c r="M86" i="1" a="1"/>
  <c r="M86" i="1" s="1"/>
  <c r="Q86" i="1" s="1"/>
  <c r="M87" i="1" a="1"/>
  <c r="M87" i="1" s="1"/>
  <c r="Q87" i="1" s="1"/>
  <c r="M88" i="1" a="1"/>
  <c r="M88" i="1" s="1"/>
  <c r="Q88" i="1" s="1"/>
  <c r="M89" i="1" a="1"/>
  <c r="M89" i="1" s="1"/>
  <c r="Q89" i="1" s="1"/>
  <c r="M91" i="1" a="1"/>
  <c r="M91" i="1" s="1"/>
  <c r="Q91" i="1" s="1"/>
  <c r="M90" i="1" a="1"/>
  <c r="M90" i="1" s="1"/>
  <c r="Q90" i="1" s="1"/>
  <c r="M92" i="1" a="1"/>
  <c r="M92" i="1" s="1"/>
  <c r="M93" i="1" a="1"/>
  <c r="M93" i="1" s="1"/>
  <c r="M94" i="1" a="1"/>
  <c r="M94" i="1" s="1"/>
  <c r="M95" i="1" a="1"/>
  <c r="M95" i="1" s="1"/>
  <c r="M96" i="1" a="1"/>
  <c r="M96" i="1" s="1"/>
  <c r="M97" i="1" a="1"/>
  <c r="M97" i="1" s="1"/>
  <c r="Q97" i="1" s="1"/>
  <c r="M98" i="1" a="1"/>
  <c r="M98" i="1" s="1"/>
  <c r="Q98" i="1" s="1"/>
  <c r="M99" i="1" a="1"/>
  <c r="M99" i="1" s="1"/>
  <c r="Q99" i="1" s="1"/>
  <c r="M100" i="1" a="1"/>
  <c r="M100" i="1" s="1"/>
  <c r="Q100" i="1" s="1"/>
  <c r="M101" i="1" a="1"/>
  <c r="M101" i="1" s="1"/>
  <c r="M102" i="1" a="1"/>
  <c r="M102" i="1" s="1"/>
  <c r="M103" i="1" a="1"/>
  <c r="M103" i="1" s="1"/>
  <c r="Q103" i="1" s="1"/>
  <c r="M104" i="1" a="1"/>
  <c r="M104" i="1" s="1"/>
  <c r="Q104" i="1" s="1"/>
  <c r="M105" i="1" a="1"/>
  <c r="M105" i="1" s="1"/>
  <c r="M106" i="1" a="1"/>
  <c r="M106" i="1" s="1"/>
  <c r="Q106" i="1" s="1"/>
  <c r="M107" i="1" a="1"/>
  <c r="M107" i="1" s="1"/>
  <c r="Q107" i="1" s="1"/>
  <c r="M108" i="1" a="1"/>
  <c r="M108" i="1" s="1"/>
  <c r="Q108" i="1" s="1"/>
  <c r="M109" i="1" a="1"/>
  <c r="M109" i="1" s="1"/>
  <c r="M110" i="1" a="1"/>
  <c r="M110" i="1" s="1"/>
  <c r="M111" i="1" a="1"/>
  <c r="M111" i="1" s="1"/>
  <c r="Q111" i="1" s="1"/>
  <c r="M112" i="1" a="1"/>
  <c r="M112" i="1" s="1"/>
  <c r="M113" i="1" a="1"/>
  <c r="M113" i="1" s="1"/>
  <c r="Q113" i="1" s="1"/>
  <c r="M114" i="1" a="1"/>
  <c r="M114" i="1" s="1"/>
  <c r="Q114" i="1" s="1"/>
  <c r="M115" i="1" a="1"/>
  <c r="M115" i="1" s="1"/>
  <c r="Q115" i="1" s="1"/>
  <c r="M116" i="1" a="1"/>
  <c r="M116" i="1" s="1"/>
  <c r="Q116" i="1" s="1"/>
  <c r="M117" i="1" a="1"/>
  <c r="M117" i="1" s="1"/>
  <c r="M118" i="1" a="1"/>
  <c r="M118" i="1" s="1"/>
  <c r="Q118" i="1" s="1"/>
  <c r="N3" i="1" a="1"/>
  <c r="N3" i="1" s="1"/>
  <c r="N4" i="1" a="1"/>
  <c r="N4" i="1" s="1"/>
  <c r="N5" i="1" a="1"/>
  <c r="N5" i="1" s="1"/>
  <c r="N6" i="1" a="1"/>
  <c r="N6" i="1" s="1"/>
  <c r="N7" i="1" a="1"/>
  <c r="N7" i="1" s="1"/>
  <c r="N8" i="1" a="1"/>
  <c r="N8" i="1" s="1"/>
  <c r="N9" i="1" a="1"/>
  <c r="N9" i="1" s="1"/>
  <c r="N10" i="1" a="1"/>
  <c r="N10" i="1" s="1"/>
  <c r="N11" i="1" a="1"/>
  <c r="N11" i="1" s="1"/>
  <c r="N12" i="1" a="1"/>
  <c r="N12" i="1" s="1"/>
  <c r="N13" i="1" a="1"/>
  <c r="N13" i="1" s="1"/>
  <c r="N14" i="1" a="1"/>
  <c r="N14" i="1" s="1"/>
  <c r="N15" i="1" a="1"/>
  <c r="N15" i="1" s="1"/>
  <c r="N17" i="1" a="1"/>
  <c r="N17" i="1" s="1"/>
  <c r="N16" i="1" a="1"/>
  <c r="N16" i="1" s="1"/>
  <c r="N19" i="1" a="1"/>
  <c r="N19" i="1" s="1"/>
  <c r="N20" i="1" a="1"/>
  <c r="N20" i="1" s="1"/>
  <c r="N21" i="1" a="1"/>
  <c r="N21" i="1" s="1"/>
  <c r="N22" i="1" a="1"/>
  <c r="N22" i="1" s="1"/>
  <c r="N23" i="1" a="1"/>
  <c r="N23" i="1" s="1"/>
  <c r="N24" i="1" a="1"/>
  <c r="N24" i="1" s="1"/>
  <c r="N25" i="1" a="1"/>
  <c r="N25" i="1" s="1"/>
  <c r="N26" i="1" a="1"/>
  <c r="N26" i="1" s="1"/>
  <c r="N27" i="1" a="1"/>
  <c r="N27" i="1" s="1"/>
  <c r="N28" i="1" a="1"/>
  <c r="N28" i="1" s="1"/>
  <c r="N29" i="1" a="1"/>
  <c r="N29" i="1" s="1"/>
  <c r="N30" i="1" a="1"/>
  <c r="N30" i="1" s="1"/>
  <c r="N31" i="1" a="1"/>
  <c r="N31" i="1" s="1"/>
  <c r="N32" i="1" a="1"/>
  <c r="N32" i="1" s="1"/>
  <c r="N33" i="1" a="1"/>
  <c r="N33" i="1" s="1"/>
  <c r="N34" i="1" a="1"/>
  <c r="N34" i="1" s="1"/>
  <c r="N35" i="1" a="1"/>
  <c r="N35" i="1" s="1"/>
  <c r="N36" i="1" a="1"/>
  <c r="N36" i="1" s="1"/>
  <c r="N37" i="1" a="1"/>
  <c r="N37" i="1" s="1"/>
  <c r="N38" i="1" a="1"/>
  <c r="N38" i="1" s="1"/>
  <c r="N39" i="1" a="1"/>
  <c r="N39" i="1" s="1"/>
  <c r="N40" i="1" a="1"/>
  <c r="N40" i="1" s="1"/>
  <c r="N41" i="1" a="1"/>
  <c r="N41" i="1" s="1"/>
  <c r="N42" i="1" a="1"/>
  <c r="N42" i="1" s="1"/>
  <c r="N43" i="1" a="1"/>
  <c r="N43" i="1" s="1"/>
  <c r="N44" i="1" a="1"/>
  <c r="N44" i="1" s="1"/>
  <c r="N45" i="1" a="1"/>
  <c r="N45" i="1" s="1"/>
  <c r="N46" i="1" a="1"/>
  <c r="N46" i="1" s="1"/>
  <c r="N47" i="1" a="1"/>
  <c r="N47" i="1" s="1"/>
  <c r="N48" i="1" a="1"/>
  <c r="N48" i="1" s="1"/>
  <c r="N49" i="1" a="1"/>
  <c r="N49" i="1" s="1"/>
  <c r="N50" i="1" a="1"/>
  <c r="N50" i="1" s="1"/>
  <c r="N51" i="1" a="1"/>
  <c r="N51" i="1" s="1"/>
  <c r="N52" i="1" a="1"/>
  <c r="N52" i="1" s="1"/>
  <c r="N53" i="1" a="1"/>
  <c r="N53" i="1" s="1"/>
  <c r="N55" i="1" a="1"/>
  <c r="N55" i="1" s="1"/>
  <c r="N56" i="1" a="1"/>
  <c r="N56" i="1" s="1"/>
  <c r="N57" i="1" a="1"/>
  <c r="N57" i="1" s="1"/>
  <c r="N58" i="1" a="1"/>
  <c r="N58" i="1" s="1"/>
  <c r="N59" i="1" a="1"/>
  <c r="N59" i="1" s="1"/>
  <c r="N60" i="1" a="1"/>
  <c r="N60" i="1" s="1"/>
  <c r="N61" i="1" a="1"/>
  <c r="N61" i="1" s="1"/>
  <c r="N62" i="1" a="1"/>
  <c r="N62" i="1" s="1"/>
  <c r="N63" i="1" a="1"/>
  <c r="N63" i="1" s="1"/>
  <c r="N65" i="1" a="1"/>
  <c r="N65" i="1" s="1"/>
  <c r="N66" i="1" a="1"/>
  <c r="N66" i="1" s="1"/>
  <c r="N67" i="1" a="1"/>
  <c r="N67" i="1" s="1"/>
  <c r="N68" i="1" a="1"/>
  <c r="N68" i="1" s="1"/>
  <c r="N69" i="1" a="1"/>
  <c r="N69" i="1" s="1"/>
  <c r="N70" i="1" a="1"/>
  <c r="N70" i="1" s="1"/>
  <c r="N71" i="1" a="1"/>
  <c r="N71" i="1" s="1"/>
  <c r="N72" i="1" a="1"/>
  <c r="N72" i="1" s="1"/>
  <c r="N73" i="1" a="1"/>
  <c r="N73" i="1" s="1"/>
  <c r="N74" i="1" a="1"/>
  <c r="N74" i="1" s="1"/>
  <c r="N75" i="1" a="1"/>
  <c r="N75" i="1" s="1"/>
  <c r="N76" i="1" a="1"/>
  <c r="N76" i="1" s="1"/>
  <c r="N77" i="1" a="1"/>
  <c r="N77" i="1" s="1"/>
  <c r="N78" i="1" a="1"/>
  <c r="N78" i="1" s="1"/>
  <c r="N79" i="1" a="1"/>
  <c r="N79" i="1" s="1"/>
  <c r="N80" i="1" a="1"/>
  <c r="N80" i="1" s="1"/>
  <c r="N82" i="1" a="1"/>
  <c r="N82" i="1" s="1"/>
  <c r="N83" i="1" a="1"/>
  <c r="N83" i="1" s="1"/>
  <c r="N84" i="1" a="1"/>
  <c r="N84" i="1" s="1"/>
  <c r="N85" i="1" a="1"/>
  <c r="N85" i="1" s="1"/>
  <c r="N86" i="1" a="1"/>
  <c r="N86" i="1" s="1"/>
  <c r="N87" i="1" a="1"/>
  <c r="N87" i="1" s="1"/>
  <c r="N88" i="1" a="1"/>
  <c r="N88" i="1" s="1"/>
  <c r="N89" i="1" a="1"/>
  <c r="N89" i="1" s="1"/>
  <c r="N91" i="1" a="1"/>
  <c r="N91" i="1" s="1"/>
  <c r="N90" i="1" a="1"/>
  <c r="N90" i="1" s="1"/>
  <c r="N92" i="1" a="1"/>
  <c r="N92" i="1" s="1"/>
  <c r="N93" i="1" a="1"/>
  <c r="N93" i="1" s="1"/>
  <c r="N94" i="1" a="1"/>
  <c r="N94" i="1" s="1"/>
  <c r="N95" i="1" a="1"/>
  <c r="N95" i="1" s="1"/>
  <c r="N96" i="1" a="1"/>
  <c r="N96" i="1" s="1"/>
  <c r="N97" i="1" a="1"/>
  <c r="N97" i="1" s="1"/>
  <c r="N98" i="1" a="1"/>
  <c r="N98" i="1" s="1"/>
  <c r="N99" i="1" a="1"/>
  <c r="N99" i="1" s="1"/>
  <c r="N100" i="1" a="1"/>
  <c r="N100" i="1" s="1"/>
  <c r="N101" i="1" a="1"/>
  <c r="N101" i="1" s="1"/>
  <c r="N102" i="1" a="1"/>
  <c r="N102" i="1" s="1"/>
  <c r="N103" i="1" a="1"/>
  <c r="N103" i="1" s="1"/>
  <c r="N104" i="1" a="1"/>
  <c r="N104" i="1" s="1"/>
  <c r="N105" i="1" a="1"/>
  <c r="N105" i="1" s="1"/>
  <c r="N106" i="1" a="1"/>
  <c r="N106" i="1" s="1"/>
  <c r="N107" i="1" a="1"/>
  <c r="N107" i="1" s="1"/>
  <c r="N108" i="1" a="1"/>
  <c r="N108" i="1" s="1"/>
  <c r="N109" i="1" a="1"/>
  <c r="N109" i="1" s="1"/>
  <c r="N110" i="1" a="1"/>
  <c r="N110" i="1" s="1"/>
  <c r="N111" i="1" a="1"/>
  <c r="N111" i="1" s="1"/>
  <c r="N112" i="1" a="1"/>
  <c r="N112" i="1" s="1"/>
  <c r="N113" i="1" a="1"/>
  <c r="N113" i="1" s="1"/>
  <c r="N114" i="1" a="1"/>
  <c r="N114" i="1" s="1"/>
  <c r="N115" i="1" a="1"/>
  <c r="N115" i="1" s="1"/>
  <c r="N116" i="1" a="1"/>
  <c r="N116" i="1" s="1"/>
  <c r="N117" i="1" a="1"/>
  <c r="N117" i="1" s="1"/>
  <c r="N118" i="1" a="1"/>
  <c r="N118" i="1" s="1"/>
  <c r="O3" i="1"/>
  <c r="O4" i="1"/>
  <c r="O5" i="1"/>
  <c r="O6" i="1"/>
  <c r="O7" i="1"/>
  <c r="O8" i="1"/>
  <c r="O9" i="1"/>
  <c r="O10" i="1"/>
  <c r="O11" i="1"/>
  <c r="O12" i="1"/>
  <c r="O13" i="1"/>
  <c r="O14" i="1"/>
  <c r="O15" i="1"/>
  <c r="O17" i="1"/>
  <c r="O16"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5" i="1"/>
  <c r="O56" i="1"/>
  <c r="O57" i="1"/>
  <c r="O58" i="1"/>
  <c r="O59" i="1"/>
  <c r="O60" i="1"/>
  <c r="O61" i="1"/>
  <c r="O62" i="1"/>
  <c r="O63" i="1"/>
  <c r="O65" i="1"/>
  <c r="O66" i="1"/>
  <c r="O67" i="1"/>
  <c r="O68" i="1"/>
  <c r="O69" i="1"/>
  <c r="O70" i="1"/>
  <c r="O71" i="1"/>
  <c r="O72" i="1"/>
  <c r="O73" i="1"/>
  <c r="O74" i="1"/>
  <c r="O75" i="1"/>
  <c r="O76" i="1"/>
  <c r="O77" i="1"/>
  <c r="O78" i="1"/>
  <c r="O79" i="1"/>
  <c r="O80" i="1"/>
  <c r="O82" i="1"/>
  <c r="O83" i="1"/>
  <c r="O84" i="1"/>
  <c r="O85" i="1"/>
  <c r="O86" i="1"/>
  <c r="O87" i="1"/>
  <c r="O88" i="1"/>
  <c r="O89" i="1"/>
  <c r="O91" i="1"/>
  <c r="O90"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Q10" i="1"/>
  <c r="Q11" i="1"/>
  <c r="Q12" i="1"/>
  <c r="Q13" i="1"/>
  <c r="Q19" i="1"/>
  <c r="Q20" i="1"/>
  <c r="Q22" i="1"/>
  <c r="Q25" i="1"/>
  <c r="Q27" i="1"/>
  <c r="Q28" i="1"/>
  <c r="Q29" i="1"/>
  <c r="Q30" i="1"/>
  <c r="Q35" i="1"/>
  <c r="Q36" i="1"/>
  <c r="Q38" i="1"/>
  <c r="Q42" i="1"/>
  <c r="Q43" i="1"/>
  <c r="Q44" i="1"/>
  <c r="Q45" i="1"/>
  <c r="Q46" i="1"/>
  <c r="Q50" i="1"/>
  <c r="Q51" i="1"/>
  <c r="Q52" i="1"/>
  <c r="Q53" i="1"/>
  <c r="Q55" i="1"/>
  <c r="Q58" i="1"/>
  <c r="Q59" i="1"/>
  <c r="Q63" i="1"/>
  <c r="Q68" i="1"/>
  <c r="Q69" i="1"/>
  <c r="Q70" i="1"/>
  <c r="Q71" i="1"/>
  <c r="Q72" i="1"/>
  <c r="Q76" i="1"/>
  <c r="Q77" i="1"/>
  <c r="Q79" i="1"/>
  <c r="Q80" i="1"/>
  <c r="Q85" i="1"/>
  <c r="Q92" i="1"/>
  <c r="Q93" i="1"/>
  <c r="Q94" i="1"/>
  <c r="Q95" i="1"/>
  <c r="Q96" i="1"/>
  <c r="Q101" i="1"/>
  <c r="Q102" i="1"/>
  <c r="Q105" i="1"/>
  <c r="Q109" i="1"/>
  <c r="Q110" i="1"/>
  <c r="Q112" i="1"/>
  <c r="Q117" i="1"/>
  <c r="I2" i="11" l="1"/>
  <c r="M2" i="1" l="1" a="1"/>
  <c r="M2" i="1" s="1"/>
  <c r="N2" i="1" a="1"/>
  <c r="N2" i="1" s="1"/>
  <c r="D16" i="16" l="1" a="1"/>
  <c r="D16" i="16" s="1"/>
  <c r="D15" i="16" a="1"/>
  <c r="D15" i="16" s="1"/>
  <c r="D7" i="16" a="1"/>
  <c r="D7" i="16" s="1"/>
  <c r="D14" i="16" a="1"/>
  <c r="D14" i="16" s="1"/>
  <c r="D6" i="16" a="1"/>
  <c r="D6" i="16" s="1"/>
  <c r="D13" i="16" a="1"/>
  <c r="D13" i="16" s="1"/>
  <c r="D5" i="16" a="1"/>
  <c r="D5" i="16" s="1"/>
  <c r="D12" i="16" a="1"/>
  <c r="D12" i="16" s="1"/>
  <c r="D8" i="16" a="1"/>
  <c r="D8" i="16" s="1"/>
  <c r="D11" i="16" a="1"/>
  <c r="D11" i="16" s="1"/>
  <c r="D10" i="16" a="1"/>
  <c r="D10" i="16" s="1"/>
  <c r="D9" i="16" a="1"/>
  <c r="D9" i="16" s="1"/>
  <c r="Q2" i="1"/>
  <c r="E2" i="1"/>
  <c r="H8" i="16"/>
  <c r="K14" i="16" a="1"/>
  <c r="K14" i="16" s="1"/>
  <c r="I1" i="13" a="1"/>
  <c r="I1" i="13" s="1"/>
  <c r="H1" i="13" a="1"/>
  <c r="H1" i="13" s="1"/>
  <c r="A1" i="16"/>
  <c r="J11" i="16" s="1" a="1"/>
  <c r="J11" i="16" s="1"/>
  <c r="E1" i="13" a="1"/>
  <c r="E1" i="13" s="1"/>
  <c r="D17" i="16" l="1"/>
  <c r="L11" i="16" a="1"/>
  <c r="L11" i="16" s="1"/>
  <c r="K11" i="16" a="1"/>
  <c r="K11" i="16" s="1"/>
  <c r="J39" i="16" a="1"/>
  <c r="J39" i="16" s="1"/>
  <c r="I39" i="16" a="1"/>
  <c r="I39" i="16" s="1"/>
  <c r="C39" i="16" a="1"/>
  <c r="C39" i="16" s="1"/>
  <c r="H39" i="16" a="1"/>
  <c r="H39" i="16" s="1"/>
  <c r="G39" i="16" a="1"/>
  <c r="G39" i="16" s="1"/>
  <c r="B39" i="16" a="1"/>
  <c r="B39" i="16" s="1"/>
  <c r="E39" i="16" a="1"/>
  <c r="E39" i="16" s="1"/>
  <c r="B21" i="16"/>
  <c r="D39" i="16" a="1"/>
  <c r="D39" i="16" s="1"/>
  <c r="K17" i="16" a="1"/>
  <c r="K17" i="16" s="1"/>
  <c r="M11" i="16" a="1"/>
  <c r="M11" i="16" s="1"/>
  <c r="I11" i="16" a="1"/>
  <c r="I11" i="16" s="1"/>
  <c r="M9" i="16" a="1"/>
  <c r="M9" i="16" s="1"/>
  <c r="O9" i="16" a="1"/>
  <c r="O9" i="16" s="1"/>
  <c r="T6" i="16" a="1"/>
  <c r="T6" i="16" s="1"/>
  <c r="J9" i="16" a="1"/>
  <c r="J9" i="16" s="1"/>
  <c r="Q9" i="16" a="1"/>
  <c r="Q9" i="16" s="1"/>
  <c r="X7" i="16" l="1"/>
  <c r="X15" i="16"/>
  <c r="X12" i="16"/>
  <c r="X13" i="16"/>
  <c r="X14" i="16"/>
  <c r="X8" i="16"/>
  <c r="X9" i="16"/>
  <c r="X10" i="16"/>
  <c r="X11" i="16"/>
  <c r="N9" i="16"/>
  <c r="B17" i="16"/>
  <c r="C49" i="16"/>
  <c r="C48" i="16"/>
  <c r="B49" i="16"/>
  <c r="B48" i="16"/>
  <c r="B22" i="16"/>
  <c r="A2" i="8"/>
  <c r="A2" i="12"/>
  <c r="A2" i="3"/>
  <c r="B1" i="13" a="1"/>
  <c r="B1" i="13" s="1"/>
  <c r="K39" i="16" l="1"/>
  <c r="F39" i="16"/>
  <c r="F21" i="16" a="1"/>
  <c r="F21" i="16" s="1"/>
  <c r="A2" i="17"/>
  <c r="G8" i="9"/>
  <c r="F63" i="16" l="1" a="1"/>
  <c r="F63" i="16" s="1"/>
  <c r="E66" i="16" a="1"/>
  <c r="E66" i="16" s="1"/>
  <c r="E58" i="16" a="1"/>
  <c r="E58" i="16" s="1"/>
  <c r="D61" i="16" a="1"/>
  <c r="D61" i="16" s="1"/>
  <c r="C64" i="16" a="1"/>
  <c r="C64" i="16" s="1"/>
  <c r="B61" i="16" a="1"/>
  <c r="B61" i="16" s="1"/>
  <c r="B65" i="16" a="1"/>
  <c r="B65" i="16" s="1"/>
  <c r="B80" i="16" a="1"/>
  <c r="B80" i="16" s="1"/>
  <c r="F62" i="16" a="1"/>
  <c r="F62" i="16" s="1"/>
  <c r="E65" i="16" a="1"/>
  <c r="E65" i="16" s="1"/>
  <c r="D68" i="16" a="1"/>
  <c r="D68" i="16" s="1"/>
  <c r="D60" i="16" a="1"/>
  <c r="D60" i="16" s="1"/>
  <c r="C63" i="16" a="1"/>
  <c r="C63" i="16" s="1"/>
  <c r="E57" i="16" a="1"/>
  <c r="E57" i="16" s="1"/>
  <c r="B64" i="16" a="1"/>
  <c r="B64" i="16" s="1"/>
  <c r="B79" i="16" a="1"/>
  <c r="B79" i="16" s="1"/>
  <c r="F61" i="16" a="1"/>
  <c r="F61" i="16" s="1"/>
  <c r="E64" i="16" a="1"/>
  <c r="E64" i="16" s="1"/>
  <c r="D67" i="16" a="1"/>
  <c r="D67" i="16" s="1"/>
  <c r="D59" i="16" a="1"/>
  <c r="D59" i="16" s="1"/>
  <c r="C62" i="16" a="1"/>
  <c r="C62" i="16" s="1"/>
  <c r="F57" i="16" a="1"/>
  <c r="F57" i="16" s="1"/>
  <c r="B63" i="16" a="1"/>
  <c r="B63" i="16" s="1"/>
  <c r="B78" i="16" a="1"/>
  <c r="B78" i="16" s="1"/>
  <c r="F68" i="16" a="1"/>
  <c r="F68" i="16" s="1"/>
  <c r="F60" i="16" a="1"/>
  <c r="F60" i="16" s="1"/>
  <c r="E63" i="16" a="1"/>
  <c r="E63" i="16" s="1"/>
  <c r="D66" i="16" a="1"/>
  <c r="D66" i="16" s="1"/>
  <c r="D58" i="16" a="1"/>
  <c r="D58" i="16" s="1"/>
  <c r="C61" i="16" a="1"/>
  <c r="C61" i="16" s="1"/>
  <c r="D57" i="16" a="1"/>
  <c r="D57" i="16" s="1"/>
  <c r="B62" i="16" a="1"/>
  <c r="B62" i="16" s="1"/>
  <c r="B77" i="16" a="1"/>
  <c r="B77" i="16" s="1"/>
  <c r="F67" i="16" a="1"/>
  <c r="F67" i="16" s="1"/>
  <c r="F59" i="16" a="1"/>
  <c r="F59" i="16" s="1"/>
  <c r="E62" i="16" a="1"/>
  <c r="E62" i="16" s="1"/>
  <c r="D65" i="16" a="1"/>
  <c r="D65" i="16" s="1"/>
  <c r="C68" i="16" a="1"/>
  <c r="C68" i="16" s="1"/>
  <c r="C60" i="16" a="1"/>
  <c r="C60" i="16" s="1"/>
  <c r="C57" i="16" a="1"/>
  <c r="C57" i="16" s="1"/>
  <c r="B60" i="16" a="1"/>
  <c r="B60" i="16" s="1"/>
  <c r="B76" i="16" a="1"/>
  <c r="B76" i="16" s="1"/>
  <c r="F66" i="16" a="1"/>
  <c r="F66" i="16" s="1"/>
  <c r="F58" i="16" a="1"/>
  <c r="F58" i="16" s="1"/>
  <c r="E61" i="16" a="1"/>
  <c r="E61" i="16" s="1"/>
  <c r="D64" i="16" a="1"/>
  <c r="D64" i="16" s="1"/>
  <c r="C67" i="16" a="1"/>
  <c r="C67" i="16" s="1"/>
  <c r="C59" i="16" a="1"/>
  <c r="C59" i="16" s="1"/>
  <c r="B68" i="16" a="1"/>
  <c r="B68" i="16" s="1"/>
  <c r="B59" i="16" a="1"/>
  <c r="B59" i="16" s="1"/>
  <c r="B75" i="16" a="1"/>
  <c r="B75" i="16" s="1"/>
  <c r="F65" i="16" a="1"/>
  <c r="F65" i="16" s="1"/>
  <c r="E68" i="16" a="1"/>
  <c r="E68" i="16" s="1"/>
  <c r="E60" i="16" a="1"/>
  <c r="E60" i="16" s="1"/>
  <c r="D63" i="16" a="1"/>
  <c r="D63" i="16" s="1"/>
  <c r="C66" i="16" a="1"/>
  <c r="C66" i="16" s="1"/>
  <c r="C58" i="16" a="1"/>
  <c r="C58" i="16" s="1"/>
  <c r="B67" i="16" a="1"/>
  <c r="B67" i="16" s="1"/>
  <c r="B58" i="16" a="1"/>
  <c r="B58" i="16" s="1"/>
  <c r="F64" i="16" a="1"/>
  <c r="F64" i="16" s="1"/>
  <c r="E67" i="16" a="1"/>
  <c r="E67" i="16" s="1"/>
  <c r="E59" i="16" a="1"/>
  <c r="E59" i="16" s="1"/>
  <c r="D62" i="16" a="1"/>
  <c r="D62" i="16" s="1"/>
  <c r="C65" i="16" a="1"/>
  <c r="C65" i="16" s="1"/>
  <c r="C72" i="16" a="1"/>
  <c r="C72" i="16" s="1"/>
  <c r="C71" i="16" s="1"/>
  <c r="B66" i="16" a="1"/>
  <c r="B66" i="16" s="1"/>
  <c r="B57" i="16" a="1"/>
  <c r="B57" i="16" s="1"/>
  <c r="D49" i="16"/>
  <c r="B50" i="16"/>
  <c r="D48" i="16"/>
  <c r="C22" i="16"/>
  <c r="C50" i="16"/>
  <c r="B23" i="16"/>
  <c r="C21" i="16"/>
  <c r="B69" i="16" l="1"/>
  <c r="C69" i="16"/>
  <c r="D69" i="16"/>
  <c r="F69" i="16"/>
  <c r="E69" i="16"/>
  <c r="B81" i="16"/>
  <c r="D50" i="16"/>
  <c r="C23" i="16"/>
  <c r="C73" i="16" l="1"/>
  <c r="C2" i="14"/>
  <c r="A2" i="14"/>
  <c r="D86" i="16" l="1"/>
  <c r="E86" i="16"/>
  <c r="B86" i="16"/>
  <c r="C86" i="16"/>
  <c r="C32" i="16"/>
  <c r="C30" i="16"/>
  <c r="C31" i="16"/>
  <c r="B31" i="16"/>
  <c r="B32" i="16"/>
  <c r="B29" i="16"/>
  <c r="B30" i="16"/>
  <c r="C28" i="16"/>
  <c r="C29" i="16"/>
  <c r="B28" i="16"/>
  <c r="D22" i="16"/>
  <c r="C27" i="16"/>
  <c r="D21" i="16"/>
  <c r="B27" i="16"/>
  <c r="D23" i="16"/>
  <c r="A2" i="11"/>
  <c r="C2" i="6"/>
  <c r="A2" i="6"/>
  <c r="A2" i="4"/>
  <c r="A2" i="2"/>
  <c r="L9" i="16" l="1" a="1"/>
  <c r="L9" i="16" s="1"/>
  <c r="K9" i="16" a="1"/>
  <c r="K9" i="16" s="1"/>
  <c r="A1" i="13" a="1"/>
  <c r="A1" i="13" s="1"/>
  <c r="I18" i="16" a="1"/>
  <c r="I18" i="16" s="1"/>
  <c r="I14" i="16" a="1"/>
  <c r="I14" i="16" s="1"/>
  <c r="I25" i="16" a="1"/>
  <c r="I25" i="16" s="1"/>
  <c r="I17" i="16" a="1"/>
  <c r="I17" i="16" s="1"/>
  <c r="I24" i="16" a="1"/>
  <c r="I24" i="16" s="1"/>
  <c r="I16" i="16" a="1"/>
  <c r="I16" i="16" s="1"/>
  <c r="I23" i="16" a="1"/>
  <c r="I23" i="16" s="1"/>
  <c r="I22" i="16" a="1"/>
  <c r="I22" i="16" s="1"/>
  <c r="I21" i="16" a="1"/>
  <c r="I21" i="16" s="1"/>
  <c r="I20" i="16" a="1"/>
  <c r="I20" i="16" s="1"/>
  <c r="I15" i="16" a="1"/>
  <c r="I15" i="16" s="1"/>
  <c r="I19" i="16" a="1"/>
  <c r="I19" i="16" s="1"/>
  <c r="H5" i="16"/>
  <c r="F86" i="16"/>
  <c r="D28" i="16"/>
  <c r="D32" i="16"/>
  <c r="D31" i="16"/>
  <c r="D30" i="16"/>
  <c r="D29" i="16"/>
  <c r="D27" i="16"/>
  <c r="C33" i="16"/>
  <c r="B33" i="16"/>
  <c r="K7" i="16" l="1"/>
  <c r="D33" i="16"/>
  <c r="E10" i="16"/>
  <c r="G5" i="16" a="1"/>
  <c r="G5" i="16" s="1"/>
  <c r="E9" i="16"/>
  <c r="E16" i="16"/>
  <c r="E8" i="16"/>
  <c r="E15" i="16"/>
  <c r="E7" i="16"/>
  <c r="E14" i="16"/>
  <c r="E6" i="16"/>
  <c r="E13" i="16"/>
  <c r="E12" i="16"/>
  <c r="E11" i="16"/>
  <c r="K5" i="16"/>
  <c r="E5" i="16" l="1"/>
  <c r="E17" i="16" s="1"/>
  <c r="J5" i="16"/>
  <c r="I5" i="16"/>
  <c r="X6"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asis.aseguramiento</author>
  </authors>
  <commentList>
    <comment ref="I38" authorId="0" shapeId="0" xr:uid="{78A756C1-E297-4479-9301-1FB8E7CCECF1}">
      <text>
        <r>
          <rPr>
            <b/>
            <sz val="9"/>
            <color indexed="81"/>
            <rFont val="Tahoma"/>
            <family val="2"/>
          </rPr>
          <t>asis.aseguramiento:</t>
        </r>
        <r>
          <rPr>
            <sz val="9"/>
            <color indexed="81"/>
            <rFont val="Tahoma"/>
            <family val="2"/>
          </rPr>
          <t xml:space="preserve">
desde 02-06-2025 prod.</t>
        </r>
      </text>
    </comment>
    <comment ref="L85" authorId="0" shapeId="0" xr:uid="{90C1F7AA-07BE-4A42-A3C0-3016F96B6018}">
      <text>
        <r>
          <rPr>
            <b/>
            <sz val="9"/>
            <color indexed="81"/>
            <rFont val="Tahoma"/>
            <family val="2"/>
          </rPr>
          <t>asis.aseguramiento:</t>
        </r>
        <r>
          <rPr>
            <sz val="9"/>
            <color indexed="81"/>
            <rFont val="Tahoma"/>
            <family val="2"/>
          </rPr>
          <t xml:space="preserve">
desde 01-01-2020 como op de almacen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<sst xmlns="http://schemas.openxmlformats.org/spreadsheetml/2006/main" count="3311" uniqueCount="619">
  <si>
    <t>WorkerID</t>
  </si>
  <si>
    <t>DNI</t>
  </si>
  <si>
    <t>Nombre</t>
  </si>
  <si>
    <t>FechaNacimiento</t>
  </si>
  <si>
    <t>Edad</t>
  </si>
  <si>
    <t>Sexo</t>
  </si>
  <si>
    <t>Obra</t>
  </si>
  <si>
    <t>Área</t>
  </si>
  <si>
    <t>Cargo</t>
  </si>
  <si>
    <t>LugarProyecto</t>
  </si>
  <si>
    <t>Perfil</t>
  </si>
  <si>
    <t>FechaIngreso</t>
  </si>
  <si>
    <t>Ultimo EMO</t>
  </si>
  <si>
    <t>Tipo de EMO</t>
  </si>
  <si>
    <t>EMO Entregado</t>
  </si>
  <si>
    <t>Fecha de EMO Entregado</t>
  </si>
  <si>
    <t>Vigencia</t>
  </si>
  <si>
    <t>Fecha_EMO</t>
  </si>
  <si>
    <t>Tipo_EMO</t>
  </si>
  <si>
    <t>Entregado</t>
  </si>
  <si>
    <t>Fecha de Entrega</t>
  </si>
  <si>
    <t>APTITUD</t>
  </si>
  <si>
    <t>Observaciones</t>
  </si>
  <si>
    <t>Restricciones Generales</t>
  </si>
  <si>
    <t>Programa</t>
  </si>
  <si>
    <t>Advertencia</t>
  </si>
  <si>
    <t>Diagnostico</t>
  </si>
  <si>
    <t>Recomendaciones adicionales</t>
  </si>
  <si>
    <t>Conclusiones M.O</t>
  </si>
  <si>
    <t>Tipo Capacitación</t>
  </si>
  <si>
    <t>Fecha Capacitación</t>
  </si>
  <si>
    <t>Validación</t>
  </si>
  <si>
    <t>M</t>
  </si>
  <si>
    <t>AS</t>
  </si>
  <si>
    <t>Técnico</t>
  </si>
  <si>
    <t>Apto</t>
  </si>
  <si>
    <t>NO</t>
  </si>
  <si>
    <t>PACIENTE SANO</t>
  </si>
  <si>
    <t>Apto con Restricción</t>
  </si>
  <si>
    <t>AMETROPIA</t>
  </si>
  <si>
    <t>PRESBICIA</t>
  </si>
  <si>
    <t>AMPUDIA CORDOVA JORGE LUIS</t>
  </si>
  <si>
    <t>ANAMPA ACCO EDWIN EDGAR</t>
  </si>
  <si>
    <t>AMETROPIA
OBESIDAD TIPO 1</t>
  </si>
  <si>
    <t>AMETROPIA
SOBREPESO</t>
  </si>
  <si>
    <t>AMETROPIA
ROSACEA</t>
  </si>
  <si>
    <t>AROTOMA LIMA PABLO KEVIN</t>
  </si>
  <si>
    <t>Oficina</t>
  </si>
  <si>
    <t>SOBREPESO</t>
  </si>
  <si>
    <t>OBESIDAD TIPO 1</t>
  </si>
  <si>
    <t>SANO</t>
  </si>
  <si>
    <t>AMETROPIA
OBESIDAD
HIPERGLICEMIA</t>
  </si>
  <si>
    <t>BLAS BOHORQUEZ LAHIN ANTONIO</t>
  </si>
  <si>
    <t>PRESBICIA
HIPOACUSIA
SOBREPESO</t>
  </si>
  <si>
    <t>BOCANEGRA MAXIMO LUIS MIGUEL</t>
  </si>
  <si>
    <t>DEFICIENCIAS DE LA VISION CROMATICA (DISCROMATOPSIA
OBESIDAD TIPO 1</t>
  </si>
  <si>
    <t>AMETROPIA
OBESIDAD</t>
  </si>
  <si>
    <t>CABRERA CASTRO ENRIQUE ARTURO</t>
  </si>
  <si>
    <t>OBESIDAD</t>
  </si>
  <si>
    <t>F</t>
  </si>
  <si>
    <t>AMETROPIA
HIPERGLICEMIA</t>
  </si>
  <si>
    <t>CASTAMAN CHIOTTI JESUS MIGUEL</t>
  </si>
  <si>
    <t>AMETROPIA, HTA</t>
  </si>
  <si>
    <t>CUYA OCHANTE WILMER</t>
  </si>
  <si>
    <t>DISCROMATOPSIA</t>
  </si>
  <si>
    <t>DE LA CRUZ DAVILA FRANO DANELLY</t>
  </si>
  <si>
    <t>DONAYRE TORRES JUAN JOSE</t>
  </si>
  <si>
    <t>DURAND TENAZOA GABRIEL</t>
  </si>
  <si>
    <t>FLORES FLORES JEREMY CRISTHIAN</t>
  </si>
  <si>
    <t>FLORES MORI HOSMER JHIN</t>
  </si>
  <si>
    <t>FORONDA PIZAN LUIS MAURO</t>
  </si>
  <si>
    <t>GARCIA TORREJON TANIA PAOLA</t>
  </si>
  <si>
    <t>GOMEZ CHUCHON RUBEN</t>
  </si>
  <si>
    <t>GONZALES ENCINAS ELIAS</t>
  </si>
  <si>
    <t>AMETROPIA
TRAUMA ACUSTICO BILATERAL
SOBREPESO</t>
  </si>
  <si>
    <t>AMETROPIA
ESTEORSIS ALTERADA</t>
  </si>
  <si>
    <t>PRESBICIA
OBESIDAD</t>
  </si>
  <si>
    <t>HUAMANI PAUCAR RENZO</t>
  </si>
  <si>
    <t>HUARANCA CORAHUA JULIAN BENITO</t>
  </si>
  <si>
    <t>MARCATOMA AROSTI JANLER</t>
  </si>
  <si>
    <t>MARCATOMA RIOS ELIAS</t>
  </si>
  <si>
    <t>MARCATOMA RIOS RUBEN</t>
  </si>
  <si>
    <t>MORALES GALARRETA JAIME RUBEN</t>
  </si>
  <si>
    <t>MORENO ACUÑA NAYVER ARNOLD</t>
  </si>
  <si>
    <t>MORENO NAVARRO JOSE FELIX</t>
  </si>
  <si>
    <t>PACUALA MEZA EDWIN</t>
  </si>
  <si>
    <t>QUIROZ GONZALES JOEL ADASS AARON</t>
  </si>
  <si>
    <t>QUISPE LAPA HUGO</t>
  </si>
  <si>
    <t>QUISPE SANCHEZ LUIS ANGEL</t>
  </si>
  <si>
    <t>RAMOS DURAN LUIS MIGUEL</t>
  </si>
  <si>
    <t>RAMOS SANTI FELIX V</t>
  </si>
  <si>
    <t>ROSALES BREÑA YSAAC SAMUEL</t>
  </si>
  <si>
    <t>SANDOVAL RAMOS JOSE REYNALDO</t>
  </si>
  <si>
    <t>VALENCIA BARDALES BERNARDO MARCELO</t>
  </si>
  <si>
    <t xml:space="preserve">VARGAS GUZMAN PAULO ENRIQUE </t>
  </si>
  <si>
    <t>VASQUEZ RAMIREZ LECNER NORBERT</t>
  </si>
  <si>
    <t>VASQUEZ YAICATE CESAR</t>
  </si>
  <si>
    <t>VILCHEZ MINAYA ROGER</t>
  </si>
  <si>
    <t xml:space="preserve">YAURI CANTO LEONARDO FELIX </t>
  </si>
  <si>
    <t>YAURI TABOADA MEDINA JESUS</t>
  </si>
  <si>
    <t>AccidenteID</t>
  </si>
  <si>
    <t>Fecha</t>
  </si>
  <si>
    <t>ParteCuerpo</t>
  </si>
  <si>
    <t>Agente</t>
  </si>
  <si>
    <t>Diagnóstico</t>
  </si>
  <si>
    <t>Médico Tratante</t>
  </si>
  <si>
    <t>Requiere Cirugía</t>
  </si>
  <si>
    <t>Clínica</t>
  </si>
  <si>
    <t>Declaración_Accidentado</t>
  </si>
  <si>
    <t>Tipo Ausencia</t>
  </si>
  <si>
    <t>Fecha_Inicio</t>
  </si>
  <si>
    <t>Días perdidos</t>
  </si>
  <si>
    <t>Aptitud de Reincorporación</t>
  </si>
  <si>
    <t>AtencionID</t>
  </si>
  <si>
    <t>Motivo de Atención</t>
  </si>
  <si>
    <t>Tratamiento</t>
  </si>
  <si>
    <t>Cirugía</t>
  </si>
  <si>
    <t>Diagnóstico Accidente</t>
  </si>
  <si>
    <t>Clinica</t>
  </si>
  <si>
    <t>Fecha Inicio</t>
  </si>
  <si>
    <t>VacunacionID</t>
  </si>
  <si>
    <t>Vacuna</t>
  </si>
  <si>
    <t>MES</t>
  </si>
  <si>
    <t>TRABAJADORES INGRESADOS</t>
  </si>
  <si>
    <t>TRABAJADORES ACTIVOS</t>
  </si>
  <si>
    <t>EMOS
REALIZADOS</t>
  </si>
  <si>
    <t>% EMO</t>
  </si>
  <si>
    <t>EMOS
ENTREGADOS</t>
  </si>
  <si>
    <t>EMOS PENDIENTE REALIZACIÓN</t>
  </si>
  <si>
    <t>EMOS ENTREGA PENDIENTE</t>
  </si>
  <si>
    <t>EMOS VIGENTES</t>
  </si>
  <si>
    <t>EMOS VENCIDOS</t>
  </si>
  <si>
    <t>SIN EMO</t>
  </si>
  <si>
    <t>ENERO</t>
  </si>
  <si>
    <t>FEBRERO</t>
  </si>
  <si>
    <t>TOTAL TRABAJADORES INGRESADOS</t>
  </si>
  <si>
    <t>TOTAL TRABAJADORES ACTIVOS</t>
  </si>
  <si>
    <t>TOTAL EMOS REALIZADOS</t>
  </si>
  <si>
    <t>TOTAL EMOS ENTREGADOS</t>
  </si>
  <si>
    <t>% ENTREGAS EMOS</t>
  </si>
  <si>
    <t>Cabeza</t>
  </si>
  <si>
    <t>MARZO</t>
  </si>
  <si>
    <t>Torso Alto</t>
  </si>
  <si>
    <t>ABRIL</t>
  </si>
  <si>
    <t>TOTAL ACCIDENTES</t>
  </si>
  <si>
    <t>TOTAL ACCIDENTADOS</t>
  </si>
  <si>
    <t>ACCIDENTES LEVES</t>
  </si>
  <si>
    <t>ACCIDENTES GRAVES</t>
  </si>
  <si>
    <t>PORCENTAJE DE ACCIDENTADOS X MES</t>
  </si>
  <si>
    <t>PARTE DEL CUERPO LASTIMADA</t>
  </si>
  <si>
    <t>OBJETO QUE PROVOCÓ EL ACCIDENTE</t>
  </si>
  <si>
    <t>Torso Bajo</t>
  </si>
  <si>
    <t>MAYO</t>
  </si>
  <si>
    <t>CANTIDAD</t>
  </si>
  <si>
    <t>Brazos</t>
  </si>
  <si>
    <t>JUNIO</t>
  </si>
  <si>
    <t>ACCIDENTES CIRUGIA</t>
  </si>
  <si>
    <t>DIAS SIN ACCIDENTES</t>
  </si>
  <si>
    <t>ACCIDENTES HOMBRES</t>
  </si>
  <si>
    <t>ACCIDENTES MUJERES</t>
  </si>
  <si>
    <t>AREA DE TRABAJAO QUE SUFRIÓ DE MÁS DAÑO</t>
  </si>
  <si>
    <t>Codos</t>
  </si>
  <si>
    <t>JULIO</t>
  </si>
  <si>
    <t>Manos</t>
  </si>
  <si>
    <t>AGOSTO</t>
  </si>
  <si>
    <t>Muslos</t>
  </si>
  <si>
    <t>SEPTIEMBRE</t>
  </si>
  <si>
    <t>PERFIL DE TRABAJADOR QUE MÁS SUFRIÓ ACCIDENTES</t>
  </si>
  <si>
    <t>Rodillas</t>
  </si>
  <si>
    <t>OCTUBRE</t>
  </si>
  <si>
    <t>Pantorrilla</t>
  </si>
  <si>
    <t>NOVIEMBRE</t>
  </si>
  <si>
    <t>Pies</t>
  </si>
  <si>
    <t>DICIEMBRE</t>
  </si>
  <si>
    <t>AREAS DE TRABAJADORES INGRESADOS AL MES</t>
  </si>
  <si>
    <t>TOTAL</t>
  </si>
  <si>
    <t>SEXO</t>
  </si>
  <si>
    <t>%</t>
  </si>
  <si>
    <t>EDAD PROM</t>
  </si>
  <si>
    <t>CANTIDAD DE CAPACITADOS X CAPACITACIÓN HECHA</t>
  </si>
  <si>
    <t>HOMBRES</t>
  </si>
  <si>
    <t>MUJERES</t>
  </si>
  <si>
    <t>GRUPO ETARIO</t>
  </si>
  <si>
    <t>HOMBRE</t>
  </si>
  <si>
    <t>MUJER</t>
  </si>
  <si>
    <t>&lt;20</t>
  </si>
  <si>
    <t>20-29</t>
  </si>
  <si>
    <t>30-39</t>
  </si>
  <si>
    <t>40-49</t>
  </si>
  <si>
    <t>50-59</t>
  </si>
  <si>
    <r>
      <rPr>
        <b/>
        <sz val="11"/>
        <color theme="1"/>
        <rFont val="Calibri"/>
        <family val="2"/>
      </rPr>
      <t>≥</t>
    </r>
    <r>
      <rPr>
        <b/>
        <sz val="9"/>
        <color theme="1"/>
        <rFont val="Calibri"/>
        <family val="2"/>
      </rPr>
      <t>60</t>
    </r>
  </si>
  <si>
    <t>TOTAL HOMBRES</t>
  </si>
  <si>
    <t>TOTAL MUJERES</t>
  </si>
  <si>
    <t>APTO</t>
  </si>
  <si>
    <t>APTO CON RESTRICCIONES</t>
  </si>
  <si>
    <t>OBSERVADO</t>
  </si>
  <si>
    <t>NO APTO</t>
  </si>
  <si>
    <t>Hombres</t>
  </si>
  <si>
    <t>Mujeres</t>
  </si>
  <si>
    <t>Administrativo</t>
  </si>
  <si>
    <t>Operativo</t>
  </si>
  <si>
    <t>CAPACITACIONES</t>
  </si>
  <si>
    <t>GOLPE DE CALOR</t>
  </si>
  <si>
    <t>VIGILANCIA</t>
  </si>
  <si>
    <t>ERGONOMIA</t>
  </si>
  <si>
    <t>TME</t>
  </si>
  <si>
    <t>PSICOSOCIAL</t>
  </si>
  <si>
    <t>Total horas capacitacion</t>
  </si>
  <si>
    <t>Cantidad personas capacitadas</t>
  </si>
  <si>
    <t>Horas Promedio por Trabajador</t>
  </si>
  <si>
    <t>0 Capacitaciones</t>
  </si>
  <si>
    <t>1 Capacitacion</t>
  </si>
  <si>
    <t>2 Capacitaciones</t>
  </si>
  <si>
    <t>3 Capacitaciones</t>
  </si>
  <si>
    <t>4 Capacitaciones</t>
  </si>
  <si>
    <t>5 Capacitaciones</t>
  </si>
  <si>
    <t>Total</t>
  </si>
  <si>
    <t>INDICADOR</t>
  </si>
  <si>
    <t>No están en Programa Gestante</t>
  </si>
  <si>
    <t>Están en Programa Gestante</t>
  </si>
  <si>
    <t>Perfil Técnico</t>
  </si>
  <si>
    <t>Perfil Oficina</t>
  </si>
  <si>
    <t>Etiquetas de fila</t>
  </si>
  <si>
    <t>Total general</t>
  </si>
  <si>
    <t>SeguimientoID</t>
  </si>
  <si>
    <t>Parte_Cuerpo</t>
  </si>
  <si>
    <t>Medico Tratante</t>
  </si>
  <si>
    <t>DM</t>
  </si>
  <si>
    <t>Evidencia</t>
  </si>
  <si>
    <t>ProgramacionID</t>
  </si>
  <si>
    <t>Tipo_Programación</t>
  </si>
  <si>
    <t>Tipo_Examen</t>
  </si>
  <si>
    <t>ID_Referencia</t>
  </si>
  <si>
    <t>Estado</t>
  </si>
  <si>
    <t>Motivo Cancelación</t>
  </si>
  <si>
    <t>Enviado</t>
  </si>
  <si>
    <t>FechaSalida</t>
  </si>
  <si>
    <t>CapacitacionID</t>
  </si>
  <si>
    <t>Tipo de Capacitación</t>
  </si>
  <si>
    <t>VMO_ID</t>
  </si>
  <si>
    <t>DATOS DEL EMPLEADOR:</t>
  </si>
  <si>
    <t xml:space="preserve">1. RAZÓN SOCIAL O DENOMINACIÓN SOCIAL </t>
  </si>
  <si>
    <t>3. DOMICILIO 
(Dirección, distrito, departamento, provincia)</t>
  </si>
  <si>
    <t>4. TIPO DE ACTIVIDAD ECONÓMICA</t>
  </si>
  <si>
    <t>5. N° TRABAJADORES EN OBRA</t>
  </si>
  <si>
    <t>LA VENTUROSA S.A</t>
  </si>
  <si>
    <t>Jr. el Polo Nro. 401 Dpto. 201 (Centro Empresarial el Polo 401)</t>
  </si>
  <si>
    <t>Actividades Inmobiliarias
Construccion Edificios Completos.</t>
  </si>
  <si>
    <t>DATOS DE LOS TRABAJADORES:</t>
  </si>
  <si>
    <t>N</t>
  </si>
  <si>
    <t>NOMBRE</t>
  </si>
  <si>
    <t>OCUPACION ACTUAL</t>
  </si>
  <si>
    <t>TIPO DE EMO</t>
  </si>
  <si>
    <t>FECHA</t>
  </si>
  <si>
    <t>ENTREGADO</t>
  </si>
  <si>
    <t>FECHA ENTREGA</t>
  </si>
  <si>
    <t>DescansoID</t>
  </si>
  <si>
    <t>Tipo de Descanso</t>
  </si>
  <si>
    <t>Duracion_Dias</t>
  </si>
  <si>
    <t>FechaInicio</t>
  </si>
  <si>
    <t>FechaFin</t>
  </si>
  <si>
    <t>Aptitud_Reincorporación</t>
  </si>
  <si>
    <t>Anunciado</t>
  </si>
  <si>
    <t>AnuncioID</t>
  </si>
  <si>
    <t>TipoAlerta</t>
  </si>
  <si>
    <t>FechaObjetivo</t>
  </si>
  <si>
    <t>Mensaje</t>
  </si>
  <si>
    <t>OBRA</t>
  </si>
  <si>
    <t>cráneo</t>
  </si>
  <si>
    <t>cara</t>
  </si>
  <si>
    <t>ojos</t>
  </si>
  <si>
    <t>nariz</t>
  </si>
  <si>
    <t>mandíbula</t>
  </si>
  <si>
    <t>cabeza</t>
  </si>
  <si>
    <t>oreja</t>
  </si>
  <si>
    <t>pectoral</t>
  </si>
  <si>
    <t>clavícula</t>
  </si>
  <si>
    <t>hombro</t>
  </si>
  <si>
    <t>esternón</t>
  </si>
  <si>
    <t>omóplato</t>
  </si>
  <si>
    <t>abdominales</t>
  </si>
  <si>
    <t>lumbares</t>
  </si>
  <si>
    <t>pelvis</t>
  </si>
  <si>
    <t>ombligo</t>
  </si>
  <si>
    <t>cintura</t>
  </si>
  <si>
    <t>bíceps</t>
  </si>
  <si>
    <t>tríceps</t>
  </si>
  <si>
    <t>antebrazo</t>
  </si>
  <si>
    <t>húmero</t>
  </si>
  <si>
    <t>codo</t>
  </si>
  <si>
    <t>olécranon</t>
  </si>
  <si>
    <t>muñeca</t>
  </si>
  <si>
    <t>palma</t>
  </si>
  <si>
    <t>dedos de la mano</t>
  </si>
  <si>
    <t>mano</t>
  </si>
  <si>
    <t>metacarpo</t>
  </si>
  <si>
    <t>isquiotibiales</t>
  </si>
  <si>
    <t>cuádriceps</t>
  </si>
  <si>
    <t>fémur</t>
  </si>
  <si>
    <t>ingle</t>
  </si>
  <si>
    <t>glúteo</t>
  </si>
  <si>
    <t>rótula</t>
  </si>
  <si>
    <t>meniscos</t>
  </si>
  <si>
    <t>rodilla</t>
  </si>
  <si>
    <t>ligamentos cruzados</t>
  </si>
  <si>
    <t>Tibia</t>
  </si>
  <si>
    <t>peroné</t>
  </si>
  <si>
    <t>gemelos</t>
  </si>
  <si>
    <t>pantorrilla</t>
  </si>
  <si>
    <t>tobillo</t>
  </si>
  <si>
    <t>talón</t>
  </si>
  <si>
    <t>planta</t>
  </si>
  <si>
    <t>dedos del pie</t>
  </si>
  <si>
    <t>empeine</t>
  </si>
  <si>
    <t>AGUILAR HIPOLITO GIAN PIERRE</t>
  </si>
  <si>
    <t>AGUILAR HIPOLITO JUNIOR ALFRED</t>
  </si>
  <si>
    <t>ALCALA CARRASCO CARMEN INES</t>
  </si>
  <si>
    <t>ALDERETTE ALVARADO JOSSHUA JEREMY</t>
  </si>
  <si>
    <t>ALONSO FLORES VICENTE MAK</t>
  </si>
  <si>
    <t>AMBROSIO GARCIA RENATO ANDREE</t>
  </si>
  <si>
    <t>ANGULO MEJORADA MARIBEL</t>
  </si>
  <si>
    <t>ARANGO SARMIENTO PAOLA SAMANTHA</t>
  </si>
  <si>
    <t>ARATOMA RAYMUNDO NILS JORDAN</t>
  </si>
  <si>
    <t>ARAUZO ZEVALLOS KAREN</t>
  </si>
  <si>
    <t>AYALA LIMAYLLA FRANK ELOY</t>
  </si>
  <si>
    <t>BALLON MANTILLA GENARA</t>
  </si>
  <si>
    <t>BARRENA NUÑEZ JOSSELIN JESSICA</t>
  </si>
  <si>
    <t>BRAVO CAMAREMA JHON OSCAR</t>
  </si>
  <si>
    <t>CABRERA CIPRIANO ELIZABETH</t>
  </si>
  <si>
    <t>CALDERON HUAMANI JOSE EDUARDO</t>
  </si>
  <si>
    <t>CASTILLO CASTILLO LUIS</t>
  </si>
  <si>
    <t>CHERRE GÁLVEZ PAOLO EVERS</t>
  </si>
  <si>
    <t>CHUÑOCCA QUISPE MIGUEL ANGEL</t>
  </si>
  <si>
    <t>COLLAZOS SALAZAR MARISOL ROSARIO</t>
  </si>
  <si>
    <t>CONGACHA LEIVA YESENIA SANDY</t>
  </si>
  <si>
    <t>CORDOVA ROMERO ROGER SEBASTIAN</t>
  </si>
  <si>
    <t>DAVILA RUPAY ANGELICA MARIA</t>
  </si>
  <si>
    <t>DE LA CRUZ CORONEL YOLANDA</t>
  </si>
  <si>
    <t>DIAZ BARRETO ELOTERIO</t>
  </si>
  <si>
    <t>ENCALADA OSCCO PEDRO JESUS</t>
  </si>
  <si>
    <t>ENCISO JACINTO ERIKA PATRICIA</t>
  </si>
  <si>
    <t>ESPINOZA TORRES YUNYI ALEXANDRA</t>
  </si>
  <si>
    <t>FARFÁN CUMPEN ANGEL ROBERTO</t>
  </si>
  <si>
    <t>FARFAN FARFAN FREDDY EUGENIO</t>
  </si>
  <si>
    <t>GALLEGOS CHU LINDA</t>
  </si>
  <si>
    <t>GALLEGOS OSORES BETTY DIANA</t>
  </si>
  <si>
    <t>GIRON ZAPATA JORGE</t>
  </si>
  <si>
    <t>GONZALES BALLON CRISTHIAN</t>
  </si>
  <si>
    <t>GONZALES BALLON LUIS ENRIQUE</t>
  </si>
  <si>
    <t>GONZALES SULLCA CELSO</t>
  </si>
  <si>
    <t>HUAMALI URBANO YAHER EVER</t>
  </si>
  <si>
    <t>HUAMAN GUERRERO MARITZA</t>
  </si>
  <si>
    <t>HUAMANI ORTIZ YOVER</t>
  </si>
  <si>
    <t>IDROGO DAVILA RICARDO MANUEL</t>
  </si>
  <si>
    <t>INGA ORTIZ PEDRO FRANCISCO</t>
  </si>
  <si>
    <t>INUMA INUMA DAVID</t>
  </si>
  <si>
    <t>JO MONTI CHRISTIAN ALBERTO</t>
  </si>
  <si>
    <t>JO SALAVERRY ANTONELLA FRANCESCA</t>
  </si>
  <si>
    <t>LARA DE LA TORRE MARY SUSAN</t>
  </si>
  <si>
    <t>LAZARO BARRETO ROBERTO CESAR</t>
  </si>
  <si>
    <t>LAZO CAMARGO GERALDINE VERUSKA</t>
  </si>
  <si>
    <t>LOAYZA DE LA CRUZ YOVANA</t>
  </si>
  <si>
    <t>LUCAS FERNANDEZ MELANY</t>
  </si>
  <si>
    <t>LUNA ERHUAY KARLO ANDRE</t>
  </si>
  <si>
    <t>LUNA LUCAS MARCO ANTONIO</t>
  </si>
  <si>
    <t>MAMANI LARICO OSCAR MARCO</t>
  </si>
  <si>
    <t>MARIN LOPEZ EDISON JUAN</t>
  </si>
  <si>
    <t>MARTIN DIAZ JORGE LUIS</t>
  </si>
  <si>
    <t>MEDRANO GOMEZ GREGORIA</t>
  </si>
  <si>
    <t>MENDEZ FELIX NELIDA CINDY</t>
  </si>
  <si>
    <t>MONTESINOS RIOS EBERHARD</t>
  </si>
  <si>
    <t>MORALES CALDERON CRISTINA AURORA</t>
  </si>
  <si>
    <t>MORALES ESPINOZA EMANUEL ABDIAS</t>
  </si>
  <si>
    <t>MORENO LAURA WAIZE DAVID</t>
  </si>
  <si>
    <t>NOA BARRETO ANA LIZ</t>
  </si>
  <si>
    <t>OCHANTE RICAPA ANGELICA ELIZABETH</t>
  </si>
  <si>
    <t>ODIAGA BERNAL ANA KARINA</t>
  </si>
  <si>
    <t>PACHECO HUAMAN RICARDO MANUEL</t>
  </si>
  <si>
    <t>PALOMINO TORRES CESAR AUGUSTO</t>
  </si>
  <si>
    <t>PEÑALOZA ALMONACID ALEJANDRO JUNIOR</t>
  </si>
  <si>
    <t>PIZARRO ROMERO JEAN MACKARTY</t>
  </si>
  <si>
    <t>QUILLAY SALVADOR LUIS ARMANDO</t>
  </si>
  <si>
    <t>QUISPE BAQUERIZO EDWIN FRANK</t>
  </si>
  <si>
    <t>QUISPE BAQUERIZO ISMAEL FRANCO</t>
  </si>
  <si>
    <t>QUISPE PEREZ ROSA</t>
  </si>
  <si>
    <t>RAMIREZ ECHEGARAY HAROLD NEFIAH</t>
  </si>
  <si>
    <t>REYES RODRIGUEZ CRISTOPHER OMAR</t>
  </si>
  <si>
    <t>REYNA ORE LUIS ALBERTO</t>
  </si>
  <si>
    <t>RIVERA FERNANDEZ ESTELITA EUGENIA</t>
  </si>
  <si>
    <t>ROA SANTOS CHRISTIAN CRISTOFER</t>
  </si>
  <si>
    <t>ROIRO DE LA CRUZ JANETH</t>
  </si>
  <si>
    <t>ROMERO ORTEGA RAUL ENRIQUE</t>
  </si>
  <si>
    <t>ROSADO SALAZAR ARMANDO ANDRES</t>
  </si>
  <si>
    <t>ROSALES RIVERA JOSE ANTONIO</t>
  </si>
  <si>
    <t>SANCHEZ JIBAJA GIOVANNA PATRICIA</t>
  </si>
  <si>
    <t>SANTOS JIMENEZ LILIANA LIZBETH</t>
  </si>
  <si>
    <t>SANTOS ROMAN FIORELA MIRELLA</t>
  </si>
  <si>
    <t>SAPAICO PRESENTACION ERIKA JOVANA</t>
  </si>
  <si>
    <t>SARAVIA AVALOS VICTOR HUGO</t>
  </si>
  <si>
    <t>SUCLUPE SANCHEZ ANGEL</t>
  </si>
  <si>
    <t>SULCA BALDEON RENE</t>
  </si>
  <si>
    <t>TELLO CARLIN RAFAHEL ANTONIO</t>
  </si>
  <si>
    <t>TIRADO DELGADO OLIVER PETER</t>
  </si>
  <si>
    <t>TORIBIO SINCHE JUANITA</t>
  </si>
  <si>
    <t>TORRES PERALTA YERSON ROLLY</t>
  </si>
  <si>
    <t>TRISTAN VIDALON MARIBEL</t>
  </si>
  <si>
    <t>VARGAS DORIVAL LUISA ERIKA</t>
  </si>
  <si>
    <t>VASQUEZ ALCANTARA NILTON CESAR</t>
  </si>
  <si>
    <t>VASQUEZ OCHOA SOFIA</t>
  </si>
  <si>
    <t>VASQUEZ RAMIREZ MARCELA MARLENE</t>
  </si>
  <si>
    <t>VELASQUEZ PÁLIZA LESLIE MABEL</t>
  </si>
  <si>
    <t>VILA GARCIA CHRISTIAN SERAPIO</t>
  </si>
  <si>
    <t>VILCA RIMACHA JAVIER</t>
  </si>
  <si>
    <t>VILLALOBOS BAYTON MARLENE AUGUSTA</t>
  </si>
  <si>
    <t>VILLEGAS HUAYTA DANTE ENRIQUE</t>
  </si>
  <si>
    <t>WONG RAMOS ALEJANDRO KIM</t>
  </si>
  <si>
    <t>YACE NAVARRO YASMIN</t>
  </si>
  <si>
    <t>YAÑEZ ÑAHUIS FIORELLA DEL CARMEN</t>
  </si>
  <si>
    <t>YAURI JULIAN EDINSON APOLINARIO</t>
  </si>
  <si>
    <t>ZAMORA JIMENEZ TANIA LISSETTE</t>
  </si>
  <si>
    <t>ZAVALA PUENTE EDGAR PEDRO</t>
  </si>
  <si>
    <t>Operario de Almacen - Materia prima</t>
  </si>
  <si>
    <t>Operario de imprenta</t>
  </si>
  <si>
    <t>Encargada de Compras</t>
  </si>
  <si>
    <t>Operario de Almacén - Producto terminado</t>
  </si>
  <si>
    <t>Operador Logístico</t>
  </si>
  <si>
    <t>Encargado de almacén de producto terminado</t>
  </si>
  <si>
    <t>Analista de Desarrollo analítico</t>
  </si>
  <si>
    <t>Operaria de Acondicionado</t>
  </si>
  <si>
    <t>Auxiliar de Almacén Materia Prima</t>
  </si>
  <si>
    <t>Asistente contable</t>
  </si>
  <si>
    <t>Operario de Limpieza</t>
  </si>
  <si>
    <t>Asesor Tecnico Comercial</t>
  </si>
  <si>
    <t>Operaria de Lavanderia</t>
  </si>
  <si>
    <t>Asistente de Creditos y Cobranzas</t>
  </si>
  <si>
    <t>Operario de Almacén - despacho</t>
  </si>
  <si>
    <t>Operario de Producción - Líquidos</t>
  </si>
  <si>
    <t>Asistente de producción</t>
  </si>
  <si>
    <t>Operario de Almacen - Material de empaque</t>
  </si>
  <si>
    <t>Auxiliar de control de calidad</t>
  </si>
  <si>
    <t>Asistente de Microbiología</t>
  </si>
  <si>
    <t>Operario de Producción - Sólidos</t>
  </si>
  <si>
    <t>Asistente de facturación</t>
  </si>
  <si>
    <t>Encargado de Sistemas</t>
  </si>
  <si>
    <t>Auxiliar de Imprenta</t>
  </si>
  <si>
    <t>Asistente de compras y comercio exterior</t>
  </si>
  <si>
    <t>Diseñador Grafico</t>
  </si>
  <si>
    <t>Gerente Ejecutivo</t>
  </si>
  <si>
    <t>Encargada de Microbiología</t>
  </si>
  <si>
    <t>Analista de Control de Calidad</t>
  </si>
  <si>
    <t>Seguridad y Vigilancia</t>
  </si>
  <si>
    <t>Operario de Producción -Agrojosch</t>
  </si>
  <si>
    <t>Auxiliar de Mantenimiento</t>
  </si>
  <si>
    <t>Auxiliar de Producción - Liquidos</t>
  </si>
  <si>
    <t>Operario de producción - Inyectables</t>
  </si>
  <si>
    <t>Asistente de Sistemas</t>
  </si>
  <si>
    <t>Auxiliar de almacén de material de empaque</t>
  </si>
  <si>
    <t>Encargado de Imprenta</t>
  </si>
  <si>
    <t>Agente de Seguridad</t>
  </si>
  <si>
    <t>Gerente General</t>
  </si>
  <si>
    <t>Asistente de Marketing</t>
  </si>
  <si>
    <t>Encargado de Capital Humano</t>
  </si>
  <si>
    <t>Asistente Aseguramiento de la Calidad</t>
  </si>
  <si>
    <t>Community Manager</t>
  </si>
  <si>
    <t>Encargado de Marketing</t>
  </si>
  <si>
    <t>Asistente de despacho</t>
  </si>
  <si>
    <t>Auxiliar de Acondicionado</t>
  </si>
  <si>
    <t>Representante de Ventas</t>
  </si>
  <si>
    <t>Operario de Producción - polvos</t>
  </si>
  <si>
    <t>Asistente de logística</t>
  </si>
  <si>
    <t>Encargada de Tesorería</t>
  </si>
  <si>
    <t>Contadora Financiera</t>
  </si>
  <si>
    <t>Asistente de costos</t>
  </si>
  <si>
    <t>Jefe de Almacén y Logística</t>
  </si>
  <si>
    <t>Encargado de Produccion</t>
  </si>
  <si>
    <t>Jefe de Aseguramiento de la Calidad</t>
  </si>
  <si>
    <t>Asistente de Tesoreria</t>
  </si>
  <si>
    <t>Encargada Área Invest y Desarrollo</t>
  </si>
  <si>
    <t>Jefe de Asuntos Regulatorios</t>
  </si>
  <si>
    <t>Asistente de Logística - Materia prima</t>
  </si>
  <si>
    <t>Auxiliar de Limpieza</t>
  </si>
  <si>
    <t>Encargada de Ventas</t>
  </si>
  <si>
    <t>Operario de Mantenimiento</t>
  </si>
  <si>
    <t>Jefe de producción</t>
  </si>
  <si>
    <t>Auxiliar de Almacén Producto terminado</t>
  </si>
  <si>
    <t>Asistente de Capital Humano</t>
  </si>
  <si>
    <t>Almacen</t>
  </si>
  <si>
    <t>Imprenta</t>
  </si>
  <si>
    <t>Compras</t>
  </si>
  <si>
    <t>Logística</t>
  </si>
  <si>
    <t>Control de Calidad</t>
  </si>
  <si>
    <t>Producción</t>
  </si>
  <si>
    <t>Contabilidad</t>
  </si>
  <si>
    <t>Limpieza</t>
  </si>
  <si>
    <t>Ventas</t>
  </si>
  <si>
    <t>Lavandería</t>
  </si>
  <si>
    <t>Facturación</t>
  </si>
  <si>
    <t>Sistemas</t>
  </si>
  <si>
    <t>Marketing</t>
  </si>
  <si>
    <t>Gerencia</t>
  </si>
  <si>
    <t>Vigilancia</t>
  </si>
  <si>
    <t>Mantenimiento</t>
  </si>
  <si>
    <t>Capital Humano</t>
  </si>
  <si>
    <t>Aseguramiento de la Calidad</t>
  </si>
  <si>
    <t>Despacho</t>
  </si>
  <si>
    <t>Tesorería</t>
  </si>
  <si>
    <t>Asuntos Regulatorios</t>
  </si>
  <si>
    <t>Transporte</t>
  </si>
  <si>
    <t>Investigación y Desarrollo</t>
  </si>
  <si>
    <t>Planta</t>
  </si>
  <si>
    <t>MONTES FLORES WALTER EUTEMIO</t>
  </si>
  <si>
    <t>AGROJOSCH SOCIEDAD ANONIMA CERRADA - AGROJOSCH S.A.C.</t>
  </si>
  <si>
    <t>LABORATORIOS DROGAVET S.A.C.</t>
  </si>
  <si>
    <t>QUIMICA JOSCH SOCIEDAD ANONIMA CERRADA - QUIMICA JOSCH S.A.C.</t>
  </si>
  <si>
    <t>GRUPO DROGAVET S.A.C.</t>
  </si>
  <si>
    <t>RAMIREZ OBREGON JOSE ALFREDO</t>
  </si>
  <si>
    <t>Operario almacén - materia prima</t>
  </si>
  <si>
    <t>Operario de producción</t>
  </si>
  <si>
    <t>LIZANO MEZA MARCELO FERNANDO</t>
  </si>
  <si>
    <t>Operario</t>
  </si>
  <si>
    <t>Observado</t>
  </si>
  <si>
    <t>ANEMIA MODERADA (8.8 Hb mg dl)
SOBREPESO
AMETROPIA</t>
  </si>
  <si>
    <t>Anemia (Hb 1).</t>
  </si>
  <si>
    <t>VIDA SALUDABLE</t>
  </si>
  <si>
    <t>Obesidad I / Síndrome Metabólico: Ingresar a Programa Vida Saludable.</t>
  </si>
  <si>
    <t>IMC &gt; 35: NO APTO PARA TRABAJO EN ALTURA ESTRUCTURAL Y ESPACIO CONFINADO.</t>
  </si>
  <si>
    <t>OBESIDAD II (IMC: 36.81)
HIPERCOLESTEROLEMIA</t>
  </si>
  <si>
    <t>AMETROPÍA NO CORREGIDA</t>
  </si>
  <si>
    <t>SE RECOMIENDA EL USO DE LENTES CORRECTORES DE LEJOS EN FORMA PERMANENTE PARA MEJORAR SU AGUDEZA VISUAL;ASIMISMO, SE RECOMIENDA EVALUACIÓN EN OFTALMOLÓGICA EN FORMA ANUAL.</t>
  </si>
  <si>
    <t>VISUAL</t>
  </si>
  <si>
    <t>Uso obligatorio de lentes correctores y contar con repuesto.</t>
  </si>
  <si>
    <t>MANTENER UNA DIETA VARIADA, CON CEREALES, VERDURAS Y FRUTAS. INTRODUZCA EN SU DIETA PESCADOS. DISMINUYA EL CONSUMO DE CARNES ROJAS, HUEVOS (MAXIMO 2 O 3 VECES POR SEMANA), LECHE ENTERA Y DERIVADOS. COCINE CON POCO ACEITE. EVITE EN LO POSIBLE LOS FRITOS Y GUISOS, PREFERIBLE A LA PLANCHA O A LA BRASA. RETIRE LA GRASA VISIBLE DE LA CARNE ANTES DE COCINARLA. HAGA EJERCICIO FISICO DE FORMA REGULAR. EVITE EL CONSUMO DE ALCOHOL Y NO FUME.</t>
  </si>
  <si>
    <t>AMETROPÍA NO CORREGIDA
PRESBICIA NO CORREGIDA</t>
  </si>
  <si>
    <t>AMETROPÍA PARCIALMENTE CORREGIDA
PRESBICIA PARCIALMENTE CORREGIDA</t>
  </si>
  <si>
    <t>SE SUGIERE RENOVAR SUS ACTUALES LENTES CORRECTORES DE LEJOS PARA UTILIZARLOS EN FORMA PERMANENTE ESPECIALMENTE PARA TRABAJAR.</t>
  </si>
  <si>
    <t>AMETROPÍA NO CORREGIDA BILATERAL</t>
  </si>
  <si>
    <t>LEUCOPENIA</t>
  </si>
  <si>
    <t>SE SUGIERE CONTROL POR MEDICINA INTERNA CON HEMOGRAMA COMPLETO EN 03 MESES.</t>
  </si>
  <si>
    <t>Seguimiento neurológico por antecedente o periodo de ventana.</t>
  </si>
  <si>
    <t>SE RECOMIENDA EL USO DE LENTES CORRECTORES DE LEJOS EN FORMA PERMANENTE PARA MEJORAR SU AGUDEZA VISUAL;ASIMISMO, SE RECOMIENDA EVALUACIÓN EN OFTALMOLÓGICA EN FORMA ANUAL.
MANTENER UNA DIETA VARIADA, CON CEREALES, VERDURAS Y FRUTAS. INTRODUZCA EN SU DIETA PESCADOS. DISMINUYA EL CONSUMO DE CARNES ROJAS, HUEVOS (MAXIMO 2 O 3 VECES POR SEMANA), LECHE ENTERA Y DERIVADOS. COCINE CON POCO ACEITE. EVITE EN LO POSIBLE LOS FRITOS Y GUISOS, PREFERIBLE A LA PLANCHA O A LA BRASA. RETIRE LA GRASA VISIBLE DE LA CARNE ANTES DE COCINARLA. HAGA EJERCICIO FISICO DE FORMA REGULAR. EVITE EL CONSUMO DE ALCOHOL Y NO FUME</t>
  </si>
  <si>
    <t>PRESBICIA CORREGIDA BILATERAL
ANEMIA LEVE</t>
  </si>
  <si>
    <t>SE SUGIERE CONTINUAR CON EL USO DE LENTES CORRECTORES DE CERCA.
CONTROL POR MEDICINA INTERNA CON HEMOGRAMA COMPLETO EN 3 MESES.</t>
  </si>
  <si>
    <t>OBESIDAD I (IMC: 32)
AMETROPÍA PARCIALMENTE CORREGIDA BILATERAL
LUMBALGIA</t>
  </si>
  <si>
    <t>ERGONOMÍA</t>
  </si>
  <si>
    <t>Hallazgo locomotor requiere seguimiento ergonómico. | RESTRICCIÓN: No realizar levantamiento de cargas mayores a 25kg.</t>
  </si>
  <si>
    <t>Seguimiento respiratorio requerido.</t>
  </si>
  <si>
    <t>PSORIASIS, NO ESPECIFICADA</t>
  </si>
  <si>
    <t>AMETROPÍA CORREGIDA BILATERAL</t>
  </si>
  <si>
    <t>AMETROPÍA CORREGIDA BILATERAL
OBESIDAD I</t>
  </si>
  <si>
    <t>HIPERLIPIDEMIA MIXTA
AMETROPÍA PARCIALMENTE CORREGIDA BILATERAL</t>
  </si>
  <si>
    <t>SE SUGIERE RENOVAR SUS ACTUALES LENTES CORRECTORES DE LEJOS PARA UTILIZARLOS EN FORMA PERMANENTE ESPECIALMENTE PARA TRABAJAR.
MANTENER UNA DIETA VARIADA, CON CEREALES, VERDURAS Y FRUTAS. INTRODUZCA EN SU DIETA PESCADOS. DISMINUYA EL CONSUMO DE CARNES ROJAS, HUEVOS (MAXIMO 2 O 3 VECES POR SEMANA), LECHE ENTERA Y DERIVADOS. COCINE CON POCO ACEITE. EVITE EN LO POSIBLE LOS FRITOS Y GUISOS, PREFERIBLE A LA PLANCHA O A LA BRASA. RETIRE LA GRASA VISIBLE DE LA CARNE ANTES DE COCINARLA. HAGA EJERCICIO FISICO DE FORMA REGULAR. EVITE EL CONSUMO DE ALCOHOL Y NO FUME</t>
  </si>
  <si>
    <t>SE RECOMIENDA EL USO DE LENTES CORRECTORES DE LEJOS EN FORMA PERMANENTE PARA MEJORAR SU AGUDEZA VISUAL;ASIMISMO, SE RECOMIENDA EVALUACIÓN EN OFTALMOLÓGICA EN FORMA ANUAL.
SE RECOMIENDA USO DE PROTECCIÓN AUDITIVA EN ZONAS DE RIESGO, INGRESO A PROGRAMA DE CONSERVACIÓN AUDITIVA. CONTROL AUDIOMÉTRICO ANUAL</t>
  </si>
  <si>
    <t>control por ekg en 1 mes
USO DE PROTECTORES RESPIRATORIOS EN ZONAS DE RIESGO (POLVO O SUSTANCIAS PARTICULADAS) CONTROL PERIÓDICO POR ESPECIALIDAD.</t>
  </si>
  <si>
    <t>HEPATITIS A -IgM POSITIVO</t>
  </si>
  <si>
    <t>SE RECOMIENDA EVALUACIÓN POR OFTALMOLOGÍA DE FORMA PERIODICA.</t>
  </si>
  <si>
    <t>SE RECOMIENDA EVALUACIÓN POR GASTROENTEROLOGÍA. En 3 meses</t>
  </si>
  <si>
    <t>OBESIDAD I E HIPERLIPIDEMIA MIXTA (IMC: 32.88)
AMETROPÍA NO CORREGIDA BILATERAL</t>
  </si>
  <si>
    <t>DIETA HIPOCALÓRICA, REALIZAR ACTIVIDAD FÍSICA COMO MÍNIMO 03 VECES POR SEMANA.</t>
  </si>
  <si>
    <t>SOBREPESO (IMC: 29.69)</t>
  </si>
  <si>
    <t>SE RECOMIENDA EL USO DE LENTES CORRECTORES DE LEJOS EN FORMA PERMANENTE PARA MEJORAR SU AGUDEZA VISUAL;ASIMISMO, SE RECOMIENDA EVALUACIÓN EN OFTALMOLÓGICA EN FORMA ANUAL.
CONSUMIR MAYOR CANTIDAD DE ALIMENTOS RICOS EN HIERRO COMO CARNE DE RES O DE HÍGADO DE POLLO, MOLUSCOS, CEREALES (FRIJOLES, SOYA, LENTEJAS O GARBANZOS), TOFÚ, AJONJOLÍ O CALABACÍN. CONTROL POR MEDICINA INTERNA CON HEMOGRAMA COMPLETO EN 3 MESES.</t>
  </si>
  <si>
    <t>ESPIROMETRÍA BASAL : PATRÓN SUGESTIVO DE RESTRICCIÓN LEVE VS NO ESPECIFICO</t>
  </si>
  <si>
    <t>AMETROPÍA CORREGIDA BILATERAL
HIPERCOLESTEROLEMIA</t>
  </si>
  <si>
    <t>CONTROL ESPIROMÉTRICO PERIÓDICO.</t>
  </si>
  <si>
    <t>SE SUGIERE RENOVAR SUS ACTUALES LENTES CORRECTORES DE LEJOS PARA UTILIZARLOS EN FORMA PERMANENTE ESPECIALMENTE PARA TRABAJAR.
DIETA HIPOCALÓRICA, REALIZAR ACTIVIDAD FÍSICA COMO MÍNIMO 03 VECES POR SEMANA. CONTROL DEL PESO CADA 03 MESES.
CONTROL PERIODICO POR REUMATOLOGIA. SE RECOMIENDA EVITAR POSTURAS MANTENIDAS DURANTE LARGOS PERIODOS DE TIEMPO Y REALIZAR PAUSAS ACTIVAS DURANTE LA JORNADA LABORAL.</t>
  </si>
  <si>
    <t>AMETROPÍA PARCIALMENTE CORREGIDA OJO DERECHO</t>
  </si>
  <si>
    <t>VITILIGO</t>
  </si>
  <si>
    <t>DESCARTAR OTRAS ALTERACIONES DE AMBOS OIDOS</t>
  </si>
  <si>
    <t>ANEMIA</t>
  </si>
  <si>
    <t>INTERCONSULTA MEDICINA INTERNA</t>
  </si>
  <si>
    <t>DOLOR EN ARTICULACIÓN
OBESIDAD I (IMC: 32.47)
AMETROPÍA CORREGIDA
PRESBICIA CORREGIDA</t>
  </si>
  <si>
    <t>TUMEFACCIÓN, MASA O PROMINENCIA INTRAABDOMINAL Y DE MIEMBROS SUPERIORES E
INFERIORES.</t>
  </si>
  <si>
    <t>ECOGRAFÍA D ECONTROL, EVALUACION POR MEDICINA INTERNA Y CIRUGIA</t>
  </si>
  <si>
    <t>CONTROL POR TRAUMATOLOGIA.
SE SUGIERE RENOVAR SUS ACTUALES LENTES CORRECTORES DE LEJOS PARA UTILIZARLOS EN FORMA PERMANENTE ESPECIALMENTE PARA TRABAJAR.
MANTENER UNA DIETA VARIADA, CON CEREALES, VERDURAS Y FRUTAS. INTRODUZCA EN SU DIETA PESCADOS. DISMINUYA EL CONSUMO DE CARNES ROJAS, HUEVOS (MAXIMO 2 O 3 VECES POR SEMANA), LECHE ENTERA Y DERIVADOS. COCINE CON POCO ACEITE. EVITE EN LO POSIBLE LOS FRITOS Y GUISOS, PREFERIBLE A LA PLANCHA O A LA BRASA. RETIRE LA GRASA VISIBLE DE LA CARNE ANTES DE COCINARLA. HAGA EJERCICIO FISICO DE FORMA REGULAR. EVITE EL CONSUMO DE ALCOHOL Y NO FUME</t>
  </si>
  <si>
    <t>Diagnostico / INTERCONSULTA</t>
  </si>
  <si>
    <t>I/C PENDIENTE</t>
  </si>
  <si>
    <t>ARIAS SAEZ ELIZABETH</t>
  </si>
  <si>
    <t>BRAVO CAMARENA HENRY WILLIAM</t>
  </si>
  <si>
    <t>CABEZUDO SANCHEZ JENNY SOLEDAD</t>
  </si>
  <si>
    <t>GONZALES BALLON ALEXANDER</t>
  </si>
  <si>
    <t>IDONE VILLARROEL LUIS ALBERTO</t>
  </si>
  <si>
    <t>SANCHEZ MELO MARIO ALBERTO</t>
  </si>
  <si>
    <t>SANCHEZ SALDAÑA LUDITH</t>
  </si>
  <si>
    <t>Encargada de Comercio Exterior</t>
  </si>
  <si>
    <t>Coordinador de almacén</t>
  </si>
  <si>
    <t>Asistente Senior de Asuntos Regulatorios</t>
  </si>
  <si>
    <t>Analista de Asuntos Regulatorios</t>
  </si>
  <si>
    <t>Gestor de Negocios</t>
  </si>
  <si>
    <t>Asistente Junior de Asuntos Regulatorios</t>
  </si>
  <si>
    <t>PRESBICIA
OBESIDAD TIPO 1</t>
  </si>
  <si>
    <t>OBESIDAD I E HIPERCOLESTEROLEMIA (IMC: 34.95)
AMETROPÍA CORREGIDA
PRESBICIA CORREGIDA</t>
  </si>
  <si>
    <t>PRESBICIA
SOBREPESO</t>
  </si>
  <si>
    <t>AMETROPÍA NO CORREGIDA BILATERAL
DISCROMATOPSIA</t>
  </si>
  <si>
    <t>AMETROPÍA NO CORREGIDA BILATERAL
ANEMIA LEVE</t>
  </si>
  <si>
    <t>OBESIDAD I (IMC: 34.29)
AMETROPÍA PARCIALMENTE CORREGIDA BILATERAL
CONDROMALACIA DE LA RÓTULA</t>
  </si>
  <si>
    <t>OBESIDAD I E HIPERCOLESTEROLEMIA (IMC: 31.64)</t>
  </si>
  <si>
    <t>HIPERLIPIDEMIA MIXTA
AMETROPÍA NO CORREGIDA BILATERAL</t>
  </si>
  <si>
    <t>AMETROPIA
HIPERLIPIDEMIA MIXTA
ESPIROMETRÍA BASAL : PATRÓN OBSTRUCTIVO MODERADAMENTE GRAVE Y SUGESTIVO DE RESTRICCIÓN MODERADA.</t>
  </si>
  <si>
    <t>OBESIDAD I
LUMBALGIA
AMETROPÍA NO CORREGIDA BILATERAL
PRESBICIA NO CORREGIDA BILATERAL</t>
  </si>
  <si>
    <t>OBESIDAD I E HIPERLIPIDEMIA MIXTA (IMC: 30.22)
AMETROPÍA PARCIALMENTE CORREGIDA BILATERAL
PRESBICIA PARCIALMENTE CORREGIDA BILATERAL
PTERIGION OCULAR NASAL GRADO II OJO DERECHO</t>
  </si>
  <si>
    <t>BAJO PESO
RX ANORMAL DE PULMON</t>
  </si>
  <si>
    <t>AMETROPIA
PRESBICIA</t>
  </si>
  <si>
    <t>USO PERMANENTE DE SUS ACTUALES CORRECTORES VISUALES DE LEJOS.
MANTENER UNA DIETA VARIADA, CON CEREALES, VERDURAS Y FRUTAS. INTRODUZCA EN SU DIETA PESCADOS. DISMINUYA EL CONSUMO DE CARNES ROJAS, HUEVOS (MAXIMO 2 O 3 VECES POR SEMANA), LECHE ENTERA Y DERIVADOS. COCINE CON POCO ACEITE. EVITE EN LO POSIBLE LOS FRITOS Y GUISOS, PREFERIBLE A LA PLANCHA O A LA BRASA. RETIRE LA GRASA VISIBLE DE LA CARNE ANTES DE COCINARLA. HAGA EJERCICIO FISICO DE FORMA REGULAR. EVITE EL CONSUMO DE ALCOHOL Y NO FUME.</t>
  </si>
  <si>
    <t>1. USO PERMANENTE DE SUS ACTUALES CORRECTORES VISUALES DE LEJOS.
2. DIETA HIPOCALÓRICA, REALIZAR ACTIVIDAD FÍSICA COMO MÍNIMO 03 VECES POR SEMANA.
3. INTERCONSULTA CON MEDICINA INTERNA</t>
  </si>
  <si>
    <t>USO PERMANENTE DE SUS ACTUALES CORRECTORES VISUALES DE LEJOS.</t>
  </si>
  <si>
    <t>SE SUGIERE RENOVAR SUS ACTUALES LENTES CORRECTORES DE LEJOS PARA UTILIZARLOS EN FORMA PERMANENTE ESPECIALMENTE PARA TRABAJAR.
SE RECOMIENDA REALIZAR PAUSAS EN SU TRABAJO, REALIZAR EJERCICIOS DE RELAJAMIENTO PARA ATENUAR EL DOLOR A NIVEL LUMBAR Y REALIZAR UNA TÉCNICA ADECUADA DE LEVANTAMIENTO DE CARGA. SI PERSISTE EL DOLOR DEBERÁ ACUDIR A EVALUACIÓN MÉDICA PARA TRATAMIENTO.</t>
  </si>
  <si>
    <t>USO PERMANENTE DE SUS ACTUALES CORRECTORES VISUALES DE LEJOS.
SE RECOMIENDA USO DE PROTECTORES RESPIRATORIOS EN ZONAS DE RIESGO (POLVO O SUSTANCIAS PARTICULADAS).</t>
  </si>
  <si>
    <t>ONDAS Q EN DIII-AVF
HALLAZGOS ANORMALES EN DIAGNOSTICO POR IMAGEN DEL PULMON ( IMAGEN SUGESTIVA A PROCESO INFLAMATORIO PLEUROPARENQUIMAL SECUELAR. )</t>
  </si>
  <si>
    <t>SE RECOMIENDA CONTROL PERIODICO POR DERMATOLOGIA.</t>
  </si>
  <si>
    <t>SALUD OCUPACIONAL</t>
  </si>
  <si>
    <t>Pre-Ocupacional</t>
  </si>
  <si>
    <t>SI</t>
  </si>
  <si>
    <t>Periódicos</t>
  </si>
  <si>
    <t>ACCIDENTES EN EL MES</t>
  </si>
  <si>
    <t>VISUAL, Visual</t>
  </si>
  <si>
    <t xml:space="preserve">DIETA HIPOCALÓRICA, REALIZAR ACTIVIDAD FÍSICA COMO MÍNIMO 03 VECES POR SEMANA.
</t>
  </si>
  <si>
    <t>Diagnostico / INTERCONSULTA 2</t>
  </si>
  <si>
    <t>Diagnostico / INTERCONSULTA 3</t>
  </si>
  <si>
    <t>AÑO</t>
  </si>
  <si>
    <t>manguito rotatorio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</si>
</sst>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dd/mm/yyyy;@"/>
    <numFmt numFmtId="166" formatCode="00000000"/>
  </numFmts>
  <fonts count="21" x14ac:knownFonts="1">
    <font>
      <sz val="11"/>
      <color theme="1"/>
      <name val="Calibri"/>
      <family val="2"/>
      <scheme val="minor"/>
    </font>
    <font>
      <b/>
      <sz val="11"/>
      <name val="Calibri"/>
      <family val="2"/>
    </font>
    <font>
      <b/>
      <sz val="11"/>
      <name val="Calibri"/>
      <family val="2"/>
    </font>
    <font>
      <sz val="11"/>
      <name val="Calibri"/>
      <family val="2"/>
      <scheme val="minor"/>
    </font>
    <font>
      <sz val="11"/>
      <color theme="1"/>
      <name val="Calibri"/>
      <family val="2"/>
      <scheme val="minor"/>
    </font>
    <font>
      <b/>
      <sz val="12"/>
      <color theme="1"/>
      <name val="Calibri"/>
      <family val="2"/>
    </font>
    <font>
      <b/>
      <sz val="11"/>
      <color theme="1"/>
      <name val="Calibri"/>
      <family val="2"/>
    </font>
    <font>
      <sz val="11"/>
      <color theme="1"/>
      <name val="Calibri"/>
      <family val="2"/>
    </font>
    <font>
      <sz val="8"/>
      <name val="Calibri"/>
      <family val="2"/>
      <scheme val="minor"/>
    </font>
    <font>
      <sz val="11"/>
      <color theme="0"/>
      <name val="Calibri"/>
      <family val="2"/>
      <scheme val="minor"/>
    </font>
    <font>
      <b/>
      <sz val="11"/>
      <color theme="0"/>
      <name val="Calibri"/>
      <family val="2"/>
    </font>
    <font>
      <b/>
      <sz val="14"/>
      <color theme="1"/>
      <name val="Calibri"/>
      <family val="2"/>
    </font>
    <font>
      <b/>
      <sz val="9"/>
      <color theme="1"/>
      <name val="Calibri"/>
      <family val="2"/>
    </font>
    <font>
      <sz val="11"/>
      <color theme="1"/>
      <name val="Biome Light"/>
      <family val="2"/>
    </font>
    <font>
      <b/>
      <sz val="11"/>
      <color theme="0"/>
      <name val="Calibri"/>
      <family val="2"/>
      <scheme val="minor"/>
    </font>
    <font>
      <sz val="8"/>
      <color theme="8" tint="-0.499984740745262"/>
      <name val="Century Gothic"/>
      <family val="2"/>
    </font>
    <font>
      <b/>
      <sz val="9"/>
      <color indexed="81"/>
      <name val="Tahoma"/>
      <family val="2"/>
    </font>
    <font>
      <sz val="9"/>
      <color indexed="81"/>
      <name val="Tahoma"/>
      <family val="2"/>
    </font>
    <font>
      <sz val="11"/>
      <color rgb="FFFFFFFF"/>
      <name val="Calibri"/>
      <family val="2"/>
      <scheme val="minor"/>
    </font>
    <font>
      <sz val="11"/>
      <color rgb="FF000000"/>
      <name val="Calibri"/>
      <family val="2"/>
      <scheme val="minor"/>
    </font>
    <font>
      <b/>
      <sz val="11"/>
      <color rgb="FF000000"/>
      <name val="Calibri"/>
      <family val="2"/>
      <scheme val="minor"/>
    </font>
  </fonts>
  <fills count="16">
    <fill>
      <patternFill patternType="none"/>
    </fill>
    <fill>
      <patternFill patternType="gray125"/>
    </fill>
    <fill>
      <patternFill patternType="solid">
        <fgColor theme="4" tint="0.59999389629810485"/>
        <bgColor indexed="65"/>
      </patternFill>
    </fill>
    <fill>
      <patternFill patternType="solid">
        <fgColor rgb="FFC5C4C6"/>
        <bgColor rgb="FFC5C4C6"/>
      </patternFill>
    </fill>
    <fill>
      <patternFill patternType="solid">
        <fgColor theme="4"/>
      </patternFill>
    </fill>
    <fill>
      <patternFill patternType="solid">
        <fgColor theme="5" tint="0.39997558519241921"/>
        <bgColor indexed="65"/>
      </patternFill>
    </fill>
    <fill>
      <patternFill patternType="solid">
        <fgColor theme="3" tint="0.79998168889431442"/>
        <bgColor indexed="64"/>
      </patternFill>
    </fill>
    <fill>
      <patternFill patternType="solid">
        <fgColor theme="5"/>
      </patternFill>
    </fill>
    <fill>
      <patternFill patternType="solid">
        <fgColor theme="5" tint="0.59999389629810485"/>
        <bgColor indexed="65"/>
      </patternFill>
    </fill>
    <fill>
      <patternFill patternType="solid">
        <fgColor theme="7"/>
      </patternFill>
    </fill>
    <fill>
      <patternFill patternType="solid">
        <fgColor theme="7" tint="0.59999389629810485"/>
        <bgColor indexed="65"/>
      </patternFill>
    </fill>
    <fill>
      <patternFill patternType="solid">
        <fgColor theme="4" tint="0.39997558519241921"/>
        <bgColor indexed="65"/>
      </patternFill>
    </fill>
    <fill>
      <patternFill patternType="solid">
        <fgColor theme="4"/>
        <bgColor theme="4"/>
      </patternFill>
    </fill>
    <fill>
      <patternFill patternType="mediumGray">
        <fgColor theme="4" tint="-0.499984740745262"/>
        <bgColor theme="4" tint="-0.24994659260841701"/>
      </patternFill>
    </fill>
    <fill>
      <patternFill patternType="solid">
        <fgColor theme="5" tint="0.39997558519241921"/>
        <bgColor indexed="64"/>
      </patternFill>
    </fill>
    <fill>
      <patternFill patternType="solid">
        <fgColor rgb="FFFF0000"/>
        <bgColor indexed="64"/>
      </patternFill>
    </fill>
  </fills>
  <borders count="50">
    <border>
      <left/>
      <right/>
      <top/>
      <bottom/>
      <diagonal/>
    </border>
    <border>
      <left style="thin">
        <color theme="3" tint="0.39997558519241921"/>
      </left>
      <right style="thin">
        <color theme="3" tint="0.39997558519241921"/>
      </right>
      <top style="thin">
        <color theme="3" tint="0.39997558519241921"/>
      </top>
      <bottom style="thin">
        <color theme="3" tint="0.39997558519241921"/>
      </bottom>
      <diagonal/>
    </border>
    <border>
      <left/>
      <right/>
      <top style="thin">
        <color theme="3" tint="0.39997558519241921"/>
      </top>
      <bottom/>
      <diagonal/>
    </border>
    <border>
      <left style="thin">
        <color theme="3" tint="0.39997558519241921"/>
      </left>
      <right style="thin">
        <color theme="3" tint="0.39997558519241921"/>
      </right>
      <top/>
      <bottom style="thin">
        <color theme="3" tint="0.39997558519241921"/>
      </bottom>
      <diagonal/>
    </border>
    <border>
      <left style="thin">
        <color theme="0"/>
      </left>
      <right style="thin">
        <color theme="0"/>
      </right>
      <top style="thin">
        <color theme="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diagonal/>
    </border>
    <border>
      <left/>
      <right style="thin">
        <color indexed="64"/>
      </right>
      <top/>
      <bottom style="thin">
        <color rgb="FF000000"/>
      </bottom>
      <diagonal/>
    </border>
    <border>
      <left style="thin">
        <color rgb="FF000000"/>
      </left>
      <right style="thin">
        <color indexed="64"/>
      </right>
      <top style="thin">
        <color rgb="FF000000"/>
      </top>
      <bottom style="thin">
        <color rgb="FF000000"/>
      </bottom>
      <diagonal/>
    </border>
    <border>
      <left style="thin">
        <color rgb="FF000000"/>
      </left>
      <right/>
      <top/>
      <bottom/>
      <diagonal/>
    </border>
    <border>
      <left style="thin">
        <color indexed="64"/>
      </left>
      <right/>
      <top/>
      <bottom/>
      <diagonal/>
    </border>
    <border>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right style="thin">
        <color indexed="64"/>
      </right>
      <top/>
      <bottom/>
      <diagonal/>
    </border>
    <border>
      <left style="thin">
        <color rgb="FF000000"/>
      </left>
      <right/>
      <top/>
      <bottom style="thin">
        <color indexed="64"/>
      </bottom>
      <diagonal/>
    </border>
    <border>
      <left/>
      <right style="thin">
        <color indexed="64"/>
      </right>
      <top/>
      <bottom style="thin">
        <color indexed="64"/>
      </bottom>
      <diagonal/>
    </border>
    <border>
      <left/>
      <right style="thin">
        <color indexed="64"/>
      </right>
      <top style="thin">
        <color rgb="FF000000"/>
      </top>
      <bottom style="thin">
        <color indexed="64"/>
      </bottom>
      <diagonal/>
    </border>
    <border>
      <left/>
      <right/>
      <top style="thin">
        <color rgb="FF000000"/>
      </top>
      <bottom style="thin">
        <color indexed="64"/>
      </bottom>
      <diagonal/>
    </border>
    <border>
      <left/>
      <right style="thin">
        <color indexed="64"/>
      </right>
      <top style="thin">
        <color indexed="64"/>
      </top>
      <bottom/>
      <diagonal/>
    </border>
    <border>
      <left/>
      <right/>
      <top/>
      <bottom style="thin">
        <color indexed="64"/>
      </bottom>
      <diagonal/>
    </border>
    <border>
      <left/>
      <right/>
      <top style="thin">
        <color rgb="FF000000"/>
      </top>
      <bottom style="thin">
        <color rgb="FF000000"/>
      </bottom>
      <diagonal/>
    </border>
    <border>
      <left/>
      <right style="thin">
        <color rgb="FF000000"/>
      </right>
      <top style="thin">
        <color indexed="64"/>
      </top>
      <bottom/>
      <diagonal/>
    </border>
    <border>
      <left style="thin">
        <color rgb="FF000000"/>
      </left>
      <right/>
      <top style="thin">
        <color rgb="FF000000"/>
      </top>
      <bottom style="thin">
        <color indexed="64"/>
      </bottom>
      <diagonal/>
    </border>
    <border>
      <left style="thin">
        <color indexed="64"/>
      </left>
      <right/>
      <top style="thin">
        <color indexed="64"/>
      </top>
      <bottom/>
      <diagonal/>
    </border>
    <border>
      <left style="thin">
        <color rgb="FF000000"/>
      </left>
      <right style="thin">
        <color indexed="64"/>
      </right>
      <top/>
      <bottom/>
      <diagonal/>
    </border>
    <border>
      <left style="thin">
        <color rgb="FF000000"/>
      </left>
      <right style="thin">
        <color indexed="64"/>
      </right>
      <top style="thin">
        <color indexed="64"/>
      </top>
      <bottom/>
      <diagonal/>
    </border>
    <border>
      <left style="thin">
        <color rgb="FF000000"/>
      </left>
      <right style="thin">
        <color indexed="64"/>
      </right>
      <top/>
      <bottom style="thin">
        <color indexed="64"/>
      </bottom>
      <diagonal/>
    </border>
    <border>
      <left style="thin">
        <color rgb="FF000000"/>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rgb="FFFF5050"/>
      </bottom>
      <diagonal/>
    </border>
    <border>
      <left/>
      <right/>
      <top style="dashed">
        <color rgb="FFFF5050"/>
      </top>
      <bottom style="dashed">
        <color rgb="FFFF5050"/>
      </bottom>
      <diagonal/>
    </border>
    <border>
      <left style="hair">
        <color rgb="FFC00000"/>
      </left>
      <right style="hair">
        <color rgb="FFC00000"/>
      </right>
      <top style="dashed">
        <color rgb="FFFF5050"/>
      </top>
      <bottom style="dashed">
        <color rgb="FFFF5050"/>
      </bottom>
      <diagonal/>
    </border>
    <border>
      <left style="hair">
        <color rgb="FFC00000"/>
      </left>
      <right style="hair">
        <color rgb="FFC00000"/>
      </right>
      <top style="hair">
        <color rgb="FFC00000"/>
      </top>
      <bottom style="hair">
        <color rgb="FFC00000"/>
      </bottom>
      <diagonal/>
    </border>
    <border>
      <left/>
      <right/>
      <top style="dashed">
        <color rgb="FFFF5050"/>
      </top>
      <bottom/>
      <diagonal/>
    </border>
  </borders>
  <cellStyleXfs count="11">
    <xf numFmtId="0" fontId="0" fillId="0" borderId="0"/>
    <xf numFmtId="0" fontId="4" fillId="2" borderId="0"/>
    <xf numFmtId="0" fontId="2" fillId="0" borderId="0">
      <alignment horizontal="center" vertical="top"/>
    </xf>
    <xf numFmtId="0" fontId="9" fillId="4" borderId="0" applyNumberFormat="0" applyBorder="0" applyAlignment="0" applyProtection="0"/>
    <xf numFmtId="0" fontId="4" fillId="5" borderId="0" applyNumberFormat="0" applyBorder="0" applyAlignment="0" applyProtection="0"/>
    <xf numFmtId="0" fontId="9" fillId="7" borderId="0" applyNumberFormat="0" applyBorder="0" applyAlignment="0" applyProtection="0"/>
    <xf numFmtId="0" fontId="4" fillId="8" borderId="0" applyNumberFormat="0" applyBorder="0" applyAlignment="0" applyProtection="0"/>
    <xf numFmtId="0" fontId="9"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9" fontId="4" fillId="0" borderId="0" applyFont="0" applyFill="0" applyBorder="0" applyAlignment="0" applyProtection="0"/>
  </cellStyleXfs>
  <cellXfs count="209">
    <xf numFmtId="0" fontId="0" fillId="0" borderId="0" xfId="0"/>
    <xf numFmtId="0" fontId="0" fillId="0" borderId="0" xfId="0"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14" fontId="0" fillId="0" borderId="0" xfId="0" applyNumberFormat="1" applyAlignment="1">
      <alignment horizontal="center" vertical="center"/>
    </xf>
    <xf numFmtId="49" fontId="0" fillId="0" borderId="0" xfId="0" applyNumberFormat="1" applyAlignment="1">
      <alignment vertical="center"/>
    </xf>
    <xf numFmtId="49" fontId="0" fillId="0" borderId="0" xfId="0" applyNumberFormat="1" applyAlignment="1">
      <alignment vertical="center" wrapText="1"/>
    </xf>
    <xf numFmtId="49" fontId="4" fillId="2" borderId="0" xfId="1" applyNumberFormat="1" applyAlignment="1">
      <alignment horizontal="center" vertical="center"/>
    </xf>
    <xf numFmtId="49" fontId="1" fillId="0" borderId="1" xfId="0" applyNumberFormat="1" applyFont="1" applyBorder="1" applyAlignment="1">
      <alignment horizontal="center" vertical="center"/>
    </xf>
    <xf numFmtId="0" fontId="1" fillId="0" borderId="1" xfId="0" applyFont="1" applyBorder="1" applyAlignment="1">
      <alignment horizontal="center" vertical="center"/>
    </xf>
    <xf numFmtId="49" fontId="1" fillId="0" borderId="1" xfId="0" applyNumberFormat="1" applyFont="1" applyBorder="1" applyAlignment="1">
      <alignment horizontal="center" vertical="center" wrapText="1"/>
    </xf>
    <xf numFmtId="0" fontId="4" fillId="2" borderId="0" xfId="1" applyAlignment="1">
      <alignment horizontal="center" vertical="center"/>
    </xf>
    <xf numFmtId="49" fontId="4" fillId="2" borderId="0" xfId="1" applyNumberFormat="1" applyAlignment="1">
      <alignment vertical="center"/>
    </xf>
    <xf numFmtId="0" fontId="4" fillId="2" borderId="2" xfId="1" applyBorder="1" applyAlignment="1">
      <alignment vertical="center" wrapText="1"/>
    </xf>
    <xf numFmtId="0" fontId="4" fillId="2" borderId="0" xfId="1" applyAlignment="1">
      <alignment vertical="center" wrapText="1"/>
    </xf>
    <xf numFmtId="0" fontId="0" fillId="0" borderId="0" xfId="0" applyAlignment="1">
      <alignment vertical="center" wrapText="1"/>
    </xf>
    <xf numFmtId="0" fontId="3" fillId="0" borderId="1" xfId="0" applyFont="1" applyBorder="1" applyAlignment="1">
      <alignment horizontal="center" vertical="center" wrapText="1"/>
    </xf>
    <xf numFmtId="0" fontId="4" fillId="2" borderId="2" xfId="1" applyBorder="1" applyAlignment="1">
      <alignment horizontal="center" vertical="center" wrapText="1"/>
    </xf>
    <xf numFmtId="0" fontId="0" fillId="0" borderId="0" xfId="0" applyAlignment="1">
      <alignment horizontal="center" vertical="center" wrapText="1"/>
    </xf>
    <xf numFmtId="0" fontId="3" fillId="0" borderId="3" xfId="0" applyFont="1" applyBorder="1" applyAlignment="1">
      <alignment horizontal="center" vertical="center" wrapText="1"/>
    </xf>
    <xf numFmtId="14" fontId="4" fillId="2" borderId="2" xfId="1" applyNumberFormat="1" applyBorder="1" applyAlignment="1">
      <alignment horizontal="left" vertical="center" wrapText="1"/>
    </xf>
    <xf numFmtId="0" fontId="0" fillId="0" borderId="0" xfId="0" applyAlignment="1">
      <alignment vertical="center"/>
    </xf>
    <xf numFmtId="0" fontId="4" fillId="2" borderId="2" xfId="1" applyBorder="1" applyAlignment="1">
      <alignment horizontal="center" vertical="center"/>
    </xf>
    <xf numFmtId="49" fontId="4" fillId="2" borderId="2" xfId="1" applyNumberFormat="1" applyBorder="1" applyAlignment="1">
      <alignment horizontal="center" vertical="center"/>
    </xf>
    <xf numFmtId="2"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center" wrapText="1"/>
    </xf>
    <xf numFmtId="14" fontId="0" fillId="0" borderId="0" xfId="0" applyNumberFormat="1" applyAlignment="1">
      <alignment horizontal="center"/>
    </xf>
    <xf numFmtId="14" fontId="0" fillId="0" borderId="0" xfId="0" applyNumberFormat="1" applyAlignment="1">
      <alignment horizontal="left" vertical="center" wrapText="1"/>
    </xf>
    <xf numFmtId="49" fontId="4" fillId="2" borderId="0" xfId="1" applyNumberFormat="1" applyAlignment="1">
      <alignment horizontal="center" vertical="center" wrapText="1"/>
    </xf>
    <xf numFmtId="0" fontId="0" fillId="6" borderId="0" xfId="0" applyFill="1"/>
    <xf numFmtId="0" fontId="0" fillId="6" borderId="0" xfId="0" applyFill="1" applyAlignment="1">
      <alignment horizontal="center" vertical="center"/>
    </xf>
    <xf numFmtId="0" fontId="0" fillId="6" borderId="0" xfId="0" applyFill="1" applyAlignment="1">
      <alignment horizontal="center"/>
    </xf>
    <xf numFmtId="0" fontId="1" fillId="0" borderId="1" xfId="0" applyFont="1" applyBorder="1" applyAlignment="1">
      <alignment horizontal="center" vertical="center" wrapText="1"/>
    </xf>
    <xf numFmtId="49" fontId="3" fillId="7" borderId="3" xfId="5" applyNumberFormat="1" applyFont="1" applyBorder="1" applyAlignment="1">
      <alignment horizontal="center" vertical="center" wrapText="1"/>
    </xf>
    <xf numFmtId="49" fontId="4" fillId="8" borderId="0" xfId="6" applyNumberFormat="1" applyAlignment="1">
      <alignment vertical="center"/>
    </xf>
    <xf numFmtId="49" fontId="0" fillId="0" borderId="0" xfId="0" applyNumberFormat="1" applyAlignment="1">
      <alignment horizontal="center" vertical="center" wrapText="1"/>
    </xf>
    <xf numFmtId="0" fontId="4" fillId="11" borderId="2" xfId="9" applyBorder="1" applyAlignment="1">
      <alignment vertical="center"/>
    </xf>
    <xf numFmtId="0" fontId="4" fillId="11" borderId="0" xfId="9" applyAlignment="1">
      <alignment vertical="center"/>
    </xf>
    <xf numFmtId="14" fontId="4" fillId="11" borderId="2" xfId="9" applyNumberFormat="1" applyBorder="1" applyAlignment="1">
      <alignment vertical="center"/>
    </xf>
    <xf numFmtId="14" fontId="0" fillId="0" borderId="0" xfId="0" applyNumberFormat="1" applyAlignment="1">
      <alignment vertical="center"/>
    </xf>
    <xf numFmtId="10" fontId="0" fillId="0" borderId="0" xfId="0" applyNumberFormat="1"/>
    <xf numFmtId="164" fontId="0" fillId="0" borderId="0" xfId="0" applyNumberFormat="1" applyAlignment="1">
      <alignment horizontal="center" vertical="center" wrapText="1"/>
    </xf>
    <xf numFmtId="0" fontId="4" fillId="11" borderId="0" xfId="9" applyAlignment="1">
      <alignment horizontal="center" vertical="center" wrapText="1"/>
    </xf>
    <xf numFmtId="49" fontId="9" fillId="7" borderId="1" xfId="5" applyNumberFormat="1" applyBorder="1" applyAlignment="1">
      <alignment horizontal="center" vertical="center" wrapText="1"/>
    </xf>
    <xf numFmtId="49" fontId="9" fillId="9" borderId="1" xfId="7" applyNumberFormat="1" applyBorder="1" applyAlignment="1">
      <alignment horizontal="center" vertical="center" wrapText="1"/>
    </xf>
    <xf numFmtId="49" fontId="4" fillId="10" borderId="4" xfId="8" applyNumberFormat="1" applyBorder="1" applyAlignment="1">
      <alignment horizontal="left" vertical="center"/>
    </xf>
    <xf numFmtId="49" fontId="4" fillId="8" borderId="0" xfId="6" applyNumberFormat="1" applyBorder="1" applyAlignment="1">
      <alignment horizontal="left" vertical="center"/>
    </xf>
    <xf numFmtId="0" fontId="4" fillId="11" borderId="2" xfId="9" applyNumberFormat="1" applyBorder="1" applyAlignment="1">
      <alignment horizontal="center" vertical="center"/>
    </xf>
    <xf numFmtId="0" fontId="4" fillId="11" borderId="0" xfId="9" applyBorder="1" applyAlignment="1">
      <alignment vertical="center"/>
    </xf>
    <xf numFmtId="49" fontId="1" fillId="0" borderId="3" xfId="0" applyNumberFormat="1" applyFont="1" applyBorder="1" applyAlignment="1">
      <alignment horizontal="center" vertical="center" wrapText="1"/>
    </xf>
    <xf numFmtId="0" fontId="6" fillId="3" borderId="11" xfId="0" applyFont="1" applyFill="1" applyBorder="1" applyAlignment="1">
      <alignment horizontal="center" vertical="center" wrapText="1"/>
    </xf>
    <xf numFmtId="0" fontId="0" fillId="0" borderId="27"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0" fillId="0" borderId="29" xfId="0" applyBorder="1" applyAlignment="1">
      <alignment horizontal="center" vertical="center"/>
    </xf>
    <xf numFmtId="0" fontId="0" fillId="0" borderId="23" xfId="0" applyBorder="1" applyAlignment="1">
      <alignment horizontal="center" vertical="center"/>
    </xf>
    <xf numFmtId="0" fontId="0" fillId="0" borderId="25" xfId="0" applyBorder="1" applyAlignment="1">
      <alignment horizontal="center" vertical="center"/>
    </xf>
    <xf numFmtId="0" fontId="0" fillId="0" borderId="29" xfId="0" applyBorder="1"/>
    <xf numFmtId="0" fontId="0" fillId="0" borderId="20" xfId="0" applyBorder="1" applyAlignment="1">
      <alignment horizontal="center" vertical="center"/>
    </xf>
    <xf numFmtId="0" fontId="0" fillId="0" borderId="24" xfId="0" applyBorder="1"/>
    <xf numFmtId="0" fontId="0" fillId="0" borderId="25" xfId="0" applyBorder="1"/>
    <xf numFmtId="10" fontId="0" fillId="0" borderId="29" xfId="0" applyNumberFormat="1" applyBorder="1"/>
    <xf numFmtId="10" fontId="0" fillId="0" borderId="12" xfId="0" applyNumberFormat="1" applyBorder="1"/>
    <xf numFmtId="10" fontId="0" fillId="0" borderId="23" xfId="0" applyNumberFormat="1" applyBorder="1"/>
    <xf numFmtId="10" fontId="0" fillId="0" borderId="25" xfId="0" applyNumberFormat="1" applyBorder="1"/>
    <xf numFmtId="2" fontId="0" fillId="0" borderId="12" xfId="0" applyNumberFormat="1" applyBorder="1"/>
    <xf numFmtId="2" fontId="0" fillId="0" borderId="23" xfId="0" applyNumberFormat="1" applyBorder="1"/>
    <xf numFmtId="0" fontId="0" fillId="0" borderId="12" xfId="0" applyBorder="1" applyAlignment="1">
      <alignment horizontal="center" vertical="center"/>
    </xf>
    <xf numFmtId="0" fontId="0" fillId="0" borderId="18" xfId="0" applyBorder="1" applyAlignment="1">
      <alignment horizontal="center" vertical="center"/>
    </xf>
    <xf numFmtId="0" fontId="0" fillId="0" borderId="35" xfId="0" applyBorder="1" applyAlignment="1">
      <alignment horizontal="center" vertical="center"/>
    </xf>
    <xf numFmtId="0" fontId="0" fillId="0" borderId="34"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32" xfId="0" applyBorder="1" applyAlignment="1">
      <alignment horizontal="center" vertical="center"/>
    </xf>
    <xf numFmtId="0" fontId="0" fillId="0" borderId="28" xfId="0" applyBorder="1" applyAlignment="1">
      <alignment horizontal="center" vertical="center"/>
    </xf>
    <xf numFmtId="14" fontId="1" fillId="0" borderId="1" xfId="0" applyNumberFormat="1" applyFont="1" applyBorder="1" applyAlignment="1">
      <alignment horizontal="center" vertical="center"/>
    </xf>
    <xf numFmtId="0" fontId="0" fillId="0" borderId="20" xfId="0" applyBorder="1"/>
    <xf numFmtId="0" fontId="0" fillId="0" borderId="39" xfId="0" applyBorder="1" applyAlignment="1">
      <alignment horizontal="center" vertical="center"/>
    </xf>
    <xf numFmtId="0" fontId="0" fillId="0" borderId="40" xfId="0" applyBorder="1" applyAlignment="1">
      <alignment horizontal="center" vertical="center"/>
    </xf>
    <xf numFmtId="0" fontId="0" fillId="0" borderId="41" xfId="0" applyBorder="1" applyAlignment="1">
      <alignment horizontal="center" vertical="center"/>
    </xf>
    <xf numFmtId="49" fontId="10" fillId="12" borderId="1" xfId="0" applyNumberFormat="1" applyFont="1" applyFill="1" applyBorder="1" applyAlignment="1">
      <alignment horizontal="center" vertical="center" wrapText="1"/>
    </xf>
    <xf numFmtId="0" fontId="10" fillId="12" borderId="1" xfId="0" applyFont="1" applyFill="1" applyBorder="1" applyAlignment="1">
      <alignment horizontal="center" vertical="center" wrapText="1"/>
    </xf>
    <xf numFmtId="14" fontId="0" fillId="0" borderId="0" xfId="0" applyNumberFormat="1"/>
    <xf numFmtId="14" fontId="10" fillId="12" borderId="1" xfId="0" applyNumberFormat="1" applyFont="1" applyFill="1" applyBorder="1" applyAlignment="1">
      <alignment horizontal="center" vertical="center" wrapText="1"/>
    </xf>
    <xf numFmtId="0" fontId="4" fillId="13" borderId="0" xfId="4" applyFill="1" applyAlignment="1">
      <alignment horizontal="center"/>
    </xf>
    <xf numFmtId="0" fontId="0" fillId="0" borderId="0" xfId="0" pivotButton="1"/>
    <xf numFmtId="0" fontId="0" fillId="0" borderId="0" xfId="0" applyAlignment="1">
      <alignment horizontal="left"/>
    </xf>
    <xf numFmtId="10" fontId="0" fillId="0" borderId="20" xfId="0" applyNumberFormat="1" applyBorder="1" applyAlignment="1">
      <alignment horizontal="center" vertical="center"/>
    </xf>
    <xf numFmtId="0" fontId="0" fillId="0" borderId="33" xfId="0" applyBorder="1"/>
    <xf numFmtId="0" fontId="0" fillId="0" borderId="16" xfId="0" applyBorder="1"/>
    <xf numFmtId="0" fontId="0" fillId="0" borderId="42" xfId="0" applyBorder="1"/>
    <xf numFmtId="0" fontId="0" fillId="0" borderId="28" xfId="0" applyBorder="1"/>
    <xf numFmtId="9" fontId="0" fillId="0" borderId="0" xfId="0" applyNumberFormat="1" applyAlignment="1">
      <alignment horizontal="center" vertical="center"/>
    </xf>
    <xf numFmtId="0" fontId="6" fillId="3" borderId="43" xfId="0" applyFont="1" applyFill="1" applyBorder="1" applyAlignment="1">
      <alignment horizontal="center" vertical="center" wrapText="1"/>
    </xf>
    <xf numFmtId="9" fontId="0" fillId="0" borderId="0" xfId="10" applyFont="1" applyAlignment="1">
      <alignment horizontal="center" vertical="center"/>
    </xf>
    <xf numFmtId="0" fontId="0" fillId="0" borderId="44" xfId="0" applyBorder="1" applyAlignment="1">
      <alignment horizontal="center" vertical="center"/>
    </xf>
    <xf numFmtId="14" fontId="4" fillId="2" borderId="0" xfId="1" applyNumberFormat="1" applyAlignment="1">
      <alignment horizontal="center" vertical="center"/>
    </xf>
    <xf numFmtId="14" fontId="0" fillId="6" borderId="0" xfId="0" applyNumberFormat="1" applyFill="1" applyAlignment="1">
      <alignment horizontal="center"/>
    </xf>
    <xf numFmtId="14" fontId="0" fillId="6" borderId="0" xfId="0" applyNumberFormat="1" applyFill="1"/>
    <xf numFmtId="0" fontId="13" fillId="0" borderId="11" xfId="0" applyFont="1" applyBorder="1" applyAlignment="1">
      <alignment horizontal="center" vertical="center"/>
    </xf>
    <xf numFmtId="165" fontId="4" fillId="2" borderId="0" xfId="1" applyNumberFormat="1" applyAlignment="1">
      <alignment horizontal="center" vertical="center"/>
    </xf>
    <xf numFmtId="165" fontId="4" fillId="11" borderId="0" xfId="9" applyNumberFormat="1" applyAlignment="1">
      <alignment horizontal="center" vertical="center" wrapText="1"/>
    </xf>
    <xf numFmtId="165" fontId="0" fillId="0" borderId="0" xfId="0" applyNumberFormat="1"/>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31"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7" fillId="0" borderId="0" xfId="0" applyFont="1"/>
    <xf numFmtId="9" fontId="6" fillId="3" borderId="11" xfId="0" applyNumberFormat="1" applyFont="1" applyFill="1" applyBorder="1" applyAlignment="1">
      <alignment horizontal="center" vertical="center" wrapText="1"/>
    </xf>
    <xf numFmtId="0" fontId="6" fillId="3" borderId="26" xfId="0" applyFont="1" applyFill="1" applyBorder="1" applyAlignment="1">
      <alignment horizontal="center" vertical="center" wrapText="1"/>
    </xf>
    <xf numFmtId="9" fontId="7" fillId="0" borderId="0" xfId="0" applyNumberFormat="1" applyFont="1"/>
    <xf numFmtId="0" fontId="6" fillId="3" borderId="11" xfId="0" applyFont="1" applyFill="1" applyBorder="1" applyAlignment="1">
      <alignment horizontal="left" vertical="center"/>
    </xf>
    <xf numFmtId="14" fontId="6" fillId="0" borderId="0" xfId="0" applyNumberFormat="1" applyFont="1" applyAlignment="1">
      <alignment horizontal="center" vertical="center"/>
    </xf>
    <xf numFmtId="1" fontId="4" fillId="2" borderId="0" xfId="1" applyNumberFormat="1" applyAlignment="1">
      <alignment horizontal="center" vertical="center"/>
    </xf>
    <xf numFmtId="1" fontId="0" fillId="0" borderId="0" xfId="0" applyNumberFormat="1" applyAlignment="1">
      <alignment horizontal="center" vertical="center"/>
    </xf>
    <xf numFmtId="14" fontId="4" fillId="2" borderId="0" xfId="1" applyNumberFormat="1" applyAlignment="1">
      <alignment horizontal="left" vertical="center"/>
    </xf>
    <xf numFmtId="14" fontId="15" fillId="2" borderId="0" xfId="1" applyNumberFormat="1" applyFont="1" applyAlignment="1">
      <alignment horizontal="left" vertical="center"/>
    </xf>
    <xf numFmtId="49" fontId="9" fillId="5" borderId="1" xfId="4" applyNumberFormat="1" applyFont="1" applyBorder="1" applyAlignment="1">
      <alignment horizontal="center" vertical="center"/>
    </xf>
    <xf numFmtId="2" fontId="14" fillId="0" borderId="1" xfId="0" applyNumberFormat="1" applyFont="1" applyBorder="1" applyAlignment="1">
      <alignment horizontal="center" vertical="center"/>
    </xf>
    <xf numFmtId="0" fontId="10" fillId="0" borderId="1" xfId="0" applyFont="1" applyBorder="1" applyAlignment="1">
      <alignment horizontal="center" vertical="center"/>
    </xf>
    <xf numFmtId="1" fontId="10" fillId="14" borderId="1" xfId="0" applyNumberFormat="1" applyFont="1" applyFill="1" applyBorder="1" applyAlignment="1">
      <alignment horizontal="center" vertical="center"/>
    </xf>
    <xf numFmtId="49" fontId="10" fillId="0" borderId="1" xfId="0" applyNumberFormat="1" applyFont="1" applyBorder="1" applyAlignment="1">
      <alignment horizontal="center" vertical="center"/>
    </xf>
    <xf numFmtId="0" fontId="9" fillId="5" borderId="3" xfId="4" applyFont="1" applyBorder="1" applyAlignment="1">
      <alignment horizontal="center" vertical="center"/>
    </xf>
    <xf numFmtId="0" fontId="9" fillId="5" borderId="3" xfId="4" applyNumberFormat="1" applyFont="1" applyBorder="1" applyAlignment="1">
      <alignment horizontal="center" vertical="center"/>
    </xf>
    <xf numFmtId="0" fontId="9" fillId="4" borderId="3" xfId="3" applyBorder="1" applyAlignment="1">
      <alignment horizontal="center" vertical="center"/>
    </xf>
    <xf numFmtId="0" fontId="9" fillId="4" borderId="1" xfId="3" applyBorder="1" applyAlignment="1">
      <alignment horizontal="center" vertical="center"/>
    </xf>
    <xf numFmtId="49" fontId="9" fillId="4" borderId="1" xfId="3" applyNumberFormat="1" applyBorder="1" applyAlignment="1">
      <alignment horizontal="center" vertical="center"/>
    </xf>
    <xf numFmtId="49" fontId="9" fillId="4" borderId="3" xfId="3" applyNumberFormat="1" applyBorder="1" applyAlignment="1">
      <alignment horizontal="center" vertical="center"/>
    </xf>
    <xf numFmtId="49" fontId="9" fillId="7" borderId="3" xfId="5" applyNumberFormat="1" applyBorder="1" applyAlignment="1">
      <alignment horizontal="center" vertical="center"/>
    </xf>
    <xf numFmtId="0" fontId="9" fillId="4" borderId="3" xfId="3" applyNumberFormat="1" applyBorder="1" applyAlignment="1">
      <alignment horizontal="center" vertical="center"/>
    </xf>
    <xf numFmtId="1" fontId="0" fillId="0" borderId="0" xfId="0" applyNumberFormat="1" applyAlignment="1">
      <alignment horizontal="left" vertical="center"/>
    </xf>
    <xf numFmtId="49" fontId="10" fillId="0" borderId="1" xfId="0" applyNumberFormat="1" applyFont="1" applyBorder="1" applyAlignment="1">
      <alignment horizontal="left" vertical="center"/>
    </xf>
    <xf numFmtId="49" fontId="13" fillId="2" borderId="11" xfId="1" applyNumberFormat="1" applyFont="1" applyBorder="1" applyAlignment="1">
      <alignment horizontal="center" vertical="center"/>
    </xf>
    <xf numFmtId="0" fontId="13" fillId="0" borderId="44" xfId="0" applyFont="1" applyBorder="1" applyAlignment="1">
      <alignment horizontal="center" vertical="center"/>
    </xf>
    <xf numFmtId="0" fontId="13" fillId="0" borderId="39" xfId="0" applyFont="1" applyBorder="1" applyAlignment="1">
      <alignment horizontal="center" vertical="center"/>
    </xf>
    <xf numFmtId="49" fontId="9" fillId="4" borderId="3" xfId="3" applyNumberFormat="1" applyBorder="1" applyAlignment="1">
      <alignment horizontal="left" vertical="center"/>
    </xf>
    <xf numFmtId="0" fontId="4" fillId="2" borderId="0" xfId="1" applyAlignment="1">
      <alignment horizontal="left" vertical="center"/>
    </xf>
    <xf numFmtId="14" fontId="4" fillId="2" borderId="45" xfId="1" applyNumberFormat="1" applyBorder="1" applyAlignment="1">
      <alignment horizontal="left" vertical="center"/>
    </xf>
    <xf numFmtId="0" fontId="6" fillId="3" borderId="17" xfId="0" applyFont="1" applyFill="1" applyBorder="1" applyAlignment="1">
      <alignment horizontal="center" vertical="center" wrapText="1"/>
    </xf>
    <xf numFmtId="14" fontId="19" fillId="0" borderId="45" xfId="1" applyNumberFormat="1" applyFont="1" applyFill="1" applyBorder="1" applyAlignment="1">
      <alignment horizontal="left" vertical="center"/>
    </xf>
    <xf numFmtId="0" fontId="18" fillId="15" borderId="45" xfId="0" applyFont="1" applyFill="1" applyBorder="1" applyAlignment="1">
      <alignment horizontal="left"/>
    </xf>
    <xf numFmtId="0" fontId="18" fillId="15" borderId="46" xfId="0" applyFont="1" applyFill="1" applyBorder="1" applyAlignment="1">
      <alignment horizontal="left"/>
    </xf>
    <xf numFmtId="49" fontId="19" fillId="0" borderId="0" xfId="0" applyNumberFormat="1" applyFont="1" applyAlignment="1">
      <alignment horizontal="left" vertical="center"/>
    </xf>
    <xf numFmtId="0" fontId="18" fillId="15" borderId="45" xfId="0" applyFont="1" applyFill="1" applyBorder="1"/>
    <xf numFmtId="0" fontId="18" fillId="15" borderId="46" xfId="0" applyFont="1" applyFill="1" applyBorder="1"/>
    <xf numFmtId="10" fontId="0" fillId="0" borderId="44" xfId="0" applyNumberFormat="1" applyBorder="1" applyAlignment="1">
      <alignment horizontal="center" vertical="center"/>
    </xf>
    <xf numFmtId="0" fontId="0" fillId="6" borderId="0" xfId="0" applyFill="1" applyAlignment="1">
      <alignment horizontal="center" wrapText="1"/>
    </xf>
    <xf numFmtId="166" fontId="0" fillId="6" borderId="0" xfId="0" applyNumberFormat="1" applyFill="1" applyAlignment="1">
      <alignment horizontal="center"/>
    </xf>
    <xf numFmtId="166" fontId="3" fillId="0" borderId="45" xfId="0" applyNumberFormat="1" applyFont="1" applyBorder="1" applyAlignment="1">
      <alignment horizontal="center"/>
    </xf>
    <xf numFmtId="166" fontId="3" fillId="0" borderId="46" xfId="0" applyNumberFormat="1" applyFont="1" applyBorder="1" applyAlignment="1">
      <alignment horizontal="center"/>
    </xf>
    <xf numFmtId="166" fontId="3" fillId="0" borderId="47" xfId="0" quotePrefix="1" applyNumberFormat="1" applyFont="1" applyBorder="1" applyAlignment="1">
      <alignment horizontal="center"/>
    </xf>
    <xf numFmtId="166" fontId="3" fillId="0" borderId="46" xfId="0" quotePrefix="1" applyNumberFormat="1" applyFont="1" applyBorder="1" applyAlignment="1">
      <alignment horizontal="center"/>
    </xf>
    <xf numFmtId="166" fontId="3" fillId="0" borderId="48" xfId="0" quotePrefix="1" applyNumberFormat="1" applyFont="1" applyBorder="1" applyAlignment="1">
      <alignment horizontal="center"/>
    </xf>
    <xf numFmtId="166" fontId="3" fillId="2" borderId="46" xfId="1" applyNumberFormat="1" applyFont="1" applyBorder="1" applyAlignment="1">
      <alignment horizontal="center"/>
    </xf>
    <xf numFmtId="166" fontId="3" fillId="0" borderId="47" xfId="0" applyNumberFormat="1" applyFont="1" applyBorder="1" applyAlignment="1">
      <alignment horizontal="center"/>
    </xf>
    <xf numFmtId="166" fontId="3" fillId="0" borderId="49" xfId="0" applyNumberFormat="1" applyFont="1" applyBorder="1" applyAlignment="1">
      <alignment horizontal="center"/>
    </xf>
    <xf numFmtId="166" fontId="3" fillId="0" borderId="49" xfId="0" quotePrefix="1" applyNumberFormat="1" applyFont="1" applyBorder="1" applyAlignment="1">
      <alignment horizontal="center"/>
    </xf>
    <xf numFmtId="0" fontId="19" fillId="0" borderId="45" xfId="0" applyFont="1" applyBorder="1"/>
    <xf numFmtId="0" fontId="19" fillId="0" borderId="46" xfId="0" applyFont="1" applyBorder="1"/>
    <xf numFmtId="0" fontId="19" fillId="0" borderId="45" xfId="0" applyFont="1" applyBorder="1" applyAlignment="1">
      <alignment horizontal="left"/>
    </xf>
    <xf numFmtId="0" fontId="19" fillId="0" borderId="46" xfId="0" applyFont="1" applyBorder="1" applyAlignment="1">
      <alignment horizontal="left"/>
    </xf>
    <xf numFmtId="0" fontId="19" fillId="0" borderId="0" xfId="0" applyFont="1"/>
    <xf numFmtId="0" fontId="19" fillId="0" borderId="48" xfId="0" applyFont="1" applyBorder="1"/>
    <xf numFmtId="0" fontId="4" fillId="2" borderId="0" xfId="1" applyAlignment="1">
      <alignment horizontal="left" vertical="center" wrapText="1"/>
    </xf>
    <xf numFmtId="0" fontId="19" fillId="0" borderId="47" xfId="0" quotePrefix="1" applyFont="1" applyBorder="1" applyAlignment="1">
      <alignment horizontal="left"/>
    </xf>
    <xf numFmtId="14" fontId="18" fillId="15" borderId="0" xfId="1" applyNumberFormat="1" applyFont="1" applyFill="1" applyAlignment="1">
      <alignment horizontal="center" vertical="center"/>
    </xf>
    <xf numFmtId="14" fontId="19" fillId="0" borderId="0" xfId="1" applyNumberFormat="1" applyFont="1" applyFill="1" applyAlignment="1">
      <alignment horizontal="center" vertical="center"/>
    </xf>
    <xf numFmtId="0" fontId="19" fillId="0" borderId="3" xfId="4" applyNumberFormat="1" applyFont="1" applyFill="1" applyBorder="1" applyAlignment="1">
      <alignment horizontal="center" vertical="center"/>
    </xf>
    <xf numFmtId="49" fontId="20" fillId="0" borderId="1" xfId="0" applyNumberFormat="1" applyFont="1" applyBorder="1" applyAlignment="1">
      <alignment horizontal="left" vertical="center"/>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11" fillId="0" borderId="18"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20" xfId="0" applyFont="1" applyBorder="1" applyAlignment="1">
      <alignment horizontal="center" vertical="center" wrapText="1"/>
    </xf>
    <xf numFmtId="0" fontId="6" fillId="3" borderId="21" xfId="0" applyFont="1" applyFill="1" applyBorder="1" applyAlignment="1">
      <alignment horizontal="center" vertical="center" wrapText="1"/>
    </xf>
    <xf numFmtId="0" fontId="6" fillId="3" borderId="30"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38"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14" fontId="5" fillId="3" borderId="15" xfId="0" applyNumberFormat="1" applyFont="1" applyFill="1" applyBorder="1" applyAlignment="1">
      <alignment horizontal="center" vertical="center"/>
    </xf>
    <xf numFmtId="14" fontId="5" fillId="3" borderId="0" xfId="0" applyNumberFormat="1" applyFont="1" applyFill="1" applyAlignment="1">
      <alignment horizontal="center" vertical="center"/>
    </xf>
    <xf numFmtId="49" fontId="7" fillId="0" borderId="16" xfId="0" applyNumberFormat="1" applyFont="1" applyBorder="1" applyAlignment="1">
      <alignment horizontal="center" vertical="center"/>
    </xf>
    <xf numFmtId="49" fontId="7" fillId="0" borderId="0" xfId="0" applyNumberFormat="1" applyFont="1" applyAlignment="1">
      <alignment horizontal="center" vertical="center"/>
    </xf>
    <xf numFmtId="0" fontId="6" fillId="0" borderId="16" xfId="0" applyFont="1" applyBorder="1" applyAlignment="1">
      <alignment horizontal="center" vertical="center" wrapText="1"/>
    </xf>
    <xf numFmtId="0" fontId="6" fillId="0" borderId="0" xfId="0" applyFont="1" applyAlignment="1">
      <alignment horizontal="center" vertical="center" wrapText="1"/>
    </xf>
    <xf numFmtId="0" fontId="5" fillId="3" borderId="15" xfId="0" applyFont="1" applyFill="1" applyBorder="1" applyAlignment="1">
      <alignment horizontal="center" vertical="center"/>
    </xf>
    <xf numFmtId="0" fontId="5" fillId="3" borderId="0" xfId="0" applyFont="1" applyFill="1" applyAlignment="1">
      <alignment horizontal="center" vertical="center"/>
    </xf>
    <xf numFmtId="0" fontId="0" fillId="0" borderId="0" xfId="0" applyAlignment="1">
      <alignment horizontal="center"/>
    </xf>
    <xf numFmtId="14" fontId="6" fillId="0" borderId="14" xfId="0" applyNumberFormat="1" applyFont="1" applyBorder="1" applyAlignment="1">
      <alignment horizontal="center" vertical="center" wrapText="1"/>
    </xf>
    <xf numFmtId="14" fontId="0" fillId="0" borderId="12" xfId="0" applyNumberFormat="1" applyBorder="1" applyAlignment="1">
      <alignment horizontal="center"/>
    </xf>
    <xf numFmtId="14" fontId="0" fillId="0" borderId="7" xfId="0" applyNumberFormat="1" applyBorder="1" applyAlignment="1">
      <alignment horizontal="center"/>
    </xf>
    <xf numFmtId="14" fontId="0" fillId="0" borderId="13" xfId="0" applyNumberFormat="1" applyBorder="1" applyAlignment="1">
      <alignment horizontal="center"/>
    </xf>
    <xf numFmtId="0" fontId="7" fillId="0" borderId="11" xfId="0" applyFont="1" applyBorder="1" applyAlignment="1">
      <alignment horizontal="center" vertical="center" wrapText="1"/>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6" fillId="0" borderId="11" xfId="0" applyFont="1" applyBorder="1" applyAlignment="1">
      <alignment horizontal="center" vertical="center" wrapText="1"/>
    </xf>
    <xf numFmtId="0" fontId="0" fillId="0" borderId="10" xfId="0" applyBorder="1"/>
    <xf numFmtId="0" fontId="0" fillId="0" borderId="8" xfId="0" applyBorder="1" applyAlignment="1">
      <alignment horizontal="center"/>
    </xf>
    <xf numFmtId="0" fontId="0" fillId="0" borderId="0" xfId="0"/>
    <xf numFmtId="0" fontId="7" fillId="0" borderId="14" xfId="0" applyFont="1" applyBorder="1" applyAlignment="1">
      <alignment horizontal="center" vertical="center" wrapText="1"/>
    </xf>
    <xf numFmtId="0" fontId="0" fillId="0" borderId="12" xfId="0" applyBorder="1"/>
    <xf numFmtId="0" fontId="0" fillId="0" borderId="13" xfId="0" applyBorder="1"/>
  </cellXfs>
  <cellStyles count="11">
    <cellStyle name="40% - Énfasis1" xfId="1" builtinId="31"/>
    <cellStyle name="40% - Énfasis2" xfId="6" builtinId="35"/>
    <cellStyle name="40% - Énfasis4" xfId="8" builtinId="43"/>
    <cellStyle name="60% - Énfasis1" xfId="9" builtinId="32"/>
    <cellStyle name="60% - Énfasis2" xfId="4" builtinId="36"/>
    <cellStyle name="Énfasis1" xfId="3" builtinId="29"/>
    <cellStyle name="Énfasis2" xfId="5" builtinId="33"/>
    <cellStyle name="Énfasis4" xfId="7" builtinId="41"/>
    <cellStyle name="Estilo 1" xfId="2" xr:uid="{00000000-0005-0000-0000-000002000000}"/>
    <cellStyle name="Normal" xfId="0" builtinId="0"/>
    <cellStyle name="Porcentaje" xfId="10" builtinId="5"/>
  </cellStyles>
  <dxfs count="20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alignment vertical="center" wrapText="1"/>
    </dxf>
    <dxf>
      <alignment horizontal="center" vertical="center"/>
    </dxf>
    <dxf>
      <numFmt numFmtId="30" formatCode="@"/>
      <alignment vertical="center"/>
    </dxf>
    <dxf>
      <numFmt numFmtId="0" formatCode="General"/>
      <alignment horizontal="center" vertical="center"/>
    </dxf>
    <dxf>
      <numFmt numFmtId="0" formatCode="General"/>
      <alignment horizontal="center" vertical="center"/>
    </dxf>
    <dxf>
      <alignment vertical="center"/>
    </dxf>
    <dxf>
      <alignment vertical="center"/>
    </dxf>
    <dxf>
      <border>
        <bottom style="thin">
          <color theme="3" tint="0.39997558519241921"/>
        </bottom>
      </border>
    </dxf>
    <dxf>
      <alignment vertical="center"/>
      <border>
        <left style="thin">
          <color theme="3" tint="0.39997558519241921"/>
        </left>
        <right style="thin">
          <color theme="3" tint="0.39997558519241921"/>
        </right>
        <top/>
        <bottom/>
        <vertical style="thin">
          <color theme="3" tint="0.39997558519241921"/>
        </vertical>
        <horizontal style="thin">
          <color theme="3" tint="0.39997558519241921"/>
        </horizontal>
      </border>
    </dxf>
    <dxf>
      <alignment vertical="center"/>
    </dxf>
    <dxf>
      <alignment vertical="center"/>
    </dxf>
    <dxf>
      <numFmt numFmtId="19" formatCode="dd/mm/yyyy"/>
      <alignment vertical="center"/>
    </dxf>
    <dxf>
      <numFmt numFmtId="19" formatCode="dd/mm/yyyy"/>
      <alignment vertical="center"/>
    </dxf>
    <dxf>
      <alignment vertical="center"/>
      <border outline="0">
        <left/>
        <right/>
        <top style="thin">
          <color theme="3" tint="0.39997558519241921"/>
        </top>
        <bottom/>
      </border>
    </dxf>
    <dxf>
      <alignment vertical="center"/>
    </dxf>
    <dxf>
      <alignment horizontal="general" vertical="center" textRotation="0" wrapText="0" indent="0" justifyLastLine="0" shrinkToFit="0" readingOrder="0"/>
    </dxf>
    <dxf>
      <numFmt numFmtId="0" formatCode="General"/>
      <alignment horizontal="center" vertical="center" textRotation="0" wrapText="0" indent="0" justifyLastLine="0" shrinkToFit="0" readingOrder="0"/>
    </dxf>
    <dxf>
      <alignment vertical="center"/>
      <border outline="0">
        <left/>
        <right/>
        <top style="thin">
          <color theme="3" tint="0.39997558519241921"/>
        </top>
        <bottom/>
      </border>
    </dxf>
    <dxf>
      <alignment horizontal="general" vertical="center" textRotation="0" wrapText="0" indent="0" justifyLastLine="0" shrinkToFit="0" readingOrder="0"/>
      <border diagonalUp="0" diagonalDown="0">
        <left/>
        <right/>
        <top style="thin">
          <color theme="3" tint="0.39997558519241921"/>
        </top>
        <bottom/>
        <vertical/>
        <horizontal/>
      </border>
    </dxf>
    <dxf>
      <alignment vertical="center"/>
    </dxf>
    <dxf>
      <alignment vertical="center"/>
    </dxf>
    <dxf>
      <border>
        <bottom style="thin">
          <color theme="3" tint="0.39997558519241921"/>
        </bottom>
      </border>
    </dxf>
    <dxf>
      <font>
        <strike val="0"/>
        <outline val="0"/>
        <shadow val="0"/>
        <vertAlign val="baseline"/>
        <sz val="11"/>
        <color auto="1"/>
        <name val="Calibri"/>
        <family val="2"/>
        <scheme val="minor"/>
      </font>
      <alignment horizontal="center" vertical="center" textRotation="0" wrapText="1" indent="0" justifyLastLine="0" shrinkToFit="0" readingOrder="0"/>
      <border outline="0">
        <left style="thin">
          <color theme="3" tint="0.39997558519241921"/>
        </left>
        <right style="thin">
          <color theme="3" tint="0.39997558519241921"/>
        </right>
        <top/>
        <bottom/>
      </border>
    </dxf>
    <dxf>
      <numFmt numFmtId="19" formatCode="dd/mm/yyyy"/>
      <fill>
        <patternFill patternType="solid">
          <fgColor indexed="64"/>
          <bgColor theme="3" tint="0.79998168889431442"/>
        </patternFill>
      </fill>
    </dxf>
    <dxf>
      <numFmt numFmtId="0" formatCode="General"/>
      <fill>
        <patternFill patternType="solid">
          <fgColor indexed="64"/>
          <bgColor theme="3" tint="0.79998168889431442"/>
        </patternFill>
      </fill>
      <alignment horizontal="center" vertical="bottom" textRotation="0" wrapText="1" indent="0" justifyLastLine="0" shrinkToFit="0" readingOrder="0"/>
    </dxf>
    <dxf>
      <fill>
        <patternFill patternType="solid">
          <fgColor indexed="64"/>
          <bgColor theme="3" tint="0.79998168889431442"/>
        </patternFill>
      </fill>
      <alignment horizontal="center" vertical="bottom" textRotation="0" wrapText="0" indent="0" justifyLastLine="0" shrinkToFit="0" readingOrder="0"/>
    </dxf>
    <dxf>
      <numFmt numFmtId="19" formatCode="dd/mm/yyyy"/>
      <fill>
        <patternFill patternType="solid">
          <fgColor indexed="64"/>
          <bgColor theme="3" tint="0.79998168889431442"/>
        </patternFill>
      </fill>
      <alignment horizontal="center" vertical="bottom" textRotation="0" wrapText="0" indent="0" justifyLastLine="0" shrinkToFit="0" readingOrder="0"/>
    </dxf>
    <dxf>
      <fill>
        <patternFill patternType="solid">
          <fgColor indexed="64"/>
          <bgColor theme="3" tint="0.79998168889431442"/>
        </patternFill>
      </fill>
      <alignment horizontal="center" vertical="bottom" textRotation="0" wrapText="0" indent="0" justifyLastLine="0" shrinkToFit="0" readingOrder="0"/>
    </dxf>
    <dxf>
      <fill>
        <patternFill patternType="solid">
          <fgColor indexed="64"/>
          <bgColor theme="3" tint="0.79998168889431442"/>
        </patternFill>
      </fill>
      <alignment horizontal="center" vertical="bottom" textRotation="0" wrapText="0" indent="0" justifyLastLine="0" shrinkToFit="0" readingOrder="0"/>
    </dxf>
    <dxf>
      <numFmt numFmtId="166" formatCode="00000000"/>
      <fill>
        <patternFill patternType="solid">
          <fgColor indexed="64"/>
          <bgColor theme="3" tint="0.79998168889431442"/>
        </patternFill>
      </fill>
      <alignment horizontal="center" vertical="bottom" textRotation="0" wrapText="0" indent="0" justifyLastLine="0" shrinkToFit="0" readingOrder="0"/>
    </dxf>
    <dxf>
      <fill>
        <patternFill patternType="solid">
          <fgColor indexed="64"/>
          <bgColor theme="3" tint="0.79998168889431442"/>
        </patternFill>
      </fill>
      <alignment horizontal="center" vertical="center" textRotation="0" wrapText="0" indent="0" justifyLastLine="0" shrinkToFit="0" readingOrder="0"/>
    </dxf>
    <dxf>
      <numFmt numFmtId="0" formatCode="General"/>
      <fill>
        <patternFill patternType="solid">
          <fgColor indexed="64"/>
          <bgColor theme="3" tint="0.79998168889431442"/>
        </patternFill>
      </fill>
    </dxf>
    <dxf>
      <fill>
        <patternFill patternType="solid">
          <fgColor indexed="64"/>
          <bgColor theme="3" tint="0.79998168889431442"/>
        </patternFill>
      </fill>
    </dxf>
    <dxf>
      <font>
        <b/>
        <i val="0"/>
        <strike val="0"/>
        <condense val="0"/>
        <extend val="0"/>
        <outline val="0"/>
        <shadow val="0"/>
        <u val="none"/>
        <vertAlign val="baseline"/>
        <sz val="11"/>
        <color theme="1"/>
        <name val="Calibri"/>
        <scheme val="none"/>
      </font>
      <alignment horizontal="center" vertical="center" textRotation="0" wrapText="0" indent="0" justifyLastLine="0" shrinkToFit="0" readingOrder="0"/>
    </dxf>
    <dxf>
      <alignment horizontal="center" vertical="center"/>
    </dxf>
    <dxf>
      <alignment horizontal="center" vertical="center"/>
    </dxf>
    <dxf>
      <numFmt numFmtId="0" formatCode="General"/>
      <alignment horizontal="center" vertical="center"/>
    </dxf>
    <dxf>
      <numFmt numFmtId="30" formatCode="@"/>
      <alignment horizontal="center" vertical="center"/>
      <border outline="0">
        <left/>
        <right/>
        <top style="thin">
          <color theme="3" tint="0.39997558519241921"/>
        </top>
        <bottom/>
      </border>
    </dxf>
    <dxf>
      <numFmt numFmtId="0" formatCode="General"/>
      <alignment horizontal="center" vertical="center"/>
    </dxf>
    <dxf>
      <alignment vertical="center"/>
    </dxf>
    <dxf>
      <alignment vertical="center"/>
    </dxf>
    <dxf>
      <border>
        <bottom style="thin">
          <color rgb="FF538DD5"/>
        </bottom>
      </border>
    </dxf>
    <dxf>
      <alignment vertical="center"/>
      <border outline="0">
        <left style="thin">
          <color theme="3" tint="0.39997558519241921"/>
        </left>
        <right style="thin">
          <color theme="3" tint="0.39997558519241921"/>
        </right>
        <top/>
        <bottom/>
      </border>
    </dxf>
    <dxf>
      <numFmt numFmtId="165" formatCode="dd/mm/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dxf>
    <dxf>
      <numFmt numFmtId="30" formatCode="@"/>
      <alignment horizontal="center" vertical="center"/>
    </dxf>
    <dxf>
      <alignment horizontal="center" vertical="center"/>
    </dxf>
    <dxf>
      <numFmt numFmtId="30" formatCode="@"/>
      <alignment horizontal="center" vertical="center"/>
    </dxf>
    <dxf>
      <numFmt numFmtId="30" formatCode="@"/>
      <alignment horizontal="center" vertical="center"/>
    </dxf>
    <dxf>
      <numFmt numFmtId="30" formatCode="@"/>
      <alignment horizontal="left" vertical="center"/>
    </dxf>
    <dxf>
      <numFmt numFmtId="30" formatCode="@"/>
      <alignment horizontal="left" vertical="center"/>
      <border outline="0">
        <left style="thin">
          <color theme="0"/>
        </left>
        <right style="thin">
          <color theme="0"/>
        </right>
        <top style="thin">
          <color theme="0"/>
        </top>
        <bottom style="thin">
          <color theme="0"/>
        </bottom>
      </border>
    </dxf>
    <dxf>
      <alignment horizontal="center" vertical="center"/>
    </dxf>
    <dxf>
      <numFmt numFmtId="30" formatCode="@"/>
      <alignment horizontal="center" vertical="center"/>
    </dxf>
    <dxf>
      <numFmt numFmtId="0" formatCode="General"/>
      <alignment horizontal="center" vertical="center"/>
    </dxf>
    <dxf>
      <numFmt numFmtId="30" formatCode="@"/>
      <alignment horizontal="center" vertical="center"/>
    </dxf>
    <dxf>
      <numFmt numFmtId="0" formatCode="General"/>
      <alignment horizontal="center" vertical="center"/>
    </dxf>
    <dxf>
      <alignment horizontal="center" vertical="center"/>
    </dxf>
    <dxf>
      <alignment horizontal="center" vertical="center"/>
    </dxf>
    <dxf>
      <border>
        <bottom style="thin">
          <color theme="3" tint="0.39997558519241921"/>
        </bottom>
      </border>
    </dxf>
    <dxf>
      <alignment horizontal="center" vertical="center"/>
      <border outline="0">
        <left style="thin">
          <color theme="3" tint="0.39997558519241921"/>
        </left>
        <right style="thin">
          <color theme="3" tint="0.39997558519241921"/>
        </right>
        <top/>
        <bottom/>
      </border>
    </dxf>
    <dxf>
      <alignment horizontal="general" vertical="center" wrapText="1"/>
    </dxf>
    <dxf>
      <alignment horizontal="center" vertical="center" wrapText="1"/>
    </dxf>
    <dxf>
      <alignment horizontal="general" vertical="center" wrapText="1"/>
    </dxf>
    <dxf>
      <alignment horizontal="center" vertical="center" textRotation="0" wrapText="1" indent="0" justifyLastLine="0" shrinkToFit="0" readingOrder="0"/>
      <border diagonalUp="0" diagonalDown="0">
        <left/>
        <right/>
        <top style="thin">
          <color theme="3" tint="0.39997558519241921"/>
        </top>
        <bottom/>
        <vertical/>
        <horizontal/>
      </border>
    </dxf>
    <dxf>
      <alignment horizontal="center" vertical="center" textRotation="0" wrapText="1" indent="0" justifyLastLine="0" shrinkToFit="0" readingOrder="0"/>
      <border diagonalUp="0" diagonalDown="0">
        <left/>
        <right/>
        <top style="thin">
          <color theme="3" tint="0.39997558519241921"/>
        </top>
        <bottom/>
        <vertical/>
        <horizontal/>
      </border>
    </dxf>
    <dxf>
      <alignment horizontal="center" vertical="center" wrapText="1"/>
    </dxf>
    <dxf>
      <numFmt numFmtId="19" formatCode="dd/mm/yyyy"/>
      <alignment horizontal="left" vertical="center" wrapText="1"/>
      <border outline="0">
        <left/>
        <right/>
        <top style="thin">
          <color theme="3" tint="0.39997558519241921"/>
        </top>
        <bottom/>
      </border>
    </dxf>
    <dxf>
      <numFmt numFmtId="0" formatCode="General"/>
      <alignment horizontal="general" vertical="center" wrapText="1"/>
    </dxf>
    <dxf>
      <numFmt numFmtId="0" formatCode="General"/>
      <alignment horizontal="center" vertical="center" wrapText="1"/>
    </dxf>
    <dxf>
      <numFmt numFmtId="0" formatCode="General"/>
      <alignment horizontal="center" vertical="center" wrapText="1"/>
    </dxf>
    <dxf>
      <alignment horizontal="general" vertical="center" wrapText="1"/>
    </dxf>
    <dxf>
      <alignment horizontal="general" vertical="center" wrapText="1"/>
    </dxf>
    <dxf>
      <alignment horizontal="general" vertical="center" wrapText="1"/>
    </dxf>
    <dxf>
      <border>
        <bottom style="thin">
          <color theme="3" tint="0.39997558519241921"/>
        </bottom>
      </border>
    </dxf>
    <dxf>
      <font>
        <strike val="0"/>
        <outline val="0"/>
        <shadow val="0"/>
        <vertAlign val="baseline"/>
        <sz val="11"/>
        <color auto="1"/>
        <name val="Calibri"/>
        <family val="2"/>
        <scheme val="minor"/>
      </font>
      <alignment horizontal="center" vertical="center" wrapText="1"/>
      <border outline="0">
        <left style="thin">
          <color theme="3" tint="0.39997558519241921"/>
        </left>
        <right style="thin">
          <color theme="3" tint="0.39997558519241921"/>
        </right>
        <top/>
        <bottom/>
      </border>
    </dxf>
    <dxf>
      <alignment horizontal="center" vertical="center"/>
    </dxf>
    <dxf>
      <numFmt numFmtId="30" formatCode="@"/>
      <alignment vertical="center"/>
    </dxf>
    <dxf>
      <numFmt numFmtId="0" formatCode="General"/>
      <alignment horizontal="center" vertical="center"/>
    </dxf>
    <dxf>
      <alignment horizontal="center" vertical="center"/>
    </dxf>
    <dxf>
      <numFmt numFmtId="0" formatCode="General"/>
      <alignment horizontal="center" vertical="center"/>
    </dxf>
    <dxf>
      <alignment vertical="center"/>
    </dxf>
    <dxf>
      <alignment vertical="center"/>
    </dxf>
    <dxf>
      <border>
        <bottom style="thin">
          <color theme="3" tint="0.39997558519241921"/>
        </bottom>
      </border>
    </dxf>
    <dxf>
      <alignment horizontal="center" vertical="center" textRotation="0" wrapText="1" indent="0" justifyLastLine="0" shrinkToFit="0" readingOrder="0"/>
      <border outline="0">
        <left style="thin">
          <color theme="3" tint="0.39997558519241921"/>
        </left>
        <right style="thin">
          <color theme="3" tint="0.39997558519241921"/>
        </right>
        <top/>
        <bottom/>
      </border>
    </dxf>
    <dxf>
      <alignment vertical="center"/>
    </dxf>
    <dxf>
      <numFmt numFmtId="30" formatCode="@"/>
      <alignment vertical="center"/>
    </dxf>
    <dxf>
      <alignment vertical="center"/>
    </dxf>
    <dxf>
      <numFmt numFmtId="30" formatCode="@"/>
      <alignment vertical="center"/>
    </dxf>
    <dxf>
      <alignment vertical="center"/>
    </dxf>
    <dxf>
      <numFmt numFmtId="30" formatCode="@"/>
      <alignment vertical="center"/>
    </dxf>
    <dxf>
      <alignment vertical="center"/>
    </dxf>
    <dxf>
      <numFmt numFmtId="30" formatCode="@"/>
      <alignment vertical="center"/>
    </dxf>
    <dxf>
      <alignment vertical="center"/>
    </dxf>
    <dxf>
      <numFmt numFmtId="30" formatCode="@"/>
      <alignment horizontal="general" vertical="center" textRotation="0" wrapText="0" indent="0" justifyLastLine="0" shrinkToFit="0" readingOrder="0"/>
    </dxf>
    <dxf>
      <alignment vertical="center"/>
    </dxf>
    <dxf>
      <numFmt numFmtId="30" formatCode="@"/>
      <alignment horizontal="general" vertical="center" textRotation="0" wrapText="0" indent="0" justifyLastLine="0" shrinkToFit="0" readingOrder="0"/>
    </dxf>
    <dxf>
      <alignment vertical="center"/>
    </dxf>
    <dxf>
      <numFmt numFmtId="30" formatCode="@"/>
      <alignment vertical="center"/>
    </dxf>
    <dxf>
      <alignment vertical="center"/>
    </dxf>
    <dxf>
      <numFmt numFmtId="30" formatCode="@"/>
      <alignment vertical="center"/>
    </dxf>
    <dxf>
      <alignment vertical="center"/>
    </dxf>
    <dxf>
      <numFmt numFmtId="30" formatCode="@"/>
      <alignment vertical="center"/>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vertical="center"/>
    </dxf>
    <dxf>
      <numFmt numFmtId="19" formatCode="dd/mm/yyyy"/>
      <alignment horizontal="center" vertical="center"/>
    </dxf>
    <dxf>
      <numFmt numFmtId="0" formatCode="General"/>
      <alignment horizontal="center" vertical="center"/>
    </dxf>
    <dxf>
      <numFmt numFmtId="30" formatCode="@"/>
      <alignment horizontal="center" vertical="center"/>
    </dxf>
    <dxf>
      <numFmt numFmtId="0" formatCode="General"/>
      <alignment horizontal="center" vertical="center"/>
    </dxf>
    <dxf>
      <alignment vertical="center"/>
    </dxf>
    <dxf>
      <alignment vertical="center"/>
    </dxf>
    <dxf>
      <border>
        <bottom style="thin">
          <color theme="3" tint="0.39997558519241921"/>
        </bottom>
      </border>
    </dxf>
    <dxf>
      <alignment horizontal="center" vertical="center" textRotation="0" wrapText="1" indent="0" justifyLastLine="0" shrinkToFit="0" readingOrder="0"/>
      <border outline="0">
        <left style="thin">
          <color theme="3" tint="0.39997558519241921"/>
        </left>
        <right style="thin">
          <color theme="3" tint="0.39997558519241921"/>
        </right>
        <top/>
        <bottom/>
      </border>
    </dxf>
    <dxf>
      <alignment vertical="center"/>
    </dxf>
    <dxf>
      <numFmt numFmtId="30" formatCode="@"/>
      <alignment horizontal="center" vertical="center" textRotation="0" wrapText="1" indent="0" justifyLastLine="0" shrinkToFit="0" readingOrder="0"/>
    </dxf>
    <dxf>
      <alignment vertical="center"/>
    </dxf>
    <dxf>
      <numFmt numFmtId="30" formatCode="@"/>
      <alignment horizontal="center" vertical="center" textRotation="0" wrapText="1" indent="0" justifyLastLine="0" shrinkToFit="0" readingOrder="0"/>
    </dxf>
    <dxf>
      <alignment vertical="center"/>
    </dxf>
    <dxf>
      <numFmt numFmtId="30" formatCode="@"/>
      <alignment horizontal="center" vertical="center" textRotation="0" wrapText="1" indent="0" justifyLastLine="0" shrinkToFit="0" readingOrder="0"/>
    </dxf>
    <dxf>
      <alignment vertical="center"/>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19" formatCode="dd/mm/yyyy"/>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30" formatCode="@"/>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border>
        <bottom style="thin">
          <color theme="3" tint="0.39997558519241921"/>
        </bottom>
      </border>
    </dxf>
    <dxf>
      <alignment horizontal="center" vertical="center" textRotation="0" indent="0" justifyLastLine="0" shrinkToFit="0" readingOrder="0"/>
      <border outline="0">
        <left style="thin">
          <color theme="3" tint="0.39997558519241921"/>
        </left>
        <right style="thin">
          <color theme="3" tint="0.39997558519241921"/>
        </right>
        <top/>
        <bottom/>
      </border>
    </dxf>
    <dxf>
      <alignment vertical="center"/>
    </dxf>
    <dxf>
      <numFmt numFmtId="0" formatCode="General"/>
      <alignment horizontal="center" vertical="center" textRotation="0" wrapText="0" indent="0" justifyLastLine="0" shrinkToFit="0" readingOrder="0"/>
    </dxf>
    <dxf>
      <alignment vertical="center"/>
    </dxf>
    <dxf>
      <numFmt numFmtId="165" formatCode="dd/mm/yyyy;@"/>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vertical="center"/>
    </dxf>
    <dxf>
      <font>
        <name val="Biome Light"/>
        <family val="2"/>
        <scheme val="none"/>
      </font>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dxf>
    <dxf>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vertical="center"/>
    </dxf>
    <dxf>
      <numFmt numFmtId="19" formatCode="dd/mm/yyyy"/>
      <alignment horizontal="center" vertical="center" textRotation="0" wrapText="0" indent="0" justifyLastLine="0" shrinkToFit="0" readingOrder="0"/>
    </dxf>
    <dxf>
      <font>
        <sz val="8"/>
        <color theme="8" tint="-0.499984740745262"/>
        <name val="Century Gothic"/>
        <family val="2"/>
        <scheme val="none"/>
      </font>
      <numFmt numFmtId="167" formatCode="d/m/yyyy"/>
      <alignment horizontal="center" vertical="center" textRotation="0" wrapText="0" indent="0" justifyLastLine="0" shrinkToFit="0" readingOrder="0"/>
      <border diagonalUp="0" diagonalDown="0" outline="0">
        <left/>
        <right/>
        <top/>
        <bottom style="dashed">
          <color rgb="FFFF5050"/>
        </bottom>
      </border>
    </dxf>
    <dxf>
      <numFmt numFmtId="167" formatCode="d/m/yyyy"/>
      <alignment horizontal="center" vertical="center" textRotation="0" wrapText="0" indent="0" justifyLastLine="0" shrinkToFit="0" readingOrder="0"/>
    </dxf>
    <dxf>
      <numFmt numFmtId="167" formatCode="d/m/yyyy"/>
      <alignment horizontal="center" vertical="center" textRotation="0" wrapText="0" indent="0" justifyLastLine="0" shrinkToFit="0" readingOrder="0"/>
    </dxf>
    <dxf>
      <font>
        <sz val="8"/>
        <color theme="8" tint="-0.499984740745262"/>
        <name val="Century Gothic"/>
        <family val="2"/>
        <scheme val="none"/>
      </font>
      <numFmt numFmtId="167" formatCode="d/m/yyyy"/>
      <alignment horizontal="left" vertical="center" textRotation="0" wrapText="0" indent="0" justifyLastLine="0" shrinkToFit="0" readingOrder="0"/>
      <border diagonalUp="0" diagonalDown="0" outline="0">
        <left/>
        <right/>
        <top/>
        <bottom style="dashed">
          <color rgb="FFFF5050"/>
        </bottom>
      </border>
    </dxf>
    <dxf>
      <font>
        <sz val="8"/>
        <color theme="8" tint="-0.499984740745262"/>
        <name val="Century Gothic"/>
        <family val="2"/>
        <scheme val="none"/>
      </font>
      <numFmt numFmtId="167" formatCode="d/m/yyyy"/>
      <alignment horizontal="left" vertical="center" textRotation="0" wrapText="0" indent="0" justifyLastLine="0" shrinkToFit="0" readingOrder="0"/>
      <border diagonalUp="0" diagonalDown="0" outline="0">
        <left/>
        <right/>
        <top/>
        <bottom style="dashed">
          <color rgb="FFFF5050"/>
        </bottom>
      </border>
    </dxf>
    <dxf>
      <numFmt numFmtId="167" formatCode="d/m/yyyy"/>
      <alignment horizontal="left" vertical="center" textRotation="0" wrapText="0" indent="0" justifyLastLine="0" shrinkToFit="0" readingOrder="0"/>
    </dxf>
    <dxf>
      <numFmt numFmtId="167" formatCode="d/m/yyyy"/>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7" formatCode="d/m/yyyy"/>
      <alignment horizontal="center" vertical="center" textRotation="0" wrapText="0" indent="0" justifyLastLine="0" shrinkToFit="0" readingOrder="0"/>
    </dxf>
    <dxf>
      <font>
        <strike val="0"/>
        <outline val="0"/>
        <shadow val="0"/>
        <u val="none"/>
        <vertAlign val="baseline"/>
        <sz val="11"/>
        <color auto="1"/>
        <name val="Calibri"/>
        <family val="2"/>
        <scheme val="minor"/>
      </font>
      <numFmt numFmtId="167" formatCode="d/m/yyyy"/>
      <alignment horizontal="left" vertical="center" textRotation="0" wrapText="0" indent="0" justifyLastLine="0" shrinkToFit="0" readingOrder="0"/>
      <border diagonalUp="0" diagonalDown="0" outline="0">
        <left/>
        <right/>
        <top/>
        <bottom style="dashed">
          <color rgb="FFFF5050"/>
        </bottom>
      </border>
    </dxf>
    <dxf>
      <font>
        <strike val="0"/>
        <outline val="0"/>
        <shadow val="0"/>
        <u val="none"/>
        <vertAlign val="baseline"/>
        <sz val="11"/>
        <color auto="1"/>
        <name val="Calibri"/>
        <family val="2"/>
        <scheme val="minor"/>
      </font>
      <numFmt numFmtId="166" formatCode="00000000"/>
      <alignment horizontal="center" vertical="bottom" textRotation="0" wrapText="0" indent="0" justifyLastLine="0" shrinkToFit="0" readingOrder="0"/>
      <border diagonalUp="0" diagonalDown="0">
        <left/>
        <right/>
        <top style="dashed">
          <color rgb="FFFF5050"/>
        </top>
        <bottom/>
      </border>
    </dxf>
    <dxf>
      <numFmt numFmtId="30" formatCode="@"/>
      <alignment horizontal="center"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border>
        <bottom style="thin">
          <color theme="3" tint="0.39997558519241921"/>
        </bottom>
      </border>
    </dxf>
    <dxf>
      <font>
        <strike val="0"/>
        <outline val="0"/>
        <shadow val="0"/>
        <u val="none"/>
        <vertAlign val="baseline"/>
        <sz val="11"/>
        <color theme="0"/>
        <name val="Calibri"/>
      </font>
      <alignment horizontal="center" vertical="center" textRotation="0" wrapText="0" indent="0" justifyLastLine="0" shrinkToFit="0" readingOrder="0"/>
      <border outline="0">
        <left style="thin">
          <color theme="3" tint="0.39997558519241921"/>
        </left>
        <right style="thin">
          <color theme="3" tint="0.3999755851924192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image" Target="../media/image19.png"/></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4078037577267945E-2"/>
          <c:y val="0.14086199006692127"/>
          <c:w val="0.48901789277366497"/>
          <c:h val="0.76410795974848145"/>
        </c:manualLayout>
      </c:layout>
      <c:doughnutChart>
        <c:varyColors val="1"/>
        <c:ser>
          <c:idx val="0"/>
          <c:order val="0"/>
          <c:dPt>
            <c:idx val="0"/>
            <c:bubble3D val="0"/>
            <c:spPr>
              <a:solidFill>
                <a:schemeClr val="tx2">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D2AA-4A50-8911-7FBBE23B23D1}"/>
              </c:ext>
            </c:extLst>
          </c:dPt>
          <c:dPt>
            <c:idx val="1"/>
            <c:bubble3D val="0"/>
            <c:spPr>
              <a:solidFill>
                <a:schemeClr val="accent2">
                  <a:lumMod val="40000"/>
                  <a:lumOff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D2AA-4A50-8911-7FBBE23B23D1}"/>
              </c:ext>
            </c:extLst>
          </c:dPt>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ysClr val="windowText" lastClr="000000"/>
                    </a:solidFill>
                    <a:latin typeface="+mn-lt"/>
                    <a:ea typeface="+mn-ea"/>
                    <a:cs typeface="+mn-cs"/>
                  </a:defRPr>
                </a:pPr>
                <a:endParaRPr lang="es-PE"/>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STATS!$K$10:$L$10</c:f>
              <c:strCache>
                <c:ptCount val="2"/>
                <c:pt idx="0">
                  <c:v>ACCIDENTES HOMBRES</c:v>
                </c:pt>
                <c:pt idx="1">
                  <c:v>ACCIDENTES MUJERES</c:v>
                </c:pt>
              </c:strCache>
            </c:strRef>
          </c:cat>
          <c:val>
            <c:numRef>
              <c:f>STATS!$K$11:$L$11</c:f>
              <c:numCache>
                <c:formatCode>General</c:formatCode>
                <c:ptCount val="2"/>
                <c:pt idx="0">
                  <c:v>0</c:v>
                </c:pt>
                <c:pt idx="1">
                  <c:v>0</c:v>
                </c:pt>
              </c:numCache>
            </c:numRef>
          </c:val>
          <c:extLst>
            <c:ext xmlns:c16="http://schemas.microsoft.com/office/drawing/2014/chart" uri="{C3380CC4-5D6E-409C-BE32-E72D297353CC}">
              <c16:uniqueId val="{00000004-D2AA-4A50-8911-7FBBE23B23D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3392017402683143"/>
          <c:y val="0.33835908868783676"/>
          <c:w val="0.2631550158625971"/>
          <c:h val="0.44481656047679008"/>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dk1">
                  <a:lumMod val="65000"/>
                  <a:lumOff val="35000"/>
                  <a:alpha val="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tx2">
            <a:lumMod val="75000"/>
          </a:schemeClr>
        </a:gs>
        <a:gs pos="73000">
          <a:schemeClr val="tx2">
            <a:lumMod val="50000"/>
          </a:schemeClr>
        </a:gs>
        <a:gs pos="100000">
          <a:schemeClr val="tx2">
            <a:lumMod val="60000"/>
            <a:lumOff val="40000"/>
          </a:schemeClr>
        </a:gs>
      </a:gsLst>
      <a:path path="rect">
        <a:fillToRect r="100000" b="100000"/>
      </a:path>
      <a:tileRect l="-100000" t="-100000"/>
    </a:gradFill>
    <a:ln w="9525" cap="flat" cmpd="sng" algn="ctr">
      <a:noFill/>
      <a:round/>
    </a:ln>
    <a:effectLst>
      <a:outerShdw blurRad="50800" dist="38100" dir="2700000" algn="tl" rotWithShape="0">
        <a:prstClr val="black">
          <a:alpha val="40000"/>
        </a:prstClr>
      </a:outerShdw>
    </a:effectLst>
  </c:spPr>
  <c:txPr>
    <a:bodyPr/>
    <a:lstStyle/>
    <a:p>
      <a:pPr>
        <a:defRPr/>
      </a:pPr>
      <a:endParaRPr lang="es-PE"/>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cked"/>
        <c:varyColors val="0"/>
        <c:ser>
          <c:idx val="0"/>
          <c:order val="0"/>
          <c:tx>
            <c:strRef>
              <c:f>STATS!$I$13</c:f>
              <c:strCache>
                <c:ptCount val="1"/>
                <c:pt idx="0">
                  <c:v>ACCIDENTES EN EL MES</c:v>
                </c:pt>
              </c:strCache>
            </c:strRef>
          </c:tx>
          <c:spPr>
            <a:ln w="22225" cap="rnd">
              <a:solidFill>
                <a:schemeClr val="accent1"/>
              </a:solidFill>
            </a:ln>
            <a:effectLst>
              <a:glow rad="139700">
                <a:schemeClr val="accent1">
                  <a:satMod val="175000"/>
                  <a:alpha val="14000"/>
                </a:schemeClr>
              </a:glow>
            </a:effectLst>
          </c:spPr>
          <c:marker>
            <c:symbol val="picture"/>
            <c:spPr>
              <a:blipFill>
                <a:blip xmlns:r="http://schemas.openxmlformats.org/officeDocument/2006/relationships" r:embed="rId1"/>
                <a:stretch>
                  <a:fillRect/>
                </a:stretch>
              </a:blipFill>
              <a:ln w="25400">
                <a:noFill/>
              </a:ln>
              <a:effectLst>
                <a:glow rad="63500">
                  <a:schemeClr val="accent1">
                    <a:satMod val="175000"/>
                    <a:alpha val="25000"/>
                  </a:schemeClr>
                </a:glow>
              </a:effectLst>
            </c:spPr>
          </c:marker>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75000"/>
                      </a:schemeClr>
                    </a:solidFill>
                    <a:latin typeface="+mn-lt"/>
                    <a:ea typeface="+mn-ea"/>
                    <a:cs typeface="+mn-cs"/>
                  </a:defRPr>
                </a:pPr>
                <a:endParaRPr lang="es-P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STATS!$H$14:$H$25</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STATS!$I$14:$I$25</c:f>
              <c:numCache>
                <c:formatCode>General</c:formatCode>
                <c:ptCount val="12"/>
                <c:pt idx="0">
                  <c:v>0</c:v>
                </c:pt>
                <c:pt idx="1">
                  <c:v>1</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A1F-416B-A232-48D7F0AC6E59}"/>
            </c:ext>
          </c:extLst>
        </c:ser>
        <c:dLbls>
          <c:dLblPos val="ctr"/>
          <c:showLegendKey val="0"/>
          <c:showVal val="1"/>
          <c:showCatName val="0"/>
          <c:showSerName val="0"/>
          <c:showPercent val="0"/>
          <c:showBubbleSize val="0"/>
        </c:dLbls>
        <c:marker val="1"/>
        <c:smooth val="0"/>
        <c:axId val="1698796623"/>
        <c:axId val="1698803823"/>
      </c:lineChart>
      <c:catAx>
        <c:axId val="169879662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75000"/>
                  </a:schemeClr>
                </a:solidFill>
                <a:latin typeface="+mn-lt"/>
                <a:ea typeface="+mn-ea"/>
                <a:cs typeface="+mn-cs"/>
              </a:defRPr>
            </a:pPr>
            <a:endParaRPr lang="es-PE"/>
          </a:p>
        </c:txPr>
        <c:crossAx val="1698803823"/>
        <c:crosses val="autoZero"/>
        <c:auto val="1"/>
        <c:lblAlgn val="ctr"/>
        <c:lblOffset val="100"/>
        <c:noMultiLvlLbl val="0"/>
      </c:catAx>
      <c:valAx>
        <c:axId val="1698803823"/>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crossAx val="1698796623"/>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a:outerShdw blurRad="50800" dist="38100" dir="2700000" algn="tl" rotWithShape="0">
        <a:prstClr val="black">
          <a:alpha val="40000"/>
        </a:prstClr>
      </a:outerShdw>
    </a:effectLst>
  </c:spPr>
  <c:txPr>
    <a:bodyPr/>
    <a:lstStyle/>
    <a:p>
      <a:pPr>
        <a:defRPr/>
      </a:pPr>
      <a:endParaRPr lang="es-P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71992352082759581"/>
          <c:y val="2.9178063150978095E-2"/>
          <c:w val="0.26169832421434969"/>
          <c:h val="0.9358082610678482"/>
        </c:manualLayout>
      </c:layout>
      <c:bar3DChart>
        <c:barDir val="bar"/>
        <c:grouping val="clustered"/>
        <c:varyColors val="0"/>
        <c:ser>
          <c:idx val="0"/>
          <c:order val="0"/>
          <c:spPr>
            <a:solidFill>
              <a:schemeClr val="accent1">
                <a:alpha val="88000"/>
              </a:schemeClr>
            </a:solidFill>
            <a:ln w="6350">
              <a:solidFill>
                <a:schemeClr val="accent1">
                  <a:lumMod val="75000"/>
                </a:schemeClr>
              </a:solidFill>
            </a:ln>
            <a:effectLst/>
            <a:scene3d>
              <a:camera prst="orthographicFront"/>
              <a:lightRig rig="threePt" dir="t"/>
            </a:scene3d>
            <a:sp3d contourW="6350" prstMaterial="flat">
              <a:contourClr>
                <a:schemeClr val="accent1">
                  <a:lumMod val="75000"/>
                </a:schemeClr>
              </a:contourClr>
            </a:sp3d>
          </c:spPr>
          <c:invertIfNegative val="0"/>
          <c:dPt>
            <c:idx val="1"/>
            <c:invertIfNegative val="0"/>
            <c:bubble3D val="0"/>
            <c:spPr>
              <a:solidFill>
                <a:schemeClr val="accent1">
                  <a:alpha val="88000"/>
                </a:schemeClr>
              </a:solidFill>
              <a:ln w="9525">
                <a:solidFill>
                  <a:schemeClr val="accent1">
                    <a:lumMod val="75000"/>
                  </a:schemeClr>
                </a:solidFill>
              </a:ln>
              <a:effectLst/>
              <a:scene3d>
                <a:camera prst="orthographicFront"/>
                <a:lightRig rig="threePt" dir="t"/>
              </a:scene3d>
              <a:sp3d contourW="9525" prstMaterial="flat">
                <a:contourClr>
                  <a:schemeClr val="accent1">
                    <a:lumMod val="75000"/>
                  </a:schemeClr>
                </a:contourClr>
              </a:sp3d>
            </c:spPr>
            <c:extLst>
              <c:ext xmlns:c16="http://schemas.microsoft.com/office/drawing/2014/chart" uri="{C3380CC4-5D6E-409C-BE32-E72D297353CC}">
                <c16:uniqueId val="{00000001-A639-4FDE-AA5A-EEF67D6ED49F}"/>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STATS!$X$6:$X$15</c:f>
              <c:numCache>
                <c:formatCode>General</c:formatCode>
                <c:ptCount val="10"/>
                <c:pt idx="0">
                  <c:v>0</c:v>
                </c:pt>
                <c:pt idx="1">
                  <c:v>0</c:v>
                </c:pt>
                <c:pt idx="2">
                  <c:v>0</c:v>
                </c:pt>
                <c:pt idx="3">
                  <c:v>0</c:v>
                </c:pt>
                <c:pt idx="4">
                  <c:v>0</c:v>
                </c:pt>
                <c:pt idx="5">
                  <c:v>0</c:v>
                </c:pt>
                <c:pt idx="6">
                  <c:v>0</c:v>
                </c:pt>
                <c:pt idx="7">
                  <c:v>0</c:v>
                </c:pt>
                <c:pt idx="8">
                  <c:v>0</c:v>
                </c:pt>
                <c:pt idx="9">
                  <c:v>0</c:v>
                </c:pt>
              </c:numCache>
            </c:numRef>
          </c:val>
          <c:shape val="pyramidToMax"/>
          <c:extLst>
            <c:ext xmlns:c16="http://schemas.microsoft.com/office/drawing/2014/chart" uri="{C3380CC4-5D6E-409C-BE32-E72D297353CC}">
              <c16:uniqueId val="{00000000-A639-4FDE-AA5A-EEF67D6ED49F}"/>
            </c:ext>
          </c:extLst>
        </c:ser>
        <c:dLbls>
          <c:showLegendKey val="0"/>
          <c:showVal val="1"/>
          <c:showCatName val="0"/>
          <c:showSerName val="0"/>
          <c:showPercent val="0"/>
          <c:showBubbleSize val="0"/>
        </c:dLbls>
        <c:gapWidth val="84"/>
        <c:gapDepth val="53"/>
        <c:shape val="box"/>
        <c:axId val="1493943168"/>
        <c:axId val="1493946048"/>
        <c:axId val="0"/>
      </c:bar3DChart>
      <c:catAx>
        <c:axId val="1493943168"/>
        <c:scaling>
          <c:orientation val="maxMin"/>
        </c:scaling>
        <c:delete val="0"/>
        <c:axPos val="l"/>
        <c:majorGridlines>
          <c:spPr>
            <a:ln w="9525">
              <a:solidFill>
                <a:schemeClr val="lt1">
                  <a:lumMod val="50000"/>
                </a:schemeClr>
              </a:solidFill>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75000"/>
                  </a:schemeClr>
                </a:solidFill>
                <a:latin typeface="Algerian" panose="04020705040A02060702" pitchFamily="82" charset="0"/>
                <a:ea typeface="+mn-ea"/>
                <a:cs typeface="+mn-cs"/>
              </a:defRPr>
            </a:pPr>
            <a:endParaRPr lang="es-PE"/>
          </a:p>
        </c:txPr>
        <c:crossAx val="1493946048"/>
        <c:crosses val="autoZero"/>
        <c:auto val="1"/>
        <c:lblAlgn val="ctr"/>
        <c:lblOffset val="100"/>
        <c:noMultiLvlLbl val="0"/>
      </c:catAx>
      <c:valAx>
        <c:axId val="1493946048"/>
        <c:scaling>
          <c:orientation val="minMax"/>
        </c:scaling>
        <c:delete val="1"/>
        <c:axPos val="t"/>
        <c:majorGridlines>
          <c:spPr>
            <a:ln w="9525">
              <a:solidFill>
                <a:schemeClr val="lt1">
                  <a:lumMod val="50000"/>
                </a:schemeClr>
              </a:solidFill>
            </a:ln>
            <a:effectLst/>
          </c:spPr>
        </c:majorGridlines>
        <c:numFmt formatCode="General" sourceLinked="1"/>
        <c:majorTickMark val="out"/>
        <c:minorTickMark val="none"/>
        <c:tickLblPos val="nextTo"/>
        <c:crossAx val="1493943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a:outerShdw blurRad="50800" dist="38100" dir="2700000" sx="101000" sy="101000" algn="tl" rotWithShape="0">
        <a:prstClr val="black">
          <a:alpha val="82000"/>
        </a:prstClr>
      </a:outerShdw>
    </a:effectLst>
  </c:spPr>
  <c:txPr>
    <a:bodyPr/>
    <a:lstStyle/>
    <a:p>
      <a:pPr>
        <a:defRPr/>
      </a:pPr>
      <a:endParaRPr lang="es-P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60269914607781461"/>
          <c:y val="1.8949181739879414E-2"/>
          <c:w val="0.37709883372016523"/>
          <c:h val="0.96210163652024117"/>
        </c:manualLayout>
      </c:layout>
      <c:bar3DChart>
        <c:barDir val="bar"/>
        <c:grouping val="clustered"/>
        <c:varyColors val="0"/>
        <c:ser>
          <c:idx val="0"/>
          <c:order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STATS!$Q$9</c:f>
              <c:numCache>
                <c:formatCode>General</c:formatCode>
                <c:ptCount val="1"/>
                <c:pt idx="0">
                  <c:v>0</c:v>
                </c:pt>
              </c:numCache>
            </c:numRef>
          </c:val>
          <c:shape val="pyramidToMax"/>
          <c:extLst>
            <c:ext xmlns:c16="http://schemas.microsoft.com/office/drawing/2014/chart" uri="{C3380CC4-5D6E-409C-BE32-E72D297353CC}">
              <c16:uniqueId val="{00000000-E3DB-42A0-9366-CAA895B7B00C}"/>
            </c:ext>
          </c:extLst>
        </c:ser>
        <c:dLbls>
          <c:showLegendKey val="0"/>
          <c:showVal val="1"/>
          <c:showCatName val="0"/>
          <c:showSerName val="0"/>
          <c:showPercent val="0"/>
          <c:showBubbleSize val="0"/>
        </c:dLbls>
        <c:gapWidth val="84"/>
        <c:gapDepth val="54"/>
        <c:shape val="box"/>
        <c:axId val="247415583"/>
        <c:axId val="247399263"/>
        <c:axId val="0"/>
      </c:bar3DChart>
      <c:catAx>
        <c:axId val="247415583"/>
        <c:scaling>
          <c:orientation val="maxMin"/>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800" b="0" i="0" u="none" strike="noStrike" kern="1200" baseline="0">
                <a:solidFill>
                  <a:schemeClr val="lt1">
                    <a:lumMod val="75000"/>
                  </a:schemeClr>
                </a:solidFill>
                <a:latin typeface="Algerian" panose="04020705040A02060702" pitchFamily="82" charset="0"/>
                <a:ea typeface="+mn-ea"/>
                <a:cs typeface="+mn-cs"/>
              </a:defRPr>
            </a:pPr>
            <a:endParaRPr lang="es-PE"/>
          </a:p>
        </c:txPr>
        <c:crossAx val="247399263"/>
        <c:crosses val="autoZero"/>
        <c:auto val="1"/>
        <c:lblAlgn val="ctr"/>
        <c:lblOffset val="100"/>
        <c:noMultiLvlLbl val="0"/>
      </c:catAx>
      <c:valAx>
        <c:axId val="247399263"/>
        <c:scaling>
          <c:orientation val="minMax"/>
        </c:scaling>
        <c:delete val="1"/>
        <c:axPos val="t"/>
        <c:majorGridlines>
          <c:spPr>
            <a:ln w="9525">
              <a:solidFill>
                <a:schemeClr val="lt1">
                  <a:lumMod val="50000"/>
                </a:schemeClr>
              </a:solidFill>
            </a:ln>
            <a:effectLst/>
          </c:spPr>
        </c:majorGridlines>
        <c:numFmt formatCode="General" sourceLinked="1"/>
        <c:majorTickMark val="out"/>
        <c:minorTickMark val="none"/>
        <c:tickLblPos val="nextTo"/>
        <c:crossAx val="247415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a:outerShdw blurRad="114300" dist="38100" dir="2700000" sx="101000" sy="101000" algn="tl" rotWithShape="0">
        <a:prstClr val="black">
          <a:alpha val="85000"/>
        </a:prstClr>
      </a:outerShdw>
    </a:effectLst>
  </c:spPr>
  <c:txPr>
    <a:bodyPr/>
    <a:lstStyle/>
    <a:p>
      <a:pPr>
        <a:defRPr/>
      </a:pPr>
      <a:endParaRPr lang="es-P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30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STATS!$M$11:$M$34</c:f>
              <c:strCache>
                <c:ptCount val="24"/>
                <c:pt idx="0">
                  <c:v>Almacen</c:v>
                </c:pt>
                <c:pt idx="1">
                  <c:v>Imprenta</c:v>
                </c:pt>
                <c:pt idx="2">
                  <c:v>Compras</c:v>
                </c:pt>
                <c:pt idx="3">
                  <c:v>Logística</c:v>
                </c:pt>
                <c:pt idx="4">
                  <c:v>Control de Calidad</c:v>
                </c:pt>
                <c:pt idx="5">
                  <c:v>Producción</c:v>
                </c:pt>
                <c:pt idx="6">
                  <c:v>Contabilidad</c:v>
                </c:pt>
                <c:pt idx="7">
                  <c:v>Limpieza</c:v>
                </c:pt>
                <c:pt idx="8">
                  <c:v>Ventas</c:v>
                </c:pt>
                <c:pt idx="9">
                  <c:v>Lavandería</c:v>
                </c:pt>
                <c:pt idx="10">
                  <c:v>Facturación</c:v>
                </c:pt>
                <c:pt idx="11">
                  <c:v>Sistemas</c:v>
                </c:pt>
                <c:pt idx="12">
                  <c:v>Marketing</c:v>
                </c:pt>
                <c:pt idx="13">
                  <c:v>Gerencia</c:v>
                </c:pt>
                <c:pt idx="14">
                  <c:v>Vigilancia</c:v>
                </c:pt>
                <c:pt idx="15">
                  <c:v>Mantenimiento</c:v>
                </c:pt>
                <c:pt idx="16">
                  <c:v>Capital Humano</c:v>
                </c:pt>
                <c:pt idx="17">
                  <c:v>Aseguramiento de la Calidad</c:v>
                </c:pt>
                <c:pt idx="18">
                  <c:v>0</c:v>
                </c:pt>
                <c:pt idx="19">
                  <c:v>Despacho</c:v>
                </c:pt>
                <c:pt idx="20">
                  <c:v>Tesorería</c:v>
                </c:pt>
                <c:pt idx="21">
                  <c:v>Asuntos Regulatorios</c:v>
                </c:pt>
                <c:pt idx="22">
                  <c:v>Transporte</c:v>
                </c:pt>
                <c:pt idx="23">
                  <c:v>Investigación y Desarrollo</c:v>
                </c:pt>
              </c:strCache>
            </c:strRef>
          </c:cat>
          <c:val>
            <c:numRef>
              <c:f>STATS!$N$11:$N$34</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29EC-4F52-9910-E60362D0AABD}"/>
            </c:ext>
          </c:extLst>
        </c:ser>
        <c:dLbls>
          <c:showLegendKey val="0"/>
          <c:showVal val="1"/>
          <c:showCatName val="0"/>
          <c:showSerName val="0"/>
          <c:showPercent val="0"/>
          <c:showBubbleSize val="0"/>
        </c:dLbls>
        <c:gapWidth val="65"/>
        <c:shape val="box"/>
        <c:axId val="247392063"/>
        <c:axId val="247367583"/>
        <c:axId val="0"/>
      </c:bar3DChart>
      <c:catAx>
        <c:axId val="24739206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400" b="0" i="0" u="none" strike="noStrike" kern="1200" cap="all" baseline="0">
                <a:solidFill>
                  <a:schemeClr val="dk1">
                    <a:lumMod val="75000"/>
                    <a:lumOff val="25000"/>
                  </a:schemeClr>
                </a:solidFill>
                <a:latin typeface="+mn-lt"/>
                <a:ea typeface="+mn-ea"/>
                <a:cs typeface="+mn-cs"/>
              </a:defRPr>
            </a:pPr>
            <a:endParaRPr lang="es-PE"/>
          </a:p>
        </c:txPr>
        <c:crossAx val="247367583"/>
        <c:crosses val="autoZero"/>
        <c:auto val="1"/>
        <c:lblAlgn val="ctr"/>
        <c:lblOffset val="100"/>
        <c:noMultiLvlLbl val="0"/>
      </c:catAx>
      <c:valAx>
        <c:axId val="247367583"/>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2473920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outerShdw blurRad="190500" dist="38100" dir="2700000" algn="tl" rotWithShape="0">
        <a:prstClr val="black">
          <a:alpha val="90000"/>
        </a:prstClr>
      </a:outerShdw>
    </a:effectLst>
  </c:spPr>
  <c:txPr>
    <a:bodyPr/>
    <a:lstStyle/>
    <a:p>
      <a:pPr>
        <a:defRPr/>
      </a:pPr>
      <a:endParaRPr lang="es-P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32894130430757"/>
          <c:y val="6.25E-2"/>
          <c:w val="0.6474791129837989"/>
          <c:h val="0.93055555555555558"/>
        </c:manualLayout>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908-4029-A9A2-748036DD0FA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908-4029-A9A2-748036DD0FA7}"/>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PE"/>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STATS!$K$14</c:f>
              <c:numCache>
                <c:formatCode>General</c:formatCode>
                <c:ptCount val="1"/>
                <c:pt idx="0">
                  <c:v>0</c:v>
                </c:pt>
              </c:numCache>
            </c:numRef>
          </c:val>
          <c:extLst>
            <c:ext xmlns:c16="http://schemas.microsoft.com/office/drawing/2014/chart" uri="{C3380CC4-5D6E-409C-BE32-E72D297353CC}">
              <c16:uniqueId val="{00000004-B908-4029-A9A2-748036DD0FA7}"/>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2489780066274534"/>
          <c:y val="0.40851816856226308"/>
          <c:w val="0.23691604181935491"/>
          <c:h val="0.22444514435695534"/>
        </c:manualLayout>
      </c:layout>
      <c:overlay val="0"/>
      <c:spPr>
        <a:solidFill>
          <a:schemeClr val="lt1">
            <a:lumMod val="95000"/>
            <a:alpha val="39000"/>
          </a:schemeClr>
        </a:solidFill>
        <a:ln>
          <a:noFill/>
        </a:ln>
        <a:effectLst/>
      </c:spPr>
      <c:txPr>
        <a:bodyPr rot="0" spcFirstLastPara="1" vertOverflow="ellipsis" vert="horz" wrap="square" anchor="ctr" anchorCtr="1"/>
        <a:lstStyle/>
        <a:p>
          <a:pPr rtl="0">
            <a:defRPr sz="3200" b="0" i="0" u="none" strike="noStrike" kern="1200" baseline="0">
              <a:solidFill>
                <a:schemeClr val="dk1">
                  <a:lumMod val="75000"/>
                  <a:lumOff val="2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outerShdw blurRad="152400" dist="38100" dir="2700000" algn="tl" rotWithShape="0">
        <a:prstClr val="black"/>
      </a:outerShdw>
    </a:effectLst>
  </c:spPr>
  <c:txPr>
    <a:bodyPr/>
    <a:lstStyle/>
    <a:p>
      <a:pPr>
        <a:defRPr/>
      </a:pPr>
      <a:endParaRPr lang="es-P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STATS!$B$4</c:f>
              <c:strCache>
                <c:ptCount val="1"/>
                <c:pt idx="0">
                  <c:v>TRABAJADORES INGRESADOS</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STATS!$A$5:$A$16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STATS!$B$5:$B$16</c:f>
              <c:numCache>
                <c:formatCode>General</c:formatCode>
                <c:ptCount val="12"/>
                <c:pt idx="0">
                  <c:v>3</c:v>
                </c:pt>
                <c:pt idx="1">
                  <c:v>1</c:v>
                </c:pt>
                <c:pt idx="2">
                  <c:v>3</c:v>
                </c:pt>
                <c:pt idx="3">
                  <c:v>2</c:v>
                </c:pt>
                <c:pt idx="4">
                  <c:v>2</c:v>
                </c:pt>
                <c:pt idx="5">
                  <c:v>6</c:v>
                </c:pt>
                <c:pt idx="6">
                  <c:v>1</c:v>
                </c:pt>
                <c:pt idx="7">
                  <c:v>5</c:v>
                </c:pt>
                <c:pt idx="8">
                  <c:v>6</c:v>
                </c:pt>
                <c:pt idx="9">
                  <c:v>5</c:v>
                </c:pt>
                <c:pt idx="10">
                  <c:v>1</c:v>
                </c:pt>
                <c:pt idx="11">
                  <c:v>3</c:v>
                </c:pt>
              </c:numCache>
            </c:numRef>
          </c:val>
          <c:extLst>
            <c:ext xmlns:c16="http://schemas.microsoft.com/office/drawing/2014/chart" uri="{C3380CC4-5D6E-409C-BE32-E72D297353CC}">
              <c16:uniqueId val="{00000000-B9CC-4A21-9015-2BF20B98F3DB}"/>
            </c:ext>
          </c:extLst>
        </c:ser>
        <c:ser>
          <c:idx val="1"/>
          <c:order val="1"/>
          <c:tx>
            <c:strRef>
              <c:f>STATS!$C$4</c:f>
              <c:strCache>
                <c:ptCount val="1"/>
                <c:pt idx="0">
                  <c:v>TRABAJADORES ACTIVOS</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STATS!$A$5:$A$16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STATS!$C$5:$C$16</c:f>
              <c:numCache>
                <c:formatCode>General</c:formatCode>
                <c:ptCount val="12"/>
                <c:pt idx="0">
                  <c:v>73</c:v>
                </c:pt>
                <c:pt idx="1">
                  <c:v>74</c:v>
                </c:pt>
                <c:pt idx="2">
                  <c:v>77</c:v>
                </c:pt>
                <c:pt idx="3">
                  <c:v>79</c:v>
                </c:pt>
                <c:pt idx="4">
                  <c:v>81</c:v>
                </c:pt>
                <c:pt idx="5">
                  <c:v>87</c:v>
                </c:pt>
                <c:pt idx="6">
                  <c:v>88</c:v>
                </c:pt>
                <c:pt idx="7">
                  <c:v>93</c:v>
                </c:pt>
                <c:pt idx="8">
                  <c:v>99</c:v>
                </c:pt>
                <c:pt idx="9">
                  <c:v>104</c:v>
                </c:pt>
                <c:pt idx="10">
                  <c:v>105</c:v>
                </c:pt>
                <c:pt idx="11">
                  <c:v>108</c:v>
                </c:pt>
              </c:numCache>
            </c:numRef>
          </c:val>
          <c:extLst>
            <c:ext xmlns:c16="http://schemas.microsoft.com/office/drawing/2014/chart" uri="{C3380CC4-5D6E-409C-BE32-E72D297353CC}">
              <c16:uniqueId val="{00000001-B9CC-4A21-9015-2BF20B98F3DB}"/>
            </c:ext>
          </c:extLst>
        </c:ser>
        <c:ser>
          <c:idx val="2"/>
          <c:order val="2"/>
          <c:tx>
            <c:strRef>
              <c:f>STATS!$D$4</c:f>
              <c:strCache>
                <c:ptCount val="1"/>
                <c:pt idx="0">
                  <c:v>EMOS
REALIZADOS</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STATS!$A$5:$A$16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STATS!$D$5:$D$16</c:f>
              <c:numCache>
                <c:formatCode>General</c:formatCode>
                <c:ptCount val="12"/>
                <c:pt idx="0">
                  <c:v>0</c:v>
                </c:pt>
                <c:pt idx="1">
                  <c:v>0</c:v>
                </c:pt>
                <c:pt idx="2">
                  <c:v>0</c:v>
                </c:pt>
                <c:pt idx="3">
                  <c:v>0</c:v>
                </c:pt>
                <c:pt idx="4">
                  <c:v>0</c:v>
                </c:pt>
                <c:pt idx="5">
                  <c:v>0</c:v>
                </c:pt>
                <c:pt idx="6">
                  <c:v>0</c:v>
                </c:pt>
                <c:pt idx="7">
                  <c:v>0</c:v>
                </c:pt>
                <c:pt idx="8">
                  <c:v>0</c:v>
                </c:pt>
                <c:pt idx="9">
                  <c:v>0</c:v>
                </c:pt>
                <c:pt idx="10">
                  <c:v>100</c:v>
                </c:pt>
                <c:pt idx="11">
                  <c:v>0</c:v>
                </c:pt>
              </c:numCache>
            </c:numRef>
          </c:val>
          <c:extLst>
            <c:ext xmlns:c16="http://schemas.microsoft.com/office/drawing/2014/chart" uri="{C3380CC4-5D6E-409C-BE32-E72D297353CC}">
              <c16:uniqueId val="{00000002-B9CC-4A21-9015-2BF20B98F3DB}"/>
            </c:ext>
          </c:extLst>
        </c:ser>
        <c:ser>
          <c:idx val="3"/>
          <c:order val="3"/>
          <c:tx>
            <c:strRef>
              <c:f>STATS!$F$4</c:f>
              <c:strCache>
                <c:ptCount val="1"/>
                <c:pt idx="0">
                  <c:v>EMOS
ENTREGADOS</c:v>
                </c:pt>
              </c:strCache>
            </c:strRef>
          </c:tx>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STATS!$A$5:$A$16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STATS!$F$5:$F$16</c:f>
              <c:numCache>
                <c:formatCode>General</c:formatCode>
                <c:ptCount val="12"/>
                <c:pt idx="0">
                  <c:v>0</c:v>
                </c:pt>
                <c:pt idx="1">
                  <c:v>0</c:v>
                </c:pt>
                <c:pt idx="2">
                  <c:v>0</c:v>
                </c:pt>
                <c:pt idx="3">
                  <c:v>0</c:v>
                </c:pt>
                <c:pt idx="4">
                  <c:v>0</c:v>
                </c:pt>
                <c:pt idx="5">
                  <c:v>0</c:v>
                </c:pt>
                <c:pt idx="6">
                  <c:v>0</c:v>
                </c:pt>
                <c:pt idx="7">
                  <c:v>0</c:v>
                </c:pt>
                <c:pt idx="8">
                  <c:v>0</c:v>
                </c:pt>
                <c:pt idx="9">
                  <c:v>0</c:v>
                </c:pt>
                <c:pt idx="10">
                  <c:v>13</c:v>
                </c:pt>
                <c:pt idx="11">
                  <c:v>74</c:v>
                </c:pt>
              </c:numCache>
            </c:numRef>
          </c:val>
          <c:extLst>
            <c:ext xmlns:c16="http://schemas.microsoft.com/office/drawing/2014/chart" uri="{C3380CC4-5D6E-409C-BE32-E72D297353CC}">
              <c16:uniqueId val="{00000003-B9CC-4A21-9015-2BF20B98F3DB}"/>
            </c:ext>
          </c:extLst>
        </c:ser>
        <c:dLbls>
          <c:showLegendKey val="0"/>
          <c:showVal val="1"/>
          <c:showCatName val="0"/>
          <c:showSerName val="0"/>
          <c:showPercent val="0"/>
          <c:showBubbleSize val="0"/>
        </c:dLbls>
        <c:gapWidth val="65"/>
        <c:shape val="box"/>
        <c:axId val="1306719439"/>
        <c:axId val="1306723279"/>
        <c:axId val="1298473423"/>
      </c:bar3DChart>
      <c:catAx>
        <c:axId val="130671943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PE"/>
          </a:p>
        </c:txPr>
        <c:crossAx val="1306723279"/>
        <c:crosses val="autoZero"/>
        <c:auto val="1"/>
        <c:lblAlgn val="ctr"/>
        <c:lblOffset val="100"/>
        <c:noMultiLvlLbl val="0"/>
      </c:catAx>
      <c:valAx>
        <c:axId val="1306723279"/>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1306719439"/>
        <c:crosses val="autoZero"/>
        <c:crossBetween val="between"/>
      </c:valAx>
      <c:serAx>
        <c:axId val="1298473423"/>
        <c:scaling>
          <c:orientation val="minMax"/>
        </c:scaling>
        <c:delete val="1"/>
        <c:axPos val="b"/>
        <c:majorTickMark val="none"/>
        <c:minorTickMark val="none"/>
        <c:tickLblPos val="nextTo"/>
        <c:crossAx val="1306723279"/>
        <c:crosses val="autoZero"/>
      </c:ser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P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F81D-48FB-BF95-6BDBFDC9C8D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F81D-48FB-BF95-6BDBFDC9C8DC}"/>
              </c:ext>
            </c:extLst>
          </c:dPt>
          <c:cat>
            <c:strRef>
              <c:f>(STATS!$F$37,STATS!$K$37)</c:f>
              <c:strCache>
                <c:ptCount val="2"/>
                <c:pt idx="0">
                  <c:v>TOTAL HOMBRES</c:v>
                </c:pt>
                <c:pt idx="1">
                  <c:v>TOTAL MUJERES</c:v>
                </c:pt>
              </c:strCache>
            </c:strRef>
          </c:cat>
          <c:val>
            <c:numRef>
              <c:f>(STATS!$F$38,STATS!$K$38)</c:f>
              <c:numCache>
                <c:formatCode>General</c:formatCode>
                <c:ptCount val="2"/>
              </c:numCache>
            </c:numRef>
          </c:val>
          <c:extLst>
            <c:ext xmlns:c16="http://schemas.microsoft.com/office/drawing/2014/chart" uri="{C3380CC4-5D6E-409C-BE32-E72D297353CC}">
              <c16:uniqueId val="{00000004-F81D-48FB-BF95-6BDBFDC9C8DC}"/>
            </c:ext>
          </c:extLst>
        </c:ser>
        <c:ser>
          <c:idx val="1"/>
          <c:order val="1"/>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6-F81D-48FB-BF95-6BDBFDC9C8D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8-F81D-48FB-BF95-6BDBFDC9C8DC}"/>
              </c:ext>
            </c:extLst>
          </c:dPt>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s-PE"/>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(STATS!$F$37,STATS!$K$37)</c:f>
              <c:strCache>
                <c:ptCount val="2"/>
                <c:pt idx="0">
                  <c:v>TOTAL HOMBRES</c:v>
                </c:pt>
                <c:pt idx="1">
                  <c:v>TOTAL MUJERES</c:v>
                </c:pt>
              </c:strCache>
            </c:strRef>
          </c:cat>
          <c:val>
            <c:numRef>
              <c:f>(STATS!$F$39,STATS!$K$39)</c:f>
              <c:numCache>
                <c:formatCode>General</c:formatCode>
                <c:ptCount val="2"/>
                <c:pt idx="0">
                  <c:v>33</c:v>
                </c:pt>
                <c:pt idx="1">
                  <c:v>1</c:v>
                </c:pt>
              </c:numCache>
            </c:numRef>
          </c:val>
          <c:extLst>
            <c:ext xmlns:c16="http://schemas.microsoft.com/office/drawing/2014/chart" uri="{C3380CC4-5D6E-409C-BE32-E72D297353CC}">
              <c16:uniqueId val="{00000009-F81D-48FB-BF95-6BDBFDC9C8D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1"/>
      <c:spPr>
        <a:noFill/>
        <a:ln>
          <a:noFill/>
        </a:ln>
        <a:effectLst/>
      </c:spPr>
      <c:txPr>
        <a:bodyPr rot="0" spcFirstLastPara="1" vertOverflow="ellipsis" vert="horz" wrap="square" anchor="ctr" anchorCtr="1"/>
        <a:lstStyle/>
        <a:p>
          <a:pPr>
            <a:defRPr sz="2400" b="0" i="0" u="none" strike="noStrike" kern="1200" baseline="0">
              <a:solidFill>
                <a:schemeClr val="lt1">
                  <a:lumMod val="8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shade val="30000"/>
            <a:satMod val="115000"/>
          </a:schemeClr>
        </a:gs>
        <a:gs pos="75000">
          <a:schemeClr val="accent1">
            <a:lumMod val="75000"/>
          </a:schemeClr>
        </a:gs>
        <a:gs pos="100000">
          <a:schemeClr val="accent1">
            <a:shade val="100000"/>
            <a:satMod val="115000"/>
          </a:schemeClr>
        </a:gs>
      </a:gsLst>
      <a:path path="circle">
        <a:fillToRect l="50000" t="50000" r="50000" b="50000"/>
      </a:path>
      <a:tileRect/>
    </a:gradFill>
    <a:ln>
      <a:noFill/>
    </a:ln>
    <a:effectLst/>
  </c:spPr>
  <c:txPr>
    <a:bodyPr/>
    <a:lstStyle/>
    <a:p>
      <a:pPr>
        <a:defRPr/>
      </a:pPr>
      <a:endParaRPr lang="es-P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505-4F15-B6BD-0AC25F3BD5D9}"/>
              </c:ext>
            </c:extLst>
          </c:dPt>
          <c:dPt>
            <c:idx val="1"/>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6505-4F15-B6BD-0AC25F3BD5D9}"/>
              </c:ext>
            </c:extLst>
          </c:dPt>
          <c:dPt>
            <c:idx val="2"/>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6505-4F15-B6BD-0AC25F3BD5D9}"/>
              </c:ext>
            </c:extLst>
          </c:dPt>
          <c:dPt>
            <c:idx val="3"/>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6505-4F15-B6BD-0AC25F3BD5D9}"/>
              </c:ext>
            </c:extLst>
          </c:dPt>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s-PE"/>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STATS!$B$38:$E$38</c:f>
              <c:strCache>
                <c:ptCount val="4"/>
                <c:pt idx="0">
                  <c:v>APTO</c:v>
                </c:pt>
                <c:pt idx="1">
                  <c:v>APTO CON RESTRICCIONES</c:v>
                </c:pt>
                <c:pt idx="2">
                  <c:v>OBSERVADO</c:v>
                </c:pt>
                <c:pt idx="3">
                  <c:v>NO APTO</c:v>
                </c:pt>
              </c:strCache>
            </c:strRef>
          </c:cat>
          <c:val>
            <c:numRef>
              <c:f>STATS!$B$39:$E$39</c:f>
              <c:numCache>
                <c:formatCode>General</c:formatCode>
                <c:ptCount val="4"/>
                <c:pt idx="0">
                  <c:v>13</c:v>
                </c:pt>
                <c:pt idx="1">
                  <c:v>17</c:v>
                </c:pt>
                <c:pt idx="2">
                  <c:v>3</c:v>
                </c:pt>
                <c:pt idx="3">
                  <c:v>0</c:v>
                </c:pt>
              </c:numCache>
            </c:numRef>
          </c:val>
          <c:extLst>
            <c:ext xmlns:c16="http://schemas.microsoft.com/office/drawing/2014/chart" uri="{C3380CC4-5D6E-409C-BE32-E72D297353CC}">
              <c16:uniqueId val="{00000008-6505-4F15-B6BD-0AC25F3BD5D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1368008831781762"/>
          <c:y val="0.24134392947463335"/>
          <c:w val="0.36020731911770754"/>
          <c:h val="0.60696422934892236"/>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Algerian" panose="04020705040A02060702" pitchFamily="82" charset="0"/>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shade val="30000"/>
            <a:satMod val="115000"/>
          </a:schemeClr>
        </a:gs>
        <a:gs pos="73000">
          <a:schemeClr val="accent1">
            <a:lumMod val="75000"/>
          </a:schemeClr>
        </a:gs>
        <a:gs pos="100000">
          <a:schemeClr val="accent1">
            <a:lumMod val="75000"/>
          </a:schemeClr>
        </a:gs>
      </a:gsLst>
      <a:lin ang="10800000" scaled="1"/>
      <a:tileRect/>
    </a:gradFill>
    <a:ln>
      <a:noFill/>
    </a:ln>
    <a:effectLst/>
  </c:spPr>
  <c:txPr>
    <a:bodyPr/>
    <a:lstStyle/>
    <a:p>
      <a:pPr>
        <a:defRPr/>
      </a:pPr>
      <a:endParaRPr lang="es-P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8055-4890-9AE8-3EDD445ED809}"/>
              </c:ext>
            </c:extLst>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8055-4890-9AE8-3EDD445ED809}"/>
              </c:ext>
            </c:extLst>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8055-4890-9AE8-3EDD445ED809}"/>
              </c:ext>
            </c:extLst>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8055-4890-9AE8-3EDD445ED809}"/>
              </c:ext>
            </c:extLst>
          </c:dPt>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s-PE"/>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STATS!$G$38:$J$38</c:f>
              <c:strCache>
                <c:ptCount val="4"/>
                <c:pt idx="0">
                  <c:v>APTO</c:v>
                </c:pt>
                <c:pt idx="1">
                  <c:v>APTO CON RESTRICCIONES</c:v>
                </c:pt>
                <c:pt idx="2">
                  <c:v>OBSERVADO</c:v>
                </c:pt>
                <c:pt idx="3">
                  <c:v>NO APTO</c:v>
                </c:pt>
              </c:strCache>
            </c:strRef>
          </c:cat>
          <c:val>
            <c:numRef>
              <c:f>STATS!$G$39:$J$39</c:f>
              <c:numCache>
                <c:formatCode>General</c:formatCode>
                <c:ptCount val="4"/>
                <c:pt idx="0">
                  <c:v>0</c:v>
                </c:pt>
                <c:pt idx="1">
                  <c:v>1</c:v>
                </c:pt>
                <c:pt idx="2">
                  <c:v>0</c:v>
                </c:pt>
                <c:pt idx="3">
                  <c:v>0</c:v>
                </c:pt>
              </c:numCache>
            </c:numRef>
          </c:val>
          <c:extLst>
            <c:ext xmlns:c16="http://schemas.microsoft.com/office/drawing/2014/chart" uri="{C3380CC4-5D6E-409C-BE32-E72D297353CC}">
              <c16:uniqueId val="{00000008-8055-4890-9AE8-3EDD445ED80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l"/>
      <c:layout>
        <c:manualLayout>
          <c:xMode val="edge"/>
          <c:yMode val="edge"/>
          <c:x val="1.732447821970021E-2"/>
          <c:y val="0.2225405030784722"/>
          <c:w val="0.37526982466414471"/>
          <c:h val="0.60696422934892236"/>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Algerian" panose="04020705040A02060702" pitchFamily="82" charset="0"/>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shade val="30000"/>
            <a:satMod val="115000"/>
          </a:schemeClr>
        </a:gs>
        <a:gs pos="61000">
          <a:schemeClr val="accent1">
            <a:shade val="67500"/>
            <a:satMod val="115000"/>
          </a:schemeClr>
        </a:gs>
        <a:gs pos="100000">
          <a:schemeClr val="accent1">
            <a:lumMod val="75000"/>
          </a:schemeClr>
        </a:gs>
      </a:gsLst>
      <a:lin ang="0" scaled="1"/>
      <a:tileRect/>
    </a:gradFill>
    <a:ln>
      <a:noFill/>
    </a:ln>
    <a:effectLst/>
  </c:spPr>
  <c:txPr>
    <a:bodyPr/>
    <a:lstStyle/>
    <a:p>
      <a:pPr>
        <a:defRPr/>
      </a:pPr>
      <a:endParaRPr lang="es-P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3.9275696553213224E-2"/>
          <c:w val="0.99437464041816426"/>
          <c:h val="0.87789447404725507"/>
        </c:manualLayout>
      </c:layout>
      <c:line3DChart>
        <c:grouping val="standard"/>
        <c:varyColors val="0"/>
        <c:ser>
          <c:idx val="0"/>
          <c:order val="0"/>
          <c:tx>
            <c:strRef>
              <c:f>STATS!$B$56</c:f>
              <c:strCache>
                <c:ptCount val="1"/>
                <c:pt idx="0">
                  <c:v>GOLPE DE CALOR</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a:sp3d contourW="9525">
              <a:contourClr>
                <a:schemeClr val="accent1">
                  <a:shade val="95000"/>
                </a:schemeClr>
              </a:contourClr>
            </a:sp3d>
          </c:spPr>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STATS!$B$57:$B$68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E789-40A7-BFDA-B136D2FD5F88}"/>
            </c:ext>
          </c:extLst>
        </c:ser>
        <c:ser>
          <c:idx val="1"/>
          <c:order val="1"/>
          <c:tx>
            <c:strRef>
              <c:f>STATS!$C$56</c:f>
              <c:strCache>
                <c:ptCount val="1"/>
                <c:pt idx="0">
                  <c:v>VIGILANCIA</c:v>
                </c:pt>
              </c:strCache>
            </c:strRef>
          </c:tx>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a:sp3d contourW="9525">
              <a:contourClr>
                <a:schemeClr val="accent2">
                  <a:shade val="9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STATS!$C$57:$C$68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789-40A7-BFDA-B136D2FD5F88}"/>
            </c:ext>
          </c:extLst>
        </c:ser>
        <c:ser>
          <c:idx val="2"/>
          <c:order val="2"/>
          <c:tx>
            <c:strRef>
              <c:f>STATS!$D$56</c:f>
              <c:strCache>
                <c:ptCount val="1"/>
                <c:pt idx="0">
                  <c:v>ERGONOMIA</c:v>
                </c:pt>
              </c:strCache>
            </c:strRef>
          </c:tx>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a:sp3d contourW="9525">
              <a:contourClr>
                <a:schemeClr val="accent3">
                  <a:shade val="9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STATS!$D$57:$D$68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E789-40A7-BFDA-B136D2FD5F88}"/>
            </c:ext>
          </c:extLst>
        </c:ser>
        <c:ser>
          <c:idx val="3"/>
          <c:order val="3"/>
          <c:tx>
            <c:strRef>
              <c:f>STATS!$E$56</c:f>
              <c:strCache>
                <c:ptCount val="1"/>
                <c:pt idx="0">
                  <c:v>TME</c:v>
                </c:pt>
              </c:strCache>
            </c:strRef>
          </c:tx>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a:sp3d contourW="9525">
              <a:contourClr>
                <a:schemeClr val="accent4">
                  <a:shade val="9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STATS!$E$57:$E$68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E789-40A7-BFDA-B136D2FD5F88}"/>
            </c:ext>
          </c:extLst>
        </c:ser>
        <c:ser>
          <c:idx val="4"/>
          <c:order val="4"/>
          <c:tx>
            <c:strRef>
              <c:f>STATS!$F$56</c:f>
              <c:strCache>
                <c:ptCount val="1"/>
                <c:pt idx="0">
                  <c:v>PSICOSOCIAL</c:v>
                </c:pt>
              </c:strCache>
            </c:strRef>
          </c:tx>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a:sp3d contourW="9525">
              <a:contourClr>
                <a:schemeClr val="accent5">
                  <a:shade val="9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STATS!$F$57:$F$68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E789-40A7-BFDA-B136D2FD5F88}"/>
            </c:ext>
          </c:extLst>
        </c:ser>
        <c:dLbls>
          <c:showLegendKey val="0"/>
          <c:showVal val="1"/>
          <c:showCatName val="0"/>
          <c:showSerName val="0"/>
          <c:showPercent val="0"/>
          <c:showBubbleSize val="0"/>
        </c:dLbls>
        <c:gapDepth val="60"/>
        <c:axId val="1511450800"/>
        <c:axId val="1511455600"/>
        <c:axId val="798899743"/>
      </c:line3DChart>
      <c:catAx>
        <c:axId val="1511450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PE"/>
          </a:p>
        </c:txPr>
        <c:crossAx val="1511455600"/>
        <c:crosses val="autoZero"/>
        <c:auto val="1"/>
        <c:lblAlgn val="ctr"/>
        <c:lblOffset val="100"/>
        <c:noMultiLvlLbl val="0"/>
      </c:catAx>
      <c:valAx>
        <c:axId val="151145560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511450800"/>
        <c:crosses val="autoZero"/>
        <c:crossBetween val="between"/>
      </c:valAx>
      <c:serAx>
        <c:axId val="798899743"/>
        <c:scaling>
          <c:orientation val="minMax"/>
        </c:scaling>
        <c:delete val="1"/>
        <c:axPos val="b"/>
        <c:majorTickMark val="none"/>
        <c:minorTickMark val="none"/>
        <c:tickLblPos val="nextTo"/>
        <c:crossAx val="151145560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5000">
          <a:schemeClr val="tx1">
            <a:lumMod val="75000"/>
            <a:lumOff val="25000"/>
          </a:schemeClr>
        </a:gs>
        <a:gs pos="12000">
          <a:schemeClr val="tx1">
            <a:lumMod val="85000"/>
            <a:lumOff val="15000"/>
          </a:schemeClr>
        </a:gs>
        <a:gs pos="100000">
          <a:schemeClr val="tx1">
            <a:lumMod val="95000"/>
            <a:lumOff val="5000"/>
          </a:schemeClr>
        </a:gs>
      </a:gsLst>
      <a:path path="circle">
        <a:fillToRect l="50000" t="50000" r="50000" b="50000"/>
      </a:path>
      <a:tileRect/>
    </a:gra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955E-4D1E-8D2D-CF564F8082D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955E-4D1E-8D2D-CF564F8082DC}"/>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955E-4D1E-8D2D-CF564F8082DC}"/>
              </c:ext>
            </c:extLst>
          </c:dPt>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2"/>
                    </a:solidFill>
                    <a:latin typeface="+mn-lt"/>
                    <a:ea typeface="+mn-ea"/>
                    <a:cs typeface="+mn-cs"/>
                  </a:defRPr>
                </a:pPr>
                <a:endParaRPr lang="es-PE"/>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STATS!$K$17:$K$19</c:f>
              <c:strCache>
                <c:ptCount val="3"/>
                <c:pt idx="0">
                  <c:v>Almacen</c:v>
                </c:pt>
                <c:pt idx="1">
                  <c:v>Control de Calidad</c:v>
                </c:pt>
                <c:pt idx="2">
                  <c:v>Logística</c:v>
                </c:pt>
              </c:strCache>
            </c:strRef>
          </c:cat>
          <c:val>
            <c:numRef>
              <c:f>STATS!$L$17:$L$19</c:f>
              <c:numCache>
                <c:formatCode>General</c:formatCode>
                <c:ptCount val="3"/>
                <c:pt idx="0">
                  <c:v>6</c:v>
                </c:pt>
                <c:pt idx="1">
                  <c:v>5</c:v>
                </c:pt>
                <c:pt idx="2">
                  <c:v>4</c:v>
                </c:pt>
              </c:numCache>
            </c:numRef>
          </c:val>
          <c:extLst>
            <c:ext xmlns:c16="http://schemas.microsoft.com/office/drawing/2014/chart" uri="{C3380CC4-5D6E-409C-BE32-E72D297353CC}">
              <c16:uniqueId val="{00000006-955E-4D1E-8D2D-CF564F8082DC}"/>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PE"/>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STATS!$F$21:$F$22</c:f>
              <c:strCache>
                <c:ptCount val="1"/>
                <c:pt idx="0">
                  <c:v>Sin datos</c:v>
                </c:pt>
              </c:strCache>
            </c:strRef>
          </c:cat>
          <c:val>
            <c:numRef>
              <c:f>STATS!$G$21:$G$22</c:f>
              <c:numCache>
                <c:formatCode>General</c:formatCode>
                <c:ptCount val="2"/>
              </c:numCache>
            </c:numRef>
          </c:val>
          <c:extLst>
            <c:ext xmlns:c16="http://schemas.microsoft.com/office/drawing/2014/chart" uri="{C3380CC4-5D6E-409C-BE32-E72D297353CC}">
              <c16:uniqueId val="{00000000-BBD6-4962-9A58-987C2684F316}"/>
            </c:ext>
          </c:extLst>
        </c:ser>
        <c:dLbls>
          <c:showLegendKey val="0"/>
          <c:showVal val="1"/>
          <c:showCatName val="0"/>
          <c:showSerName val="0"/>
          <c:showPercent val="0"/>
          <c:showBubbleSize val="0"/>
        </c:dLbls>
        <c:gapWidth val="84"/>
        <c:gapDepth val="53"/>
        <c:shape val="box"/>
        <c:axId val="4610975"/>
        <c:axId val="4609535"/>
        <c:axId val="0"/>
      </c:bar3DChart>
      <c:catAx>
        <c:axId val="4610975"/>
        <c:scaling>
          <c:orientation val="minMax"/>
        </c:scaling>
        <c:delete val="0"/>
        <c:axPos val="l"/>
        <c:majorGridlines>
          <c:spPr>
            <a:ln w="9525">
              <a:solidFill>
                <a:schemeClr val="lt1">
                  <a:lumMod val="50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PE"/>
          </a:p>
        </c:txPr>
        <c:crossAx val="4609535"/>
        <c:crosses val="autoZero"/>
        <c:auto val="1"/>
        <c:lblAlgn val="ctr"/>
        <c:lblOffset val="100"/>
        <c:noMultiLvlLbl val="0"/>
      </c:catAx>
      <c:valAx>
        <c:axId val="4609535"/>
        <c:scaling>
          <c:orientation val="minMax"/>
        </c:scaling>
        <c:delete val="1"/>
        <c:axPos val="b"/>
        <c:majorGridlines>
          <c:spPr>
            <a:ln w="9525">
              <a:solidFill>
                <a:schemeClr val="lt1">
                  <a:lumMod val="50000"/>
                </a:schemeClr>
              </a:solidFill>
            </a:ln>
            <a:effectLst/>
          </c:spPr>
        </c:majorGridlines>
        <c:numFmt formatCode="General" sourceLinked="1"/>
        <c:majorTickMark val="out"/>
        <c:minorTickMark val="none"/>
        <c:tickLblPos val="nextTo"/>
        <c:crossAx val="4610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P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1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chart" Target="../charts/chart1.xml"/><Relationship Id="rId18" Type="http://schemas.openxmlformats.org/officeDocument/2006/relationships/image" Target="../media/image21.sv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svg"/><Relationship Id="rId17" Type="http://schemas.openxmlformats.org/officeDocument/2006/relationships/image" Target="../media/image20.png"/><Relationship Id="rId2" Type="http://schemas.openxmlformats.org/officeDocument/2006/relationships/image" Target="../media/image4.svg"/><Relationship Id="rId16" Type="http://schemas.openxmlformats.org/officeDocument/2006/relationships/chart" Target="../charts/chart4.xml"/><Relationship Id="rId20" Type="http://schemas.openxmlformats.org/officeDocument/2006/relationships/chart" Target="../charts/chart6.xml"/><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chart" Target="../charts/chart3.xml"/><Relationship Id="rId10" Type="http://schemas.openxmlformats.org/officeDocument/2006/relationships/image" Target="../media/image12.svg"/><Relationship Id="rId19" Type="http://schemas.openxmlformats.org/officeDocument/2006/relationships/chart" Target="../charts/chart5.xml"/><Relationship Id="rId4" Type="http://schemas.openxmlformats.org/officeDocument/2006/relationships/image" Target="../media/image6.svg"/><Relationship Id="rId9" Type="http://schemas.openxmlformats.org/officeDocument/2006/relationships/image" Target="../media/image11.png"/><Relationship Id="rId1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svg"/><Relationship Id="rId1" Type="http://schemas.openxmlformats.org/officeDocument/2006/relationships/image" Target="../media/image15.png"/><Relationship Id="rId4" Type="http://schemas.openxmlformats.org/officeDocument/2006/relationships/image" Target="../media/image18.svg"/></Relationships>
</file>

<file path=xl/drawings/_rels/drawing4.xml.rels><?xml version="1.0" encoding="UTF-8" standalone="yes"?>
<Relationships xmlns="http://schemas.openxmlformats.org/package/2006/relationships"><Relationship Id="rId8" Type="http://schemas.openxmlformats.org/officeDocument/2006/relationships/image" Target="../media/image29.svg"/><Relationship Id="rId13" Type="http://schemas.openxmlformats.org/officeDocument/2006/relationships/image" Target="../media/image34.png"/><Relationship Id="rId18" Type="http://schemas.openxmlformats.org/officeDocument/2006/relationships/chart" Target="../charts/chart10.xml"/><Relationship Id="rId3" Type="http://schemas.openxmlformats.org/officeDocument/2006/relationships/image" Target="../media/image24.png"/><Relationship Id="rId21" Type="http://schemas.openxmlformats.org/officeDocument/2006/relationships/chart" Target="../charts/chart13.xml"/><Relationship Id="rId7" Type="http://schemas.openxmlformats.org/officeDocument/2006/relationships/image" Target="../media/image28.png"/><Relationship Id="rId12" Type="http://schemas.openxmlformats.org/officeDocument/2006/relationships/image" Target="../media/image33.svg"/><Relationship Id="rId17" Type="http://schemas.openxmlformats.org/officeDocument/2006/relationships/chart" Target="../charts/chart9.xml"/><Relationship Id="rId2" Type="http://schemas.openxmlformats.org/officeDocument/2006/relationships/image" Target="../media/image23.svg"/><Relationship Id="rId16" Type="http://schemas.openxmlformats.org/officeDocument/2006/relationships/chart" Target="../charts/chart8.xml"/><Relationship Id="rId20" Type="http://schemas.openxmlformats.org/officeDocument/2006/relationships/chart" Target="../charts/chart12.xml"/><Relationship Id="rId1" Type="http://schemas.openxmlformats.org/officeDocument/2006/relationships/image" Target="../media/image22.png"/><Relationship Id="rId6" Type="http://schemas.openxmlformats.org/officeDocument/2006/relationships/image" Target="../media/image27.svg"/><Relationship Id="rId11" Type="http://schemas.openxmlformats.org/officeDocument/2006/relationships/image" Target="../media/image32.png"/><Relationship Id="rId5" Type="http://schemas.openxmlformats.org/officeDocument/2006/relationships/image" Target="../media/image26.png"/><Relationship Id="rId15" Type="http://schemas.openxmlformats.org/officeDocument/2006/relationships/chart" Target="../charts/chart7.xml"/><Relationship Id="rId10" Type="http://schemas.openxmlformats.org/officeDocument/2006/relationships/image" Target="../media/image31.svg"/><Relationship Id="rId19" Type="http://schemas.openxmlformats.org/officeDocument/2006/relationships/chart" Target="../charts/chart11.xml"/><Relationship Id="rId4" Type="http://schemas.openxmlformats.org/officeDocument/2006/relationships/image" Target="../media/image25.svg"/><Relationship Id="rId9" Type="http://schemas.openxmlformats.org/officeDocument/2006/relationships/image" Target="../media/image30.png"/><Relationship Id="rId14" Type="http://schemas.openxmlformats.org/officeDocument/2006/relationships/image" Target="../media/image35.svg"/></Relationships>
</file>

<file path=xl/drawings/drawing1.xml><?xml version="1.0" encoding="utf-8"?>
<xdr:wsDr xmlns:xdr="http://schemas.openxmlformats.org/drawingml/2006/spreadsheetDrawing" xmlns:a="http://schemas.openxmlformats.org/drawingml/2006/main">
  <xdr:twoCellAnchor editAs="oneCell">
    <xdr:from>
      <xdr:col>16</xdr:col>
      <xdr:colOff>786153</xdr:colOff>
      <xdr:row>0</xdr:row>
      <xdr:rowOff>0</xdr:rowOff>
    </xdr:from>
    <xdr:to>
      <xdr:col>17</xdr:col>
      <xdr:colOff>358571</xdr:colOff>
      <xdr:row>0</xdr:row>
      <xdr:rowOff>480060</xdr:rowOff>
    </xdr:to>
    <xdr:pic macro="[0]!EnviarDatosEMO">
      <xdr:nvPicPr>
        <xdr:cNvPr id="3" name="Gráfico 2" descr="Libreta de direcciones con relleno sólido">
          <a:extLst>
            <a:ext uri="{FF2B5EF4-FFF2-40B4-BE49-F238E27FC236}">
              <a16:creationId xmlns:a16="http://schemas.microsoft.com/office/drawing/2014/main" id="{3AEE6BB9-9B95-B74E-C603-1BE4752053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6412213" y="0"/>
          <a:ext cx="433478" cy="480060"/>
        </a:xfrm>
        <a:prstGeom prst="rect">
          <a:avLst/>
        </a:prstGeom>
      </xdr:spPr>
    </xdr:pic>
    <xdr:clientData/>
  </xdr:twoCellAnchor>
  <xdr:twoCellAnchor editAs="oneCell">
    <xdr:from>
      <xdr:col>21</xdr:col>
      <xdr:colOff>1684020</xdr:colOff>
      <xdr:row>0</xdr:row>
      <xdr:rowOff>4745</xdr:rowOff>
    </xdr:from>
    <xdr:to>
      <xdr:col>22</xdr:col>
      <xdr:colOff>396240</xdr:colOff>
      <xdr:row>0</xdr:row>
      <xdr:rowOff>484805</xdr:rowOff>
    </xdr:to>
    <xdr:pic macro="[0]!EnviarDatosVMO">
      <xdr:nvPicPr>
        <xdr:cNvPr id="17" name="Gráfico 16" descr="Libreta de direcciones con relleno sólido">
          <a:extLst>
            <a:ext uri="{FF2B5EF4-FFF2-40B4-BE49-F238E27FC236}">
              <a16:creationId xmlns:a16="http://schemas.microsoft.com/office/drawing/2014/main" id="{0FA3D98B-9025-4B46-9365-4AEF110D0E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4845945" y="4745"/>
          <a:ext cx="480635" cy="480060"/>
        </a:xfrm>
        <a:prstGeom prst="rect">
          <a:avLst/>
        </a:prstGeom>
      </xdr:spPr>
    </xdr:pic>
    <xdr:clientData/>
  </xdr:twoCellAnchor>
  <xdr:oneCellAnchor>
    <xdr:from>
      <xdr:col>30</xdr:col>
      <xdr:colOff>997644</xdr:colOff>
      <xdr:row>0</xdr:row>
      <xdr:rowOff>4745</xdr:rowOff>
    </xdr:from>
    <xdr:ext cx="480451" cy="480060"/>
    <xdr:pic macro="[0]!EnviarDatosCapacitaciones">
      <xdr:nvPicPr>
        <xdr:cNvPr id="2" name="Gráfico 1" descr="Libreta de direcciones con relleno sólido">
          <a:extLst>
            <a:ext uri="{FF2B5EF4-FFF2-40B4-BE49-F238E27FC236}">
              <a16:creationId xmlns:a16="http://schemas.microsoft.com/office/drawing/2014/main" id="{85113923-BC55-4E21-9467-E1C78EA046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2777678" y="4745"/>
          <a:ext cx="480451" cy="48006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0</xdr:col>
      <xdr:colOff>41563</xdr:colOff>
      <xdr:row>0</xdr:row>
      <xdr:rowOff>41563</xdr:rowOff>
    </xdr:from>
    <xdr:to>
      <xdr:col>3</xdr:col>
      <xdr:colOff>1009650</xdr:colOff>
      <xdr:row>78</xdr:row>
      <xdr:rowOff>0</xdr:rowOff>
    </xdr:to>
    <xdr:sp macro="" textlink="">
      <xdr:nvSpPr>
        <xdr:cNvPr id="3" name="Rectángulo: esquinas redondeadas 2">
          <a:extLst>
            <a:ext uri="{FF2B5EF4-FFF2-40B4-BE49-F238E27FC236}">
              <a16:creationId xmlns:a16="http://schemas.microsoft.com/office/drawing/2014/main" id="{D7887457-EC81-C17B-7EF5-0340400F4112}"/>
            </a:ext>
          </a:extLst>
        </xdr:cNvPr>
        <xdr:cNvSpPr/>
      </xdr:nvSpPr>
      <xdr:spPr>
        <a:xfrm>
          <a:off x="41563" y="41563"/>
          <a:ext cx="4225637" cy="14817437"/>
        </a:xfrm>
        <a:prstGeom prst="roundRect">
          <a:avLst/>
        </a:prstGeom>
        <a:gradFill flip="none" rotWithShape="1">
          <a:gsLst>
            <a:gs pos="0">
              <a:schemeClr val="accent1">
                <a:shade val="30000"/>
                <a:satMod val="115000"/>
              </a:schemeClr>
            </a:gs>
            <a:gs pos="69000">
              <a:schemeClr val="accent1">
                <a:lumMod val="60000"/>
                <a:lumOff val="40000"/>
              </a:schemeClr>
            </a:gs>
            <a:gs pos="100000">
              <a:schemeClr val="accent1">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4</xdr:col>
      <xdr:colOff>133350</xdr:colOff>
      <xdr:row>0</xdr:row>
      <xdr:rowOff>181315</xdr:rowOff>
    </xdr:from>
    <xdr:to>
      <xdr:col>36</xdr:col>
      <xdr:colOff>704849</xdr:colOff>
      <xdr:row>77</xdr:row>
      <xdr:rowOff>152400</xdr:rowOff>
    </xdr:to>
    <xdr:sp macro="" textlink="">
      <xdr:nvSpPr>
        <xdr:cNvPr id="4" name="Rectángulo: esquinas redondeadas 3">
          <a:extLst>
            <a:ext uri="{FF2B5EF4-FFF2-40B4-BE49-F238E27FC236}">
              <a16:creationId xmlns:a16="http://schemas.microsoft.com/office/drawing/2014/main" id="{7A2C1B68-4409-4D62-B857-885F8BE57820}"/>
            </a:ext>
          </a:extLst>
        </xdr:cNvPr>
        <xdr:cNvSpPr/>
      </xdr:nvSpPr>
      <xdr:spPr>
        <a:xfrm>
          <a:off x="4476750" y="181315"/>
          <a:ext cx="34632899" cy="14639585"/>
        </a:xfrm>
        <a:prstGeom prst="roundRect">
          <a:avLst>
            <a:gd name="adj" fmla="val 2187"/>
          </a:avLst>
        </a:prstGeom>
        <a:gradFill flip="none" rotWithShape="1">
          <a:gsLst>
            <a:gs pos="0">
              <a:schemeClr val="accent1">
                <a:lumMod val="75000"/>
              </a:schemeClr>
            </a:gs>
            <a:gs pos="85000">
              <a:srgbClr val="779ECE"/>
            </a:gs>
            <a:gs pos="5000">
              <a:srgbClr val="4971A3"/>
            </a:gs>
            <a:gs pos="41000">
              <a:srgbClr val="5B83B4"/>
            </a:gs>
            <a:gs pos="100000">
              <a:schemeClr val="tx2">
                <a:lumMod val="40000"/>
                <a:lumOff val="60000"/>
              </a:schemeClr>
            </a:gs>
            <a:gs pos="100000">
              <a:schemeClr val="accent1">
                <a:lumMod val="60000"/>
                <a:lumOff val="40000"/>
              </a:scheme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0</xdr:col>
      <xdr:colOff>110837</xdr:colOff>
      <xdr:row>35</xdr:row>
      <xdr:rowOff>76200</xdr:rowOff>
    </xdr:from>
    <xdr:to>
      <xdr:col>3</xdr:col>
      <xdr:colOff>941312</xdr:colOff>
      <xdr:row>70</xdr:row>
      <xdr:rowOff>104700</xdr:rowOff>
    </xdr:to>
    <mc:AlternateContent xmlns:mc="http://schemas.openxmlformats.org/markup-compatibility/2006" xmlns:a14="http://schemas.microsoft.com/office/drawing/2010/main">
      <mc:Choice Requires="a14">
        <xdr:graphicFrame macro="">
          <xdr:nvGraphicFramePr>
            <xdr:cNvPr id="7" name="MES 1">
              <a:extLst>
                <a:ext uri="{FF2B5EF4-FFF2-40B4-BE49-F238E27FC236}">
                  <a16:creationId xmlns:a16="http://schemas.microsoft.com/office/drawing/2014/main" id="{9EFA6665-982D-4AE2-87B7-A109D2CFC0A9}"/>
                </a:ext>
              </a:extLst>
            </xdr:cNvPr>
            <xdr:cNvGraphicFramePr/>
          </xdr:nvGraphicFramePr>
          <xdr:xfrm>
            <a:off x="0" y="0"/>
            <a:ext cx="0" cy="0"/>
          </xdr:xfrm>
          <a:graphic>
            <a:graphicData uri="http://schemas.microsoft.com/office/drawing/2010/slicer">
              <sle:slicer xmlns:sle="http://schemas.microsoft.com/office/drawing/2010/slicer" name="MES 1"/>
            </a:graphicData>
          </a:graphic>
        </xdr:graphicFrame>
      </mc:Choice>
      <mc:Fallback xmlns="">
        <xdr:sp macro="" textlink="">
          <xdr:nvSpPr>
            <xdr:cNvPr id="0" name=""/>
            <xdr:cNvSpPr>
              <a:spLocks noTextEdit="1"/>
            </xdr:cNvSpPr>
          </xdr:nvSpPr>
          <xdr:spPr>
            <a:xfrm>
              <a:off x="110837" y="6743700"/>
              <a:ext cx="4088025" cy="66960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110837</xdr:colOff>
      <xdr:row>13</xdr:row>
      <xdr:rowOff>64942</xdr:rowOff>
    </xdr:from>
    <xdr:to>
      <xdr:col>3</xdr:col>
      <xdr:colOff>941313</xdr:colOff>
      <xdr:row>34</xdr:row>
      <xdr:rowOff>132442</xdr:rowOff>
    </xdr:to>
    <mc:AlternateContent xmlns:mc="http://schemas.openxmlformats.org/markup-compatibility/2006" xmlns:a14="http://schemas.microsoft.com/office/drawing/2010/main">
      <mc:Choice Requires="a14">
        <xdr:graphicFrame macro="">
          <xdr:nvGraphicFramePr>
            <xdr:cNvPr id="8" name="OBRA 2">
              <a:extLst>
                <a:ext uri="{FF2B5EF4-FFF2-40B4-BE49-F238E27FC236}">
                  <a16:creationId xmlns:a16="http://schemas.microsoft.com/office/drawing/2014/main" id="{A1CA0403-6697-4C28-A52B-56CD331E54B4}"/>
                </a:ext>
              </a:extLst>
            </xdr:cNvPr>
            <xdr:cNvGraphicFramePr/>
          </xdr:nvGraphicFramePr>
          <xdr:xfrm>
            <a:off x="0" y="0"/>
            <a:ext cx="0" cy="0"/>
          </xdr:xfrm>
          <a:graphic>
            <a:graphicData uri="http://schemas.microsoft.com/office/drawing/2010/slicer">
              <sle:slicer xmlns:sle="http://schemas.microsoft.com/office/drawing/2010/slicer" name="OBRA 2"/>
            </a:graphicData>
          </a:graphic>
        </xdr:graphicFrame>
      </mc:Choice>
      <mc:Fallback xmlns="">
        <xdr:sp macro="" textlink="">
          <xdr:nvSpPr>
            <xdr:cNvPr id="0" name=""/>
            <xdr:cNvSpPr>
              <a:spLocks noTextEdit="1"/>
            </xdr:cNvSpPr>
          </xdr:nvSpPr>
          <xdr:spPr>
            <a:xfrm>
              <a:off x="110837" y="2541442"/>
              <a:ext cx="4088026" cy="40680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526473</xdr:colOff>
      <xdr:row>1</xdr:row>
      <xdr:rowOff>83128</xdr:rowOff>
    </xdr:from>
    <xdr:to>
      <xdr:col>8</xdr:col>
      <xdr:colOff>517398</xdr:colOff>
      <xdr:row>13</xdr:row>
      <xdr:rowOff>0</xdr:rowOff>
    </xdr:to>
    <xdr:grpSp>
      <xdr:nvGrpSpPr>
        <xdr:cNvPr id="21" name="Grupo 20">
          <a:extLst>
            <a:ext uri="{FF2B5EF4-FFF2-40B4-BE49-F238E27FC236}">
              <a16:creationId xmlns:a16="http://schemas.microsoft.com/office/drawing/2014/main" id="{5D4B7A22-98AD-3DED-0F74-49716B692799}"/>
            </a:ext>
          </a:extLst>
        </xdr:cNvPr>
        <xdr:cNvGrpSpPr/>
      </xdr:nvGrpSpPr>
      <xdr:grpSpPr>
        <a:xfrm>
          <a:off x="4857841" y="263602"/>
          <a:ext cx="4322294" cy="2082556"/>
          <a:chOff x="3685309" y="263237"/>
          <a:chExt cx="4308766" cy="2078181"/>
        </a:xfrm>
      </xdr:grpSpPr>
      <xdr:sp macro="" textlink="">
        <xdr:nvSpPr>
          <xdr:cNvPr id="10" name="Rectángulo: esquinas redondeadas 9">
            <a:extLst>
              <a:ext uri="{FF2B5EF4-FFF2-40B4-BE49-F238E27FC236}">
                <a16:creationId xmlns:a16="http://schemas.microsoft.com/office/drawing/2014/main" id="{A844506E-84F0-09C6-0D45-5975AFEB6523}"/>
              </a:ext>
            </a:extLst>
          </xdr:cNvPr>
          <xdr:cNvSpPr/>
        </xdr:nvSpPr>
        <xdr:spPr>
          <a:xfrm>
            <a:off x="3685309" y="263237"/>
            <a:ext cx="4211782" cy="2078181"/>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1" name="CuadroTexto 10">
            <a:extLst>
              <a:ext uri="{FF2B5EF4-FFF2-40B4-BE49-F238E27FC236}">
                <a16:creationId xmlns:a16="http://schemas.microsoft.com/office/drawing/2014/main" id="{91BF3369-ACED-79CA-39B4-F90CB185E77F}"/>
              </a:ext>
            </a:extLst>
          </xdr:cNvPr>
          <xdr:cNvSpPr txBox="1"/>
        </xdr:nvSpPr>
        <xdr:spPr>
          <a:xfrm>
            <a:off x="3685309" y="512618"/>
            <a:ext cx="3422073" cy="540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400">
                <a:latin typeface="Algerian" panose="04020705040A02060702" pitchFamily="82" charset="0"/>
              </a:rPr>
              <a:t>TOTAL INCIDENTES</a:t>
            </a:r>
          </a:p>
        </xdr:txBody>
      </xdr:sp>
      <xdr:pic>
        <xdr:nvPicPr>
          <xdr:cNvPr id="13" name="Gráfico 12" descr="Cabestrillo con relleno sólido">
            <a:extLst>
              <a:ext uri="{FF2B5EF4-FFF2-40B4-BE49-F238E27FC236}">
                <a16:creationId xmlns:a16="http://schemas.microsoft.com/office/drawing/2014/main" id="{129E40F7-55D7-DDB5-6947-44EB4D3212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17673" y="512618"/>
            <a:ext cx="1676402" cy="1676402"/>
          </a:xfrm>
          <a:prstGeom prst="rect">
            <a:avLst/>
          </a:prstGeom>
        </xdr:spPr>
      </xdr:pic>
      <xdr:sp macro="" textlink="STATS!I9">
        <xdr:nvSpPr>
          <xdr:cNvPr id="14" name="CuadroTexto 13">
            <a:extLst>
              <a:ext uri="{FF2B5EF4-FFF2-40B4-BE49-F238E27FC236}">
                <a16:creationId xmlns:a16="http://schemas.microsoft.com/office/drawing/2014/main" id="{59C69001-F387-A722-D6B4-6B2C4A0263CA}"/>
              </a:ext>
            </a:extLst>
          </xdr:cNvPr>
          <xdr:cNvSpPr txBox="1"/>
        </xdr:nvSpPr>
        <xdr:spPr>
          <a:xfrm>
            <a:off x="5001492" y="1153091"/>
            <a:ext cx="789709" cy="64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B2433A8B-6328-41C6-9EFF-32F3BB3DD516}"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grpSp>
    <xdr:clientData/>
  </xdr:twoCellAnchor>
  <xdr:twoCellAnchor editAs="oneCell">
    <xdr:from>
      <xdr:col>8</xdr:col>
      <xdr:colOff>636695</xdr:colOff>
      <xdr:row>1</xdr:row>
      <xdr:rowOff>83128</xdr:rowOff>
    </xdr:from>
    <xdr:to>
      <xdr:col>12</xdr:col>
      <xdr:colOff>419563</xdr:colOff>
      <xdr:row>13</xdr:row>
      <xdr:rowOff>0</xdr:rowOff>
    </xdr:to>
    <xdr:grpSp>
      <xdr:nvGrpSpPr>
        <xdr:cNvPr id="31" name="Grupo 30">
          <a:extLst>
            <a:ext uri="{FF2B5EF4-FFF2-40B4-BE49-F238E27FC236}">
              <a16:creationId xmlns:a16="http://schemas.microsoft.com/office/drawing/2014/main" id="{682F0529-6956-1ECA-39AD-8140F9AA8ADC}"/>
            </a:ext>
          </a:extLst>
        </xdr:cNvPr>
        <xdr:cNvGrpSpPr/>
      </xdr:nvGrpSpPr>
      <xdr:grpSpPr>
        <a:xfrm>
          <a:off x="9299432" y="263602"/>
          <a:ext cx="4114236" cy="2082556"/>
          <a:chOff x="8285016" y="304800"/>
          <a:chExt cx="4350329" cy="2078181"/>
        </a:xfrm>
      </xdr:grpSpPr>
      <xdr:sp macro="" textlink="">
        <xdr:nvSpPr>
          <xdr:cNvPr id="23" name="Rectángulo: esquinas redondeadas 22">
            <a:extLst>
              <a:ext uri="{FF2B5EF4-FFF2-40B4-BE49-F238E27FC236}">
                <a16:creationId xmlns:a16="http://schemas.microsoft.com/office/drawing/2014/main" id="{5B2F9932-4567-A5FC-90C7-42402E9C0593}"/>
              </a:ext>
            </a:extLst>
          </xdr:cNvPr>
          <xdr:cNvSpPr/>
        </xdr:nvSpPr>
        <xdr:spPr>
          <a:xfrm>
            <a:off x="8285016" y="304800"/>
            <a:ext cx="4211782" cy="2078181"/>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4" name="CuadroTexto 23">
            <a:extLst>
              <a:ext uri="{FF2B5EF4-FFF2-40B4-BE49-F238E27FC236}">
                <a16:creationId xmlns:a16="http://schemas.microsoft.com/office/drawing/2014/main" id="{F6DA2568-2EB7-7B70-C690-39AF647A05B8}"/>
              </a:ext>
            </a:extLst>
          </xdr:cNvPr>
          <xdr:cNvSpPr txBox="1"/>
        </xdr:nvSpPr>
        <xdr:spPr>
          <a:xfrm>
            <a:off x="8285016" y="554181"/>
            <a:ext cx="3532912" cy="6404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a:latin typeface="Algerian" panose="04020705040A02060702" pitchFamily="82" charset="0"/>
              </a:rPr>
              <a:t>ACCIDENTES</a:t>
            </a:r>
            <a:r>
              <a:rPr lang="es-PE" sz="1600" baseline="0">
                <a:latin typeface="Algerian" panose="04020705040A02060702" pitchFamily="82" charset="0"/>
              </a:rPr>
              <a:t> QUE REQUIRIERON CIRUGIA</a:t>
            </a:r>
            <a:endParaRPr lang="es-PE" sz="1600">
              <a:latin typeface="Algerian" panose="04020705040A02060702" pitchFamily="82" charset="0"/>
            </a:endParaRPr>
          </a:p>
        </xdr:txBody>
      </xdr:sp>
      <xdr:sp macro="" textlink="STATS!I11">
        <xdr:nvSpPr>
          <xdr:cNvPr id="26" name="CuadroTexto 25">
            <a:extLst>
              <a:ext uri="{FF2B5EF4-FFF2-40B4-BE49-F238E27FC236}">
                <a16:creationId xmlns:a16="http://schemas.microsoft.com/office/drawing/2014/main" id="{160C0543-BC26-C52B-6CBE-4AE5096E321F}"/>
              </a:ext>
            </a:extLst>
          </xdr:cNvPr>
          <xdr:cNvSpPr txBox="1"/>
        </xdr:nvSpPr>
        <xdr:spPr>
          <a:xfrm>
            <a:off x="9601199" y="1260764"/>
            <a:ext cx="789709" cy="64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26D4FD59-90DF-400B-AD7D-3C861E4975B0}"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30" name="Gráfico 29" descr="Doctor con relleno sólido">
            <a:extLst>
              <a:ext uri="{FF2B5EF4-FFF2-40B4-BE49-F238E27FC236}">
                <a16:creationId xmlns:a16="http://schemas.microsoft.com/office/drawing/2014/main" id="{4A5C0126-766D-CE29-95E0-03A4E584F23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111345" y="637309"/>
            <a:ext cx="1524000" cy="1524000"/>
          </a:xfrm>
          <a:prstGeom prst="rect">
            <a:avLst/>
          </a:prstGeom>
        </xdr:spPr>
      </xdr:pic>
    </xdr:grpSp>
    <xdr:clientData/>
  </xdr:twoCellAnchor>
  <xdr:twoCellAnchor editAs="oneCell">
    <xdr:from>
      <xdr:col>29</xdr:col>
      <xdr:colOff>305655</xdr:colOff>
      <xdr:row>1</xdr:row>
      <xdr:rowOff>95807</xdr:rowOff>
    </xdr:from>
    <xdr:to>
      <xdr:col>33</xdr:col>
      <xdr:colOff>39850</xdr:colOff>
      <xdr:row>13</xdr:row>
      <xdr:rowOff>12679</xdr:rowOff>
    </xdr:to>
    <xdr:grpSp>
      <xdr:nvGrpSpPr>
        <xdr:cNvPr id="56" name="Grupo 55">
          <a:extLst>
            <a:ext uri="{FF2B5EF4-FFF2-40B4-BE49-F238E27FC236}">
              <a16:creationId xmlns:a16="http://schemas.microsoft.com/office/drawing/2014/main" id="{E5722134-A465-5D08-B2CF-48FAFE1BF71D}"/>
            </a:ext>
          </a:extLst>
        </xdr:cNvPr>
        <xdr:cNvGrpSpPr/>
      </xdr:nvGrpSpPr>
      <xdr:grpSpPr>
        <a:xfrm>
          <a:off x="31708076" y="276281"/>
          <a:ext cx="4185879" cy="2082556"/>
          <a:chOff x="25939335" y="286307"/>
          <a:chExt cx="4237615" cy="2202872"/>
        </a:xfrm>
      </xdr:grpSpPr>
      <xdr:sp macro="" textlink="">
        <xdr:nvSpPr>
          <xdr:cNvPr id="52" name="Rectángulo: esquinas redondeadas 51">
            <a:extLst>
              <a:ext uri="{FF2B5EF4-FFF2-40B4-BE49-F238E27FC236}">
                <a16:creationId xmlns:a16="http://schemas.microsoft.com/office/drawing/2014/main" id="{1FC32E3E-93C1-EFBD-3BC7-DDB48C557C47}"/>
              </a:ext>
            </a:extLst>
          </xdr:cNvPr>
          <xdr:cNvSpPr/>
        </xdr:nvSpPr>
        <xdr:spPr>
          <a:xfrm>
            <a:off x="25939335" y="286307"/>
            <a:ext cx="4237615"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3" name="CuadroTexto 52">
            <a:extLst>
              <a:ext uri="{FF2B5EF4-FFF2-40B4-BE49-F238E27FC236}">
                <a16:creationId xmlns:a16="http://schemas.microsoft.com/office/drawing/2014/main" id="{F0591A1A-8B2D-D1ED-07DD-1EC9B3519D11}"/>
              </a:ext>
            </a:extLst>
          </xdr:cNvPr>
          <xdr:cNvSpPr txBox="1"/>
        </xdr:nvSpPr>
        <xdr:spPr>
          <a:xfrm>
            <a:off x="25939335" y="550651"/>
            <a:ext cx="3554581"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DÍAS SIN ACCIDENTES</a:t>
            </a:r>
          </a:p>
        </xdr:txBody>
      </xdr:sp>
      <xdr:sp macro="" textlink="STATS!J11">
        <xdr:nvSpPr>
          <xdr:cNvPr id="54" name="CuadroTexto 53">
            <a:extLst>
              <a:ext uri="{FF2B5EF4-FFF2-40B4-BE49-F238E27FC236}">
                <a16:creationId xmlns:a16="http://schemas.microsoft.com/office/drawing/2014/main" id="{91E44611-87B3-D1B0-B56B-AD1F5F8CEBAB}"/>
              </a:ext>
            </a:extLst>
          </xdr:cNvPr>
          <xdr:cNvSpPr txBox="1"/>
        </xdr:nvSpPr>
        <xdr:spPr>
          <a:xfrm>
            <a:off x="27170082" y="1093091"/>
            <a:ext cx="1018837" cy="954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FDE03F1C-9A92-410F-84B9-00099346C212}" type="TxLink">
              <a:rPr lang="en-US" sz="6000" b="0" i="0" u="none" strike="noStrike">
                <a:solidFill>
                  <a:srgbClr val="000000"/>
                </a:solidFill>
                <a:latin typeface="Algerian" panose="04020705040A02060702" pitchFamily="82" charset="0"/>
                <a:ea typeface="Calibri"/>
                <a:cs typeface="Calibri"/>
              </a:rPr>
              <a:pPr algn="ctr"/>
              <a:t>2</a:t>
            </a:fld>
            <a:endParaRPr lang="es-PE" sz="6000">
              <a:latin typeface="Algerian" panose="04020705040A02060702" pitchFamily="82" charset="0"/>
            </a:endParaRPr>
          </a:p>
        </xdr:txBody>
      </xdr:sp>
      <xdr:pic>
        <xdr:nvPicPr>
          <xdr:cNvPr id="55" name="Gráfico 54" descr="Cuidado con relleno sólido">
            <a:extLst>
              <a:ext uri="{FF2B5EF4-FFF2-40B4-BE49-F238E27FC236}">
                <a16:creationId xmlns:a16="http://schemas.microsoft.com/office/drawing/2014/main" id="{433C6DFD-2EE6-5EC8-625D-C155797DD32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904142" y="895470"/>
            <a:ext cx="1185785" cy="1219879"/>
          </a:xfrm>
          <a:prstGeom prst="rect">
            <a:avLst/>
          </a:prstGeom>
        </xdr:spPr>
      </xdr:pic>
    </xdr:grpSp>
    <xdr:clientData/>
  </xdr:twoCellAnchor>
  <xdr:twoCellAnchor editAs="oneCell">
    <xdr:from>
      <xdr:col>12</xdr:col>
      <xdr:colOff>538861</xdr:colOff>
      <xdr:row>1</xdr:row>
      <xdr:rowOff>95807</xdr:rowOff>
    </xdr:from>
    <xdr:to>
      <xdr:col>16</xdr:col>
      <xdr:colOff>433076</xdr:colOff>
      <xdr:row>13</xdr:row>
      <xdr:rowOff>12679</xdr:rowOff>
    </xdr:to>
    <xdr:grpSp>
      <xdr:nvGrpSpPr>
        <xdr:cNvPr id="64" name="Grupo 63">
          <a:extLst>
            <a:ext uri="{FF2B5EF4-FFF2-40B4-BE49-F238E27FC236}">
              <a16:creationId xmlns:a16="http://schemas.microsoft.com/office/drawing/2014/main" id="{9C4ED986-C488-C429-F311-4A148585FCDE}"/>
            </a:ext>
          </a:extLst>
        </xdr:cNvPr>
        <xdr:cNvGrpSpPr/>
      </xdr:nvGrpSpPr>
      <xdr:grpSpPr>
        <a:xfrm>
          <a:off x="13532966" y="276281"/>
          <a:ext cx="4225584" cy="2082556"/>
          <a:chOff x="12426061" y="286307"/>
          <a:chExt cx="4237615" cy="2202872"/>
        </a:xfrm>
      </xdr:grpSpPr>
      <xdr:sp macro="" textlink="">
        <xdr:nvSpPr>
          <xdr:cNvPr id="41" name="Rectángulo: esquinas redondeadas 40">
            <a:extLst>
              <a:ext uri="{FF2B5EF4-FFF2-40B4-BE49-F238E27FC236}">
                <a16:creationId xmlns:a16="http://schemas.microsoft.com/office/drawing/2014/main" id="{70CAACC3-A7AF-14BF-18AE-6E0E1A71E07E}"/>
              </a:ext>
            </a:extLst>
          </xdr:cNvPr>
          <xdr:cNvSpPr/>
        </xdr:nvSpPr>
        <xdr:spPr>
          <a:xfrm>
            <a:off x="12426061" y="286307"/>
            <a:ext cx="4237615"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2" name="CuadroTexto 41">
            <a:extLst>
              <a:ext uri="{FF2B5EF4-FFF2-40B4-BE49-F238E27FC236}">
                <a16:creationId xmlns:a16="http://schemas.microsoft.com/office/drawing/2014/main" id="{415CA7C6-D4F0-2DE2-0EB8-F0A9F793ACAC}"/>
              </a:ext>
            </a:extLst>
          </xdr:cNvPr>
          <xdr:cNvSpPr txBox="1"/>
        </xdr:nvSpPr>
        <xdr:spPr>
          <a:xfrm>
            <a:off x="12426061" y="559068"/>
            <a:ext cx="3515505" cy="680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a:latin typeface="Algerian" panose="04020705040A02060702" pitchFamily="82" charset="0"/>
              </a:rPr>
              <a:t>ACCIDENTES</a:t>
            </a:r>
            <a:r>
              <a:rPr lang="es-PE" sz="1600" baseline="0">
                <a:latin typeface="Algerian" panose="04020705040A02060702" pitchFamily="82" charset="0"/>
              </a:rPr>
              <a:t> DE CARACTER LEVE</a:t>
            </a:r>
            <a:endParaRPr lang="es-PE" sz="1600">
              <a:latin typeface="Algerian" panose="04020705040A02060702" pitchFamily="82" charset="0"/>
            </a:endParaRPr>
          </a:p>
        </xdr:txBody>
      </xdr:sp>
      <xdr:sp macro="" textlink="STATS!K9">
        <xdr:nvSpPr>
          <xdr:cNvPr id="43" name="CuadroTexto 42">
            <a:extLst>
              <a:ext uri="{FF2B5EF4-FFF2-40B4-BE49-F238E27FC236}">
                <a16:creationId xmlns:a16="http://schemas.microsoft.com/office/drawing/2014/main" id="{5B27F2D5-18A2-6F2E-ED24-360AB2DB5A75}"/>
              </a:ext>
            </a:extLst>
          </xdr:cNvPr>
          <xdr:cNvSpPr txBox="1"/>
        </xdr:nvSpPr>
        <xdr:spPr>
          <a:xfrm>
            <a:off x="13748181" y="1296213"/>
            <a:ext cx="796688" cy="688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6E7FED2F-34B2-46F7-A91E-40E07D7FECCB}"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58" name="Gráfico 57" descr="vendaje adhesivo con relleno sólido">
            <a:extLst>
              <a:ext uri="{FF2B5EF4-FFF2-40B4-BE49-F238E27FC236}">
                <a16:creationId xmlns:a16="http://schemas.microsoft.com/office/drawing/2014/main" id="{62434652-9B96-7253-05B7-367A6593A15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311412" y="855972"/>
            <a:ext cx="1175008" cy="1175008"/>
          </a:xfrm>
          <a:prstGeom prst="rect">
            <a:avLst/>
          </a:prstGeom>
        </xdr:spPr>
      </xdr:pic>
    </xdr:grpSp>
    <xdr:clientData/>
  </xdr:twoCellAnchor>
  <xdr:twoCellAnchor editAs="oneCell">
    <xdr:from>
      <xdr:col>16</xdr:col>
      <xdr:colOff>642895</xdr:colOff>
      <xdr:row>1</xdr:row>
      <xdr:rowOff>95807</xdr:rowOff>
    </xdr:from>
    <xdr:to>
      <xdr:col>20</xdr:col>
      <xdr:colOff>536023</xdr:colOff>
      <xdr:row>13</xdr:row>
      <xdr:rowOff>12679</xdr:rowOff>
    </xdr:to>
    <xdr:grpSp>
      <xdr:nvGrpSpPr>
        <xdr:cNvPr id="65" name="Grupo 64">
          <a:extLst>
            <a:ext uri="{FF2B5EF4-FFF2-40B4-BE49-F238E27FC236}">
              <a16:creationId xmlns:a16="http://schemas.microsoft.com/office/drawing/2014/main" id="{B6F4D735-CFDA-798D-A65C-444BAD3B0D2A}"/>
            </a:ext>
          </a:extLst>
        </xdr:cNvPr>
        <xdr:cNvGrpSpPr/>
      </xdr:nvGrpSpPr>
      <xdr:grpSpPr>
        <a:xfrm>
          <a:off x="17968369" y="276281"/>
          <a:ext cx="4224496" cy="2082556"/>
          <a:chOff x="16873495" y="286307"/>
          <a:chExt cx="4236528" cy="2202872"/>
        </a:xfrm>
      </xdr:grpSpPr>
      <xdr:sp macro="" textlink="">
        <xdr:nvSpPr>
          <xdr:cNvPr id="46" name="Rectángulo: esquinas redondeadas 45">
            <a:extLst>
              <a:ext uri="{FF2B5EF4-FFF2-40B4-BE49-F238E27FC236}">
                <a16:creationId xmlns:a16="http://schemas.microsoft.com/office/drawing/2014/main" id="{31F9A4EC-ACAB-0913-4AD6-03A825D5F868}"/>
              </a:ext>
            </a:extLst>
          </xdr:cNvPr>
          <xdr:cNvSpPr/>
        </xdr:nvSpPr>
        <xdr:spPr>
          <a:xfrm>
            <a:off x="16873495" y="286307"/>
            <a:ext cx="4236528"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7" name="CuadroTexto 46">
            <a:extLst>
              <a:ext uri="{FF2B5EF4-FFF2-40B4-BE49-F238E27FC236}">
                <a16:creationId xmlns:a16="http://schemas.microsoft.com/office/drawing/2014/main" id="{0534B2B5-F121-7179-E1A5-D02F188674D8}"/>
              </a:ext>
            </a:extLst>
          </xdr:cNvPr>
          <xdr:cNvSpPr txBox="1"/>
        </xdr:nvSpPr>
        <xdr:spPr>
          <a:xfrm>
            <a:off x="17297400" y="608049"/>
            <a:ext cx="2842935"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a:latin typeface="Algerian" panose="04020705040A02060702" pitchFamily="82" charset="0"/>
              </a:rPr>
              <a:t>ACCIDENTES DE CARACTER GRAVE</a:t>
            </a:r>
          </a:p>
        </xdr:txBody>
      </xdr:sp>
      <xdr:sp macro="" textlink="STATS!L9">
        <xdr:nvSpPr>
          <xdr:cNvPr id="48" name="CuadroTexto 47">
            <a:extLst>
              <a:ext uri="{FF2B5EF4-FFF2-40B4-BE49-F238E27FC236}">
                <a16:creationId xmlns:a16="http://schemas.microsoft.com/office/drawing/2014/main" id="{C507DB90-F194-0B8E-132C-B1C8454F2987}"/>
              </a:ext>
            </a:extLst>
          </xdr:cNvPr>
          <xdr:cNvSpPr txBox="1"/>
        </xdr:nvSpPr>
        <xdr:spPr>
          <a:xfrm>
            <a:off x="18197411" y="1299629"/>
            <a:ext cx="794349" cy="686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C78A0459-0C2D-4221-9A3F-6BAC9FF7BED6}"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60" name="Gráfico 59" descr="Ambulancia con relleno sólido">
            <a:extLst>
              <a:ext uri="{FF2B5EF4-FFF2-40B4-BE49-F238E27FC236}">
                <a16:creationId xmlns:a16="http://schemas.microsoft.com/office/drawing/2014/main" id="{BA2B208D-5194-86EF-1B56-F8DE61FB8BB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9632172" y="968742"/>
            <a:ext cx="1272786" cy="1272786"/>
          </a:xfrm>
          <a:prstGeom prst="rect">
            <a:avLst/>
          </a:prstGeom>
        </xdr:spPr>
      </xdr:pic>
    </xdr:grpSp>
    <xdr:clientData/>
  </xdr:twoCellAnchor>
  <xdr:twoCellAnchor editAs="oneCell">
    <xdr:from>
      <xdr:col>20</xdr:col>
      <xdr:colOff>793626</xdr:colOff>
      <xdr:row>1</xdr:row>
      <xdr:rowOff>95807</xdr:rowOff>
    </xdr:from>
    <xdr:to>
      <xdr:col>24</xdr:col>
      <xdr:colOff>687842</xdr:colOff>
      <xdr:row>13</xdr:row>
      <xdr:rowOff>12679</xdr:rowOff>
    </xdr:to>
    <xdr:grpSp>
      <xdr:nvGrpSpPr>
        <xdr:cNvPr id="66" name="Grupo 65">
          <a:extLst>
            <a:ext uri="{FF2B5EF4-FFF2-40B4-BE49-F238E27FC236}">
              <a16:creationId xmlns:a16="http://schemas.microsoft.com/office/drawing/2014/main" id="{55554634-32F3-3B1C-2ACC-7912A70B11CB}"/>
            </a:ext>
          </a:extLst>
        </xdr:cNvPr>
        <xdr:cNvGrpSpPr/>
      </xdr:nvGrpSpPr>
      <xdr:grpSpPr>
        <a:xfrm>
          <a:off x="22450468" y="276281"/>
          <a:ext cx="4225585" cy="2082556"/>
          <a:chOff x="21367626" y="286307"/>
          <a:chExt cx="4237616" cy="2202872"/>
        </a:xfrm>
      </xdr:grpSpPr>
      <xdr:sp macro="" textlink="">
        <xdr:nvSpPr>
          <xdr:cNvPr id="33" name="Rectángulo: esquinas redondeadas 32">
            <a:extLst>
              <a:ext uri="{FF2B5EF4-FFF2-40B4-BE49-F238E27FC236}">
                <a16:creationId xmlns:a16="http://schemas.microsoft.com/office/drawing/2014/main" id="{679E6E2C-24D1-7C47-C498-00D428E20988}"/>
              </a:ext>
            </a:extLst>
          </xdr:cNvPr>
          <xdr:cNvSpPr/>
        </xdr:nvSpPr>
        <xdr:spPr>
          <a:xfrm>
            <a:off x="21367626" y="286307"/>
            <a:ext cx="4237616"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4" name="CuadroTexto 33">
            <a:extLst>
              <a:ext uri="{FF2B5EF4-FFF2-40B4-BE49-F238E27FC236}">
                <a16:creationId xmlns:a16="http://schemas.microsoft.com/office/drawing/2014/main" id="{EECE29C5-17B4-1A78-E4EC-7FC245C0BC67}"/>
              </a:ext>
            </a:extLst>
          </xdr:cNvPr>
          <xdr:cNvSpPr txBox="1"/>
        </xdr:nvSpPr>
        <xdr:spPr>
          <a:xfrm>
            <a:off x="21367626" y="550651"/>
            <a:ext cx="3554582"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TOTAL DE ACCIDENTADOS</a:t>
            </a:r>
          </a:p>
        </xdr:txBody>
      </xdr:sp>
      <xdr:sp macro="" textlink="STATS!J9">
        <xdr:nvSpPr>
          <xdr:cNvPr id="35" name="CuadroTexto 34">
            <a:extLst>
              <a:ext uri="{FF2B5EF4-FFF2-40B4-BE49-F238E27FC236}">
                <a16:creationId xmlns:a16="http://schemas.microsoft.com/office/drawing/2014/main" id="{C5964D1A-7C2C-233A-FBBF-3D8085830D1B}"/>
              </a:ext>
            </a:extLst>
          </xdr:cNvPr>
          <xdr:cNvSpPr txBox="1"/>
        </xdr:nvSpPr>
        <xdr:spPr>
          <a:xfrm>
            <a:off x="22699529" y="1172429"/>
            <a:ext cx="794554" cy="686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EDB2CF7C-5CD6-48EC-B116-63872538993B}"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63" name="Gráfico 62" descr="Corazón con pulso con relleno sólido">
            <a:extLst>
              <a:ext uri="{FF2B5EF4-FFF2-40B4-BE49-F238E27FC236}">
                <a16:creationId xmlns:a16="http://schemas.microsoft.com/office/drawing/2014/main" id="{91E8EC63-C4C2-D015-30DC-56366CD4AAA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4420535" y="968742"/>
            <a:ext cx="1184707" cy="1184707"/>
          </a:xfrm>
          <a:prstGeom prst="rect">
            <a:avLst/>
          </a:prstGeom>
        </xdr:spPr>
      </xdr:pic>
    </xdr:grpSp>
    <xdr:clientData/>
  </xdr:twoCellAnchor>
  <xdr:twoCellAnchor>
    <xdr:from>
      <xdr:col>4</xdr:col>
      <xdr:colOff>589581</xdr:colOff>
      <xdr:row>16</xdr:row>
      <xdr:rowOff>93288</xdr:rowOff>
    </xdr:from>
    <xdr:to>
      <xdr:col>10</xdr:col>
      <xdr:colOff>519817</xdr:colOff>
      <xdr:row>38</xdr:row>
      <xdr:rowOff>114301</xdr:rowOff>
    </xdr:to>
    <xdr:graphicFrame macro="">
      <xdr:nvGraphicFramePr>
        <xdr:cNvPr id="67" name="Gráfico 66">
          <a:extLst>
            <a:ext uri="{FF2B5EF4-FFF2-40B4-BE49-F238E27FC236}">
              <a16:creationId xmlns:a16="http://schemas.microsoft.com/office/drawing/2014/main" id="{20159D8A-7591-417A-A7AB-1C857C1308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589731</xdr:colOff>
      <xdr:row>14</xdr:row>
      <xdr:rowOff>106684</xdr:rowOff>
    </xdr:from>
    <xdr:to>
      <xdr:col>10</xdr:col>
      <xdr:colOff>519817</xdr:colOff>
      <xdr:row>16</xdr:row>
      <xdr:rowOff>86322</xdr:rowOff>
    </xdr:to>
    <xdr:sp macro="" textlink="">
      <xdr:nvSpPr>
        <xdr:cNvPr id="69" name="Rectángulo 68">
          <a:extLst>
            <a:ext uri="{FF2B5EF4-FFF2-40B4-BE49-F238E27FC236}">
              <a16:creationId xmlns:a16="http://schemas.microsoft.com/office/drawing/2014/main" id="{2521683A-FF7D-04C7-C0CC-9BE05EA4300B}"/>
            </a:ext>
          </a:extLst>
        </xdr:cNvPr>
        <xdr:cNvSpPr/>
      </xdr:nvSpPr>
      <xdr:spPr>
        <a:xfrm>
          <a:off x="4933131" y="2773684"/>
          <a:ext cx="6445186" cy="360638"/>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 DE ACCIDENTES POR GÉNERO</a:t>
          </a:r>
        </a:p>
      </xdr:txBody>
    </xdr:sp>
    <xdr:clientData/>
  </xdr:twoCellAnchor>
  <xdr:twoCellAnchor>
    <xdr:from>
      <xdr:col>18</xdr:col>
      <xdr:colOff>609600</xdr:colOff>
      <xdr:row>55</xdr:row>
      <xdr:rowOff>171450</xdr:rowOff>
    </xdr:from>
    <xdr:to>
      <xdr:col>35</xdr:col>
      <xdr:colOff>685800</xdr:colOff>
      <xdr:row>76</xdr:row>
      <xdr:rowOff>144779</xdr:rowOff>
    </xdr:to>
    <xdr:grpSp>
      <xdr:nvGrpSpPr>
        <xdr:cNvPr id="78" name="Grupo 77">
          <a:extLst>
            <a:ext uri="{FF2B5EF4-FFF2-40B4-BE49-F238E27FC236}">
              <a16:creationId xmlns:a16="http://schemas.microsoft.com/office/drawing/2014/main" id="{37D26404-D0AE-04A9-54DF-F349C4EABC83}"/>
            </a:ext>
          </a:extLst>
        </xdr:cNvPr>
        <xdr:cNvGrpSpPr/>
      </xdr:nvGrpSpPr>
      <xdr:grpSpPr>
        <a:xfrm>
          <a:off x="20100758" y="10097503"/>
          <a:ext cx="18003253" cy="3763276"/>
          <a:chOff x="11639550" y="2762250"/>
          <a:chExt cx="8271771" cy="4564379"/>
        </a:xfrm>
      </xdr:grpSpPr>
      <xdr:sp macro="" textlink="">
        <xdr:nvSpPr>
          <xdr:cNvPr id="70" name="Rectángulo 69">
            <a:extLst>
              <a:ext uri="{FF2B5EF4-FFF2-40B4-BE49-F238E27FC236}">
                <a16:creationId xmlns:a16="http://schemas.microsoft.com/office/drawing/2014/main" id="{9C8FD9E5-083F-4A4B-A397-AD1B9B5BE69E}"/>
              </a:ext>
            </a:extLst>
          </xdr:cNvPr>
          <xdr:cNvSpPr/>
        </xdr:nvSpPr>
        <xdr:spPr>
          <a:xfrm>
            <a:off x="11639550" y="2762250"/>
            <a:ext cx="8271771" cy="364542"/>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NÚMERO</a:t>
            </a:r>
            <a:r>
              <a:rPr lang="es-PE" sz="2000" baseline="0">
                <a:latin typeface="Algerian" panose="04020705040A02060702" pitchFamily="82" charset="0"/>
              </a:rPr>
              <a:t> DE ACCIDENTES POR MES</a:t>
            </a:r>
            <a:endParaRPr lang="es-PE" sz="2000">
              <a:latin typeface="Algerian" panose="04020705040A02060702" pitchFamily="82" charset="0"/>
            </a:endParaRPr>
          </a:p>
        </xdr:txBody>
      </xdr:sp>
      <xdr:graphicFrame macro="">
        <xdr:nvGraphicFramePr>
          <xdr:cNvPr id="71" name="Gráfico 70">
            <a:extLst>
              <a:ext uri="{FF2B5EF4-FFF2-40B4-BE49-F238E27FC236}">
                <a16:creationId xmlns:a16="http://schemas.microsoft.com/office/drawing/2014/main" id="{4A37F393-CB0C-4D34-9FDE-13B82C0623B3}"/>
              </a:ext>
            </a:extLst>
          </xdr:cNvPr>
          <xdr:cNvGraphicFramePr>
            <a:graphicFrameLocks/>
          </xdr:cNvGraphicFramePr>
        </xdr:nvGraphicFramePr>
        <xdr:xfrm>
          <a:off x="11639550" y="3118956"/>
          <a:ext cx="8271771" cy="4207673"/>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oneCell">
    <xdr:from>
      <xdr:col>18</xdr:col>
      <xdr:colOff>582944</xdr:colOff>
      <xdr:row>14</xdr:row>
      <xdr:rowOff>76200</xdr:rowOff>
    </xdr:from>
    <xdr:to>
      <xdr:col>28</xdr:col>
      <xdr:colOff>781049</xdr:colOff>
      <xdr:row>55</xdr:row>
      <xdr:rowOff>19050</xdr:rowOff>
    </xdr:to>
    <xdr:graphicFrame macro="">
      <xdr:nvGraphicFramePr>
        <xdr:cNvPr id="68" name="Gráfico 67">
          <a:extLst>
            <a:ext uri="{FF2B5EF4-FFF2-40B4-BE49-F238E27FC236}">
              <a16:creationId xmlns:a16="http://schemas.microsoft.com/office/drawing/2014/main" id="{C33756CD-E0D2-4662-859F-61AE6D3D3C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19</xdr:col>
      <xdr:colOff>274054</xdr:colOff>
      <xdr:row>31</xdr:row>
      <xdr:rowOff>176264</xdr:rowOff>
    </xdr:from>
    <xdr:to>
      <xdr:col>19</xdr:col>
      <xdr:colOff>998424</xdr:colOff>
      <xdr:row>36</xdr:row>
      <xdr:rowOff>127190</xdr:rowOff>
    </xdr:to>
    <xdr:sp macro="[0]!ActualizarMapaCalor" textlink="">
      <xdr:nvSpPr>
        <xdr:cNvPr id="27" name="Brazos">
          <a:extLst>
            <a:ext uri="{FF2B5EF4-FFF2-40B4-BE49-F238E27FC236}">
              <a16:creationId xmlns:a16="http://schemas.microsoft.com/office/drawing/2014/main" id="{A0D8C151-A039-443D-AD7C-155A7344A7CB}"/>
            </a:ext>
          </a:extLst>
        </xdr:cNvPr>
        <xdr:cNvSpPr/>
      </xdr:nvSpPr>
      <xdr:spPr>
        <a:xfrm rot="17677687">
          <a:off x="20742939" y="5823197"/>
          <a:ext cx="851471" cy="724370"/>
        </a:xfrm>
        <a:custGeom>
          <a:avLst/>
          <a:gdLst>
            <a:gd name="csX0" fmla="*/ 251056 w 1033326"/>
            <a:gd name="csY0" fmla="*/ 813487 h 830980"/>
            <a:gd name="csX1" fmla="*/ 699187 w 1033326"/>
            <a:gd name="csY1" fmla="*/ 536548 h 830980"/>
            <a:gd name="csX2" fmla="*/ 961913 w 1033326"/>
            <a:gd name="csY2" fmla="*/ 356765 h 830980"/>
            <a:gd name="csX3" fmla="*/ 993498 w 1033326"/>
            <a:gd name="csY3" fmla="*/ 92333 h 830980"/>
            <a:gd name="csX4" fmla="*/ 993498 w 1033326"/>
            <a:gd name="csY4" fmla="*/ 92333 h 830980"/>
            <a:gd name="csX5" fmla="*/ 735699 w 1033326"/>
            <a:gd name="csY5" fmla="*/ 25814 h 830980"/>
            <a:gd name="csX6" fmla="*/ 472973 w 1033326"/>
            <a:gd name="csY6" fmla="*/ 205598 h 830980"/>
            <a:gd name="csX7" fmla="*/ 52574 w 1033326"/>
            <a:gd name="csY7" fmla="*/ 523029 h 830980"/>
            <a:gd name="csX8" fmla="*/ 31980 w 1033326"/>
            <a:gd name="csY8" fmla="*/ 732060 h 830980"/>
            <a:gd name="csX9" fmla="*/ 49036 w 1033326"/>
            <a:gd name="csY9" fmla="*/ 756886 h 830980"/>
            <a:gd name="csX10" fmla="*/ 251056 w 1033326"/>
            <a:gd name="csY10" fmla="*/ 813487 h 83098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1033326" h="830980">
              <a:moveTo>
                <a:pt x="251056" y="813487"/>
              </a:moveTo>
              <a:lnTo>
                <a:pt x="699187" y="536548"/>
              </a:lnTo>
              <a:lnTo>
                <a:pt x="961913" y="356765"/>
              </a:lnTo>
              <a:cubicBezTo>
                <a:pt x="1043036" y="292122"/>
                <a:pt x="1057111" y="174265"/>
                <a:pt x="993498" y="92333"/>
              </a:cubicBezTo>
              <a:lnTo>
                <a:pt x="993498" y="92333"/>
              </a:lnTo>
              <a:cubicBezTo>
                <a:pt x="940365" y="3187"/>
                <a:pt x="825326" y="-26497"/>
                <a:pt x="735699" y="25814"/>
              </a:cubicBezTo>
              <a:lnTo>
                <a:pt x="472973" y="205598"/>
              </a:lnTo>
              <a:lnTo>
                <a:pt x="52574" y="523029"/>
              </a:lnTo>
              <a:cubicBezTo>
                <a:pt x="-8588" y="576244"/>
                <a:pt x="-17621" y="667930"/>
                <a:pt x="31980" y="732060"/>
              </a:cubicBezTo>
              <a:lnTo>
                <a:pt x="49036" y="756886"/>
              </a:lnTo>
              <a:cubicBezTo>
                <a:pt x="90779" y="826247"/>
                <a:pt x="179351" y="851061"/>
                <a:pt x="251056" y="813487"/>
              </a:cubicBezTo>
              <a:close/>
            </a:path>
          </a:pathLst>
        </a:custGeom>
        <a:solidFill>
          <a:srgbClr val="000000"/>
        </a:solidFill>
        <a:ln w="63103" cap="flat">
          <a:noFill/>
          <a:prstDash val="solid"/>
          <a:miter/>
        </a:ln>
      </xdr:spPr>
    </xdr:sp>
    <xdr:clientData/>
  </xdr:twoCellAnchor>
  <xdr:twoCellAnchor editAs="oneCell">
    <xdr:from>
      <xdr:col>21</xdr:col>
      <xdr:colOff>126411</xdr:colOff>
      <xdr:row>32</xdr:row>
      <xdr:rowOff>22854</xdr:rowOff>
    </xdr:from>
    <xdr:to>
      <xdr:col>21</xdr:col>
      <xdr:colOff>1005596</xdr:colOff>
      <xdr:row>35</xdr:row>
      <xdr:rowOff>172198</xdr:rowOff>
    </xdr:to>
    <xdr:sp macro="[0]!ActualizarMapaCalor" textlink="">
      <xdr:nvSpPr>
        <xdr:cNvPr id="44" name="Brazos">
          <a:extLst>
            <a:ext uri="{FF2B5EF4-FFF2-40B4-BE49-F238E27FC236}">
              <a16:creationId xmlns:a16="http://schemas.microsoft.com/office/drawing/2014/main" id="{E419AE06-7189-4C72-8051-6611ACEE8C7E}"/>
            </a:ext>
          </a:extLst>
        </xdr:cNvPr>
        <xdr:cNvSpPr/>
      </xdr:nvSpPr>
      <xdr:spPr>
        <a:xfrm rot="19041250">
          <a:off x="22820156" y="5786345"/>
          <a:ext cx="879185" cy="689671"/>
        </a:xfrm>
        <a:custGeom>
          <a:avLst/>
          <a:gdLst>
            <a:gd name="csX0" fmla="*/ 251056 w 1033326"/>
            <a:gd name="csY0" fmla="*/ 813487 h 830980"/>
            <a:gd name="csX1" fmla="*/ 699187 w 1033326"/>
            <a:gd name="csY1" fmla="*/ 536548 h 830980"/>
            <a:gd name="csX2" fmla="*/ 961913 w 1033326"/>
            <a:gd name="csY2" fmla="*/ 356765 h 830980"/>
            <a:gd name="csX3" fmla="*/ 993498 w 1033326"/>
            <a:gd name="csY3" fmla="*/ 92333 h 830980"/>
            <a:gd name="csX4" fmla="*/ 993498 w 1033326"/>
            <a:gd name="csY4" fmla="*/ 92333 h 830980"/>
            <a:gd name="csX5" fmla="*/ 735699 w 1033326"/>
            <a:gd name="csY5" fmla="*/ 25814 h 830980"/>
            <a:gd name="csX6" fmla="*/ 472973 w 1033326"/>
            <a:gd name="csY6" fmla="*/ 205598 h 830980"/>
            <a:gd name="csX7" fmla="*/ 52574 w 1033326"/>
            <a:gd name="csY7" fmla="*/ 523029 h 830980"/>
            <a:gd name="csX8" fmla="*/ 31980 w 1033326"/>
            <a:gd name="csY8" fmla="*/ 732060 h 830980"/>
            <a:gd name="csX9" fmla="*/ 49036 w 1033326"/>
            <a:gd name="csY9" fmla="*/ 756886 h 830980"/>
            <a:gd name="csX10" fmla="*/ 251056 w 1033326"/>
            <a:gd name="csY10" fmla="*/ 813487 h 83098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1033326" h="830980">
              <a:moveTo>
                <a:pt x="251056" y="813487"/>
              </a:moveTo>
              <a:lnTo>
                <a:pt x="699187" y="536548"/>
              </a:lnTo>
              <a:lnTo>
                <a:pt x="961913" y="356765"/>
              </a:lnTo>
              <a:cubicBezTo>
                <a:pt x="1043036" y="292122"/>
                <a:pt x="1057111" y="174265"/>
                <a:pt x="993498" y="92333"/>
              </a:cubicBezTo>
              <a:lnTo>
                <a:pt x="993498" y="92333"/>
              </a:lnTo>
              <a:cubicBezTo>
                <a:pt x="940365" y="3187"/>
                <a:pt x="825326" y="-26497"/>
                <a:pt x="735699" y="25814"/>
              </a:cubicBezTo>
              <a:lnTo>
                <a:pt x="472973" y="205598"/>
              </a:lnTo>
              <a:lnTo>
                <a:pt x="52574" y="523029"/>
              </a:lnTo>
              <a:cubicBezTo>
                <a:pt x="-8588" y="576244"/>
                <a:pt x="-17621" y="667930"/>
                <a:pt x="31980" y="732060"/>
              </a:cubicBezTo>
              <a:lnTo>
                <a:pt x="49036" y="756886"/>
              </a:lnTo>
              <a:cubicBezTo>
                <a:pt x="90779" y="826247"/>
                <a:pt x="179351" y="851061"/>
                <a:pt x="251056" y="813487"/>
              </a:cubicBezTo>
              <a:close/>
            </a:path>
          </a:pathLst>
        </a:custGeom>
        <a:solidFill>
          <a:srgbClr val="000000"/>
        </a:solidFill>
        <a:ln w="63103" cap="flat">
          <a:noFill/>
          <a:prstDash val="solid"/>
          <a:miter/>
        </a:ln>
      </xdr:spPr>
    </xdr:sp>
    <xdr:clientData/>
  </xdr:twoCellAnchor>
  <xdr:twoCellAnchor editAs="oneCell">
    <xdr:from>
      <xdr:col>20</xdr:col>
      <xdr:colOff>145887</xdr:colOff>
      <xdr:row>31</xdr:row>
      <xdr:rowOff>74846</xdr:rowOff>
    </xdr:from>
    <xdr:to>
      <xdr:col>20</xdr:col>
      <xdr:colOff>1046741</xdr:colOff>
      <xdr:row>35</xdr:row>
      <xdr:rowOff>86008</xdr:rowOff>
    </xdr:to>
    <xdr:sp macro="[0]!ActualizarMapaCalor" textlink="">
      <xdr:nvSpPr>
        <xdr:cNvPr id="25" name="Torso Bajo">
          <a:extLst>
            <a:ext uri="{FF2B5EF4-FFF2-40B4-BE49-F238E27FC236}">
              <a16:creationId xmlns:a16="http://schemas.microsoft.com/office/drawing/2014/main" id="{09660491-97AD-49BF-A0CA-0CCAB0849278}"/>
            </a:ext>
          </a:extLst>
        </xdr:cNvPr>
        <xdr:cNvSpPr/>
      </xdr:nvSpPr>
      <xdr:spPr>
        <a:xfrm rot="10800000">
          <a:off x="21758978" y="5658228"/>
          <a:ext cx="910379" cy="731598"/>
        </a:xfrm>
        <a:custGeom>
          <a:avLst/>
          <a:gdLst>
            <a:gd name="csX0" fmla="*/ 147882 w 1048755"/>
            <a:gd name="csY0" fmla="*/ 840925 h 979268"/>
            <a:gd name="csX1" fmla="*/ 335119 w 1048755"/>
            <a:gd name="csY1" fmla="*/ 979269 h 979268"/>
            <a:gd name="csX2" fmla="*/ 721533 w 1048755"/>
            <a:gd name="csY2" fmla="*/ 979269 h 979268"/>
            <a:gd name="csX3" fmla="*/ 909654 w 1048755"/>
            <a:gd name="csY3" fmla="*/ 838019 h 979268"/>
            <a:gd name="csX4" fmla="*/ 1022856 w 1048755"/>
            <a:gd name="csY4" fmla="*/ 448258 h 979268"/>
            <a:gd name="csX5" fmla="*/ 1048756 w 1048755"/>
            <a:gd name="csY5" fmla="*/ 266137 h 979268"/>
            <a:gd name="csX6" fmla="*/ 1048756 w 1048755"/>
            <a:gd name="csY6" fmla="*/ 195828 h 979268"/>
            <a:gd name="csX7" fmla="*/ 852928 w 1048755"/>
            <a:gd name="csY7" fmla="*/ 0 h 979268"/>
            <a:gd name="csX8" fmla="*/ 195828 w 1048755"/>
            <a:gd name="csY8" fmla="*/ 0 h 979268"/>
            <a:gd name="csX9" fmla="*/ 0 w 1048755"/>
            <a:gd name="csY9" fmla="*/ 195828 h 979268"/>
            <a:gd name="csX10" fmla="*/ 0 w 1048755"/>
            <a:gd name="csY10" fmla="*/ 261020 h 979268"/>
            <a:gd name="csX11" fmla="*/ 28742 w 1048755"/>
            <a:gd name="csY11" fmla="*/ 452743 h 97926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1048755" h="979268">
              <a:moveTo>
                <a:pt x="147882" y="840925"/>
              </a:moveTo>
              <a:cubicBezTo>
                <a:pt x="173131" y="923160"/>
                <a:pt x="249094" y="979287"/>
                <a:pt x="335119" y="979269"/>
              </a:cubicBezTo>
              <a:lnTo>
                <a:pt x="721533" y="979269"/>
              </a:lnTo>
              <a:cubicBezTo>
                <a:pt x="808683" y="979294"/>
                <a:pt x="885366" y="921720"/>
                <a:pt x="909654" y="838019"/>
              </a:cubicBezTo>
              <a:lnTo>
                <a:pt x="1022856" y="448258"/>
              </a:lnTo>
              <a:cubicBezTo>
                <a:pt x="1040039" y="389079"/>
                <a:pt x="1048756" y="327760"/>
                <a:pt x="1048756" y="266137"/>
              </a:cubicBezTo>
              <a:lnTo>
                <a:pt x="1048756" y="195828"/>
              </a:lnTo>
              <a:cubicBezTo>
                <a:pt x="1048756" y="87674"/>
                <a:pt x="961082" y="0"/>
                <a:pt x="852928" y="0"/>
              </a:cubicBezTo>
              <a:lnTo>
                <a:pt x="195828" y="0"/>
              </a:lnTo>
              <a:cubicBezTo>
                <a:pt x="87674" y="0"/>
                <a:pt x="0" y="87674"/>
                <a:pt x="0" y="195828"/>
              </a:cubicBezTo>
              <a:lnTo>
                <a:pt x="0" y="261020"/>
              </a:lnTo>
              <a:cubicBezTo>
                <a:pt x="-13" y="326004"/>
                <a:pt x="9671" y="390621"/>
                <a:pt x="28742" y="452743"/>
              </a:cubicBezTo>
              <a:close/>
            </a:path>
          </a:pathLst>
        </a:custGeom>
        <a:solidFill>
          <a:srgbClr val="000000"/>
        </a:solidFill>
        <a:ln w="63103" cap="flat">
          <a:noFill/>
          <a:prstDash val="solid"/>
          <a:miter/>
        </a:ln>
      </xdr:spPr>
    </xdr:sp>
    <xdr:clientData/>
  </xdr:twoCellAnchor>
  <xdr:twoCellAnchor editAs="oneCell">
    <xdr:from>
      <xdr:col>20</xdr:col>
      <xdr:colOff>70872</xdr:colOff>
      <xdr:row>25</xdr:row>
      <xdr:rowOff>72198</xdr:rowOff>
    </xdr:from>
    <xdr:to>
      <xdr:col>21</xdr:col>
      <xdr:colOff>40275</xdr:colOff>
      <xdr:row>30</xdr:row>
      <xdr:rowOff>146508</xdr:rowOff>
    </xdr:to>
    <xdr:sp macro="[0]!ActualizarMapaCalor" textlink="">
      <xdr:nvSpPr>
        <xdr:cNvPr id="5" name="Torso Alto">
          <a:extLst>
            <a:ext uri="{FF2B5EF4-FFF2-40B4-BE49-F238E27FC236}">
              <a16:creationId xmlns:a16="http://schemas.microsoft.com/office/drawing/2014/main" id="{43D51A22-DAB6-BB2E-E86D-339D3537A86D}"/>
            </a:ext>
          </a:extLst>
        </xdr:cNvPr>
        <xdr:cNvSpPr/>
      </xdr:nvSpPr>
      <xdr:spPr>
        <a:xfrm>
          <a:off x="21683963" y="4574925"/>
          <a:ext cx="1050057" cy="974856"/>
        </a:xfrm>
        <a:custGeom>
          <a:avLst/>
          <a:gdLst>
            <a:gd name="csX0" fmla="*/ 147882 w 1048755"/>
            <a:gd name="csY0" fmla="*/ 840925 h 979268"/>
            <a:gd name="csX1" fmla="*/ 335119 w 1048755"/>
            <a:gd name="csY1" fmla="*/ 979269 h 979268"/>
            <a:gd name="csX2" fmla="*/ 721533 w 1048755"/>
            <a:gd name="csY2" fmla="*/ 979269 h 979268"/>
            <a:gd name="csX3" fmla="*/ 909654 w 1048755"/>
            <a:gd name="csY3" fmla="*/ 838019 h 979268"/>
            <a:gd name="csX4" fmla="*/ 1022856 w 1048755"/>
            <a:gd name="csY4" fmla="*/ 448258 h 979268"/>
            <a:gd name="csX5" fmla="*/ 1048756 w 1048755"/>
            <a:gd name="csY5" fmla="*/ 266137 h 979268"/>
            <a:gd name="csX6" fmla="*/ 1048756 w 1048755"/>
            <a:gd name="csY6" fmla="*/ 195828 h 979268"/>
            <a:gd name="csX7" fmla="*/ 852928 w 1048755"/>
            <a:gd name="csY7" fmla="*/ 0 h 979268"/>
            <a:gd name="csX8" fmla="*/ 195828 w 1048755"/>
            <a:gd name="csY8" fmla="*/ 0 h 979268"/>
            <a:gd name="csX9" fmla="*/ 0 w 1048755"/>
            <a:gd name="csY9" fmla="*/ 195828 h 979268"/>
            <a:gd name="csX10" fmla="*/ 0 w 1048755"/>
            <a:gd name="csY10" fmla="*/ 261020 h 979268"/>
            <a:gd name="csX11" fmla="*/ 28742 w 1048755"/>
            <a:gd name="csY11" fmla="*/ 452743 h 97926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1048755" h="979268">
              <a:moveTo>
                <a:pt x="147882" y="840925"/>
              </a:moveTo>
              <a:cubicBezTo>
                <a:pt x="173131" y="923160"/>
                <a:pt x="249094" y="979287"/>
                <a:pt x="335119" y="979269"/>
              </a:cubicBezTo>
              <a:lnTo>
                <a:pt x="721533" y="979269"/>
              </a:lnTo>
              <a:cubicBezTo>
                <a:pt x="808683" y="979294"/>
                <a:pt x="885366" y="921720"/>
                <a:pt x="909654" y="838019"/>
              </a:cubicBezTo>
              <a:lnTo>
                <a:pt x="1022856" y="448258"/>
              </a:lnTo>
              <a:cubicBezTo>
                <a:pt x="1040039" y="389079"/>
                <a:pt x="1048756" y="327760"/>
                <a:pt x="1048756" y="266137"/>
              </a:cubicBezTo>
              <a:lnTo>
                <a:pt x="1048756" y="195828"/>
              </a:lnTo>
              <a:cubicBezTo>
                <a:pt x="1048756" y="87674"/>
                <a:pt x="961082" y="0"/>
                <a:pt x="852928" y="0"/>
              </a:cubicBezTo>
              <a:lnTo>
                <a:pt x="195828" y="0"/>
              </a:lnTo>
              <a:cubicBezTo>
                <a:pt x="87674" y="0"/>
                <a:pt x="0" y="87674"/>
                <a:pt x="0" y="195828"/>
              </a:cubicBezTo>
              <a:lnTo>
                <a:pt x="0" y="261020"/>
              </a:lnTo>
              <a:cubicBezTo>
                <a:pt x="-13" y="326004"/>
                <a:pt x="9671" y="390621"/>
                <a:pt x="28742" y="452743"/>
              </a:cubicBezTo>
              <a:close/>
            </a:path>
          </a:pathLst>
        </a:custGeom>
        <a:solidFill>
          <a:srgbClr val="000000"/>
        </a:solidFill>
        <a:ln w="63103" cap="flat">
          <a:noFill/>
          <a:prstDash val="solid"/>
          <a:miter/>
        </a:ln>
      </xdr:spPr>
    </xdr:sp>
    <xdr:clientData/>
  </xdr:twoCellAnchor>
  <xdr:twoCellAnchor editAs="oneCell">
    <xdr:from>
      <xdr:col>20</xdr:col>
      <xdr:colOff>611561</xdr:colOff>
      <xdr:row>35</xdr:row>
      <xdr:rowOff>159604</xdr:rowOff>
    </xdr:from>
    <xdr:to>
      <xdr:col>21</xdr:col>
      <xdr:colOff>113069</xdr:colOff>
      <xdr:row>42</xdr:row>
      <xdr:rowOff>151557</xdr:rowOff>
    </xdr:to>
    <xdr:sp macro="[0]!ActualizarMapaCalor" textlink="">
      <xdr:nvSpPr>
        <xdr:cNvPr id="6" name="Muslos">
          <a:extLst>
            <a:ext uri="{FF2B5EF4-FFF2-40B4-BE49-F238E27FC236}">
              <a16:creationId xmlns:a16="http://schemas.microsoft.com/office/drawing/2014/main" id="{FD73DD06-2D61-FC76-15CF-98B2979B2BA9}"/>
            </a:ext>
          </a:extLst>
        </xdr:cNvPr>
        <xdr:cNvSpPr/>
      </xdr:nvSpPr>
      <xdr:spPr>
        <a:xfrm>
          <a:off x="22224652" y="6463422"/>
          <a:ext cx="582162" cy="1252717"/>
        </a:xfrm>
        <a:custGeom>
          <a:avLst/>
          <a:gdLst>
            <a:gd name="csX0" fmla="*/ 349941 w 579890"/>
            <a:gd name="csY0" fmla="*/ 1253085 h 1254288"/>
            <a:gd name="csX1" fmla="*/ 453352 w 579890"/>
            <a:gd name="csY1" fmla="*/ 1239566 h 1254288"/>
            <a:gd name="csX2" fmla="*/ 579693 w 579890"/>
            <a:gd name="csY2" fmla="*/ 1087957 h 1254288"/>
            <a:gd name="csX3" fmla="*/ 537431 w 579890"/>
            <a:gd name="csY3" fmla="*/ 272047 h 1254288"/>
            <a:gd name="csX4" fmla="*/ 536421 w 579890"/>
            <a:gd name="csY4" fmla="*/ 260740 h 1254288"/>
            <a:gd name="csX5" fmla="*/ 519238 w 579890"/>
            <a:gd name="csY5" fmla="*/ 126503 h 1254288"/>
            <a:gd name="csX6" fmla="*/ 356385 w 579890"/>
            <a:gd name="csY6" fmla="*/ 1235 h 1254288"/>
            <a:gd name="csX7" fmla="*/ 126634 w 579890"/>
            <a:gd name="csY7" fmla="*/ 31178 h 1254288"/>
            <a:gd name="csX8" fmla="*/ 1222 w 579890"/>
            <a:gd name="csY8" fmla="*/ 193937 h 1254288"/>
            <a:gd name="csX9" fmla="*/ 1240 w 579890"/>
            <a:gd name="csY9" fmla="*/ 194095 h 1254288"/>
            <a:gd name="csX10" fmla="*/ 18739 w 579890"/>
            <a:gd name="csY10" fmla="*/ 328206 h 1254288"/>
            <a:gd name="csX11" fmla="*/ 20634 w 579890"/>
            <a:gd name="csY11" fmla="*/ 339387 h 1254288"/>
            <a:gd name="csX12" fmla="*/ 189173 w 579890"/>
            <a:gd name="csY12" fmla="*/ 1138809 h 1254288"/>
            <a:gd name="csX13" fmla="*/ 349941 w 579890"/>
            <a:gd name="csY13" fmla="*/ 1253085 h 125428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Lst>
          <a:rect l="l" t="t" r="r" b="b"/>
          <a:pathLst>
            <a:path w="579890" h="1254288">
              <a:moveTo>
                <a:pt x="349941" y="1253085"/>
              </a:moveTo>
              <a:lnTo>
                <a:pt x="453352" y="1239566"/>
              </a:lnTo>
              <a:cubicBezTo>
                <a:pt x="528594" y="1229768"/>
                <a:pt x="583628" y="1163730"/>
                <a:pt x="579693" y="1087957"/>
              </a:cubicBezTo>
              <a:lnTo>
                <a:pt x="537431" y="272047"/>
              </a:lnTo>
              <a:cubicBezTo>
                <a:pt x="537431" y="268257"/>
                <a:pt x="536926" y="264530"/>
                <a:pt x="536421" y="260740"/>
              </a:cubicBezTo>
              <a:lnTo>
                <a:pt x="519238" y="126503"/>
              </a:lnTo>
              <a:cubicBezTo>
                <a:pt x="508853" y="46946"/>
                <a:pt x="435948" y="-9137"/>
                <a:pt x="356385" y="1235"/>
              </a:cubicBezTo>
              <a:lnTo>
                <a:pt x="126634" y="31178"/>
              </a:lnTo>
              <a:cubicBezTo>
                <a:pt x="47058" y="41494"/>
                <a:pt x="-9094" y="114361"/>
                <a:pt x="1222" y="193937"/>
              </a:cubicBezTo>
              <a:cubicBezTo>
                <a:pt x="1228" y="193988"/>
                <a:pt x="1234" y="194044"/>
                <a:pt x="1240" y="194095"/>
              </a:cubicBezTo>
              <a:lnTo>
                <a:pt x="18739" y="328206"/>
              </a:lnTo>
              <a:cubicBezTo>
                <a:pt x="19175" y="331964"/>
                <a:pt x="19806" y="335698"/>
                <a:pt x="20634" y="339387"/>
              </a:cubicBezTo>
              <a:lnTo>
                <a:pt x="189173" y="1138809"/>
              </a:lnTo>
              <a:cubicBezTo>
                <a:pt x="204738" y="1213016"/>
                <a:pt x="274743" y="1262775"/>
                <a:pt x="349941" y="1253085"/>
              </a:cubicBezTo>
              <a:close/>
            </a:path>
          </a:pathLst>
        </a:custGeom>
        <a:solidFill>
          <a:srgbClr val="000000"/>
        </a:solidFill>
        <a:ln w="63103" cap="flat">
          <a:noFill/>
          <a:prstDash val="solid"/>
          <a:miter/>
        </a:ln>
      </xdr:spPr>
    </xdr:sp>
    <xdr:clientData/>
  </xdr:twoCellAnchor>
  <xdr:twoCellAnchor editAs="oneCell">
    <xdr:from>
      <xdr:col>20</xdr:col>
      <xdr:colOff>866873</xdr:colOff>
      <xdr:row>43</xdr:row>
      <xdr:rowOff>133371</xdr:rowOff>
    </xdr:from>
    <xdr:to>
      <xdr:col>21</xdr:col>
      <xdr:colOff>283535</xdr:colOff>
      <xdr:row>50</xdr:row>
      <xdr:rowOff>108439</xdr:rowOff>
    </xdr:to>
    <xdr:sp macro="[0]!ActualizarMapaCalor" textlink="">
      <xdr:nvSpPr>
        <xdr:cNvPr id="9" name="Pantorrilla">
          <a:extLst>
            <a:ext uri="{FF2B5EF4-FFF2-40B4-BE49-F238E27FC236}">
              <a16:creationId xmlns:a16="http://schemas.microsoft.com/office/drawing/2014/main" id="{06B9B439-2C73-BF1B-ABBB-7B1FEDFF9A8A}"/>
            </a:ext>
          </a:extLst>
        </xdr:cNvPr>
        <xdr:cNvSpPr/>
      </xdr:nvSpPr>
      <xdr:spPr>
        <a:xfrm>
          <a:off x="22479964" y="7878062"/>
          <a:ext cx="497316" cy="1235832"/>
        </a:xfrm>
        <a:custGeom>
          <a:avLst/>
          <a:gdLst>
            <a:gd name="csX0" fmla="*/ 372874 w 494618"/>
            <a:gd name="csY0" fmla="*/ 1234146 h 1236125"/>
            <a:gd name="csX1" fmla="*/ 372874 w 494618"/>
            <a:gd name="csY1" fmla="*/ 1234146 h 1236125"/>
            <a:gd name="csX2" fmla="*/ 493971 w 494618"/>
            <a:gd name="csY2" fmla="*/ 1077167 h 1236125"/>
            <a:gd name="csX3" fmla="*/ 425368 w 494618"/>
            <a:gd name="csY3" fmla="*/ 347486 h 1236125"/>
            <a:gd name="csX4" fmla="*/ 424042 w 494618"/>
            <a:gd name="csY4" fmla="*/ 337504 h 1236125"/>
            <a:gd name="csX5" fmla="*/ 388666 w 494618"/>
            <a:gd name="csY5" fmla="*/ 121967 h 1236125"/>
            <a:gd name="csX6" fmla="*/ 221915 w 494618"/>
            <a:gd name="csY6" fmla="*/ 1911 h 1236125"/>
            <a:gd name="csX7" fmla="*/ 221707 w 494618"/>
            <a:gd name="csY7" fmla="*/ 1943 h 1236125"/>
            <a:gd name="csX8" fmla="*/ 121961 w 494618"/>
            <a:gd name="csY8" fmla="*/ 18367 h 1236125"/>
            <a:gd name="csX9" fmla="*/ 1912 w 494618"/>
            <a:gd name="csY9" fmla="*/ 185125 h 1236125"/>
            <a:gd name="csX10" fmla="*/ 1937 w 494618"/>
            <a:gd name="csY10" fmla="*/ 185264 h 1236125"/>
            <a:gd name="csX11" fmla="*/ 37312 w 494618"/>
            <a:gd name="csY11" fmla="*/ 400801 h 1236125"/>
            <a:gd name="csX12" fmla="*/ 39334 w 494618"/>
            <a:gd name="csY12" fmla="*/ 410656 h 1236125"/>
            <a:gd name="csX13" fmla="*/ 207746 w 494618"/>
            <a:gd name="csY13" fmla="*/ 1124482 h 1236125"/>
            <a:gd name="csX14" fmla="*/ 372874 w 494618"/>
            <a:gd name="csY14" fmla="*/ 1234146 h 1236125"/>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Lst>
          <a:rect l="l" t="t" r="r" b="b"/>
          <a:pathLst>
            <a:path w="494618" h="1236125">
              <a:moveTo>
                <a:pt x="372874" y="1234146"/>
              </a:moveTo>
              <a:lnTo>
                <a:pt x="372874" y="1234146"/>
              </a:lnTo>
              <a:cubicBezTo>
                <a:pt x="448217" y="1221764"/>
                <a:pt x="501122" y="1153187"/>
                <a:pt x="493971" y="1077167"/>
              </a:cubicBezTo>
              <a:lnTo>
                <a:pt x="425368" y="347486"/>
              </a:lnTo>
              <a:cubicBezTo>
                <a:pt x="425052" y="344137"/>
                <a:pt x="424610" y="340852"/>
                <a:pt x="424042" y="337504"/>
              </a:cubicBezTo>
              <a:lnTo>
                <a:pt x="388666" y="121967"/>
              </a:lnTo>
              <a:cubicBezTo>
                <a:pt x="375773" y="42770"/>
                <a:pt x="301118" y="-10988"/>
                <a:pt x="221915" y="1911"/>
              </a:cubicBezTo>
              <a:cubicBezTo>
                <a:pt x="221846" y="1918"/>
                <a:pt x="221776" y="1930"/>
                <a:pt x="221707" y="1943"/>
              </a:cubicBezTo>
              <a:lnTo>
                <a:pt x="121961" y="18367"/>
              </a:lnTo>
              <a:cubicBezTo>
                <a:pt x="42764" y="31267"/>
                <a:pt x="-10988" y="105928"/>
                <a:pt x="1912" y="185125"/>
              </a:cubicBezTo>
              <a:cubicBezTo>
                <a:pt x="1924" y="185169"/>
                <a:pt x="1930" y="185219"/>
                <a:pt x="1937" y="185264"/>
              </a:cubicBezTo>
              <a:lnTo>
                <a:pt x="37312" y="400801"/>
              </a:lnTo>
              <a:cubicBezTo>
                <a:pt x="37881" y="404149"/>
                <a:pt x="38512" y="407434"/>
                <a:pt x="39334" y="410656"/>
              </a:cubicBezTo>
              <a:lnTo>
                <a:pt x="207746" y="1124482"/>
              </a:lnTo>
              <a:cubicBezTo>
                <a:pt x="225434" y="1198739"/>
                <a:pt x="297568" y="1246648"/>
                <a:pt x="372874" y="1234146"/>
              </a:cubicBezTo>
              <a:close/>
            </a:path>
          </a:pathLst>
        </a:custGeom>
        <a:solidFill>
          <a:srgbClr val="000000"/>
        </a:solidFill>
        <a:ln w="63103" cap="flat">
          <a:noFill/>
          <a:prstDash val="solid"/>
          <a:miter/>
        </a:ln>
      </xdr:spPr>
    </xdr:sp>
    <xdr:clientData/>
  </xdr:twoCellAnchor>
  <xdr:twoCellAnchor editAs="oneCell">
    <xdr:from>
      <xdr:col>20</xdr:col>
      <xdr:colOff>1020238</xdr:colOff>
      <xdr:row>50</xdr:row>
      <xdr:rowOff>175073</xdr:rowOff>
    </xdr:from>
    <xdr:to>
      <xdr:col>21</xdr:col>
      <xdr:colOff>460576</xdr:colOff>
      <xdr:row>52</xdr:row>
      <xdr:rowOff>84859</xdr:rowOff>
    </xdr:to>
    <xdr:sp macro="[0]!ActualizarMapaCalor" textlink="">
      <xdr:nvSpPr>
        <xdr:cNvPr id="12" name="Pies">
          <a:extLst>
            <a:ext uri="{FF2B5EF4-FFF2-40B4-BE49-F238E27FC236}">
              <a16:creationId xmlns:a16="http://schemas.microsoft.com/office/drawing/2014/main" id="{62BD117A-1D3D-6263-FE12-80C5F818B4B3}"/>
            </a:ext>
          </a:extLst>
        </xdr:cNvPr>
        <xdr:cNvSpPr/>
      </xdr:nvSpPr>
      <xdr:spPr>
        <a:xfrm>
          <a:off x="22633329" y="9180528"/>
          <a:ext cx="520992" cy="270004"/>
        </a:xfrm>
        <a:custGeom>
          <a:avLst/>
          <a:gdLst>
            <a:gd name="csX0" fmla="*/ 261020 w 522230"/>
            <a:gd name="csY0" fmla="*/ 0 h 261146"/>
            <a:gd name="csX1" fmla="*/ 0 w 522230"/>
            <a:gd name="csY1" fmla="*/ 261147 h 261146"/>
            <a:gd name="csX2" fmla="*/ 522230 w 522230"/>
            <a:gd name="csY2" fmla="*/ 261147 h 261146"/>
            <a:gd name="csX3" fmla="*/ 261083 w 522230"/>
            <a:gd name="csY3" fmla="*/ 0 h 261146"/>
            <a:gd name="csX4" fmla="*/ 261020 w 522230"/>
            <a:gd name="csY4" fmla="*/ 0 h 261146"/>
          </a:gdLst>
          <a:ahLst/>
          <a:cxnLst>
            <a:cxn ang="0">
              <a:pos x="csX0" y="csY0"/>
            </a:cxn>
            <a:cxn ang="0">
              <a:pos x="csX1" y="csY1"/>
            </a:cxn>
            <a:cxn ang="0">
              <a:pos x="csX2" y="csY2"/>
            </a:cxn>
            <a:cxn ang="0">
              <a:pos x="csX3" y="csY3"/>
            </a:cxn>
            <a:cxn ang="0">
              <a:pos x="csX4" y="csY4"/>
            </a:cxn>
          </a:cxnLst>
          <a:rect l="l" t="t" r="r" b="b"/>
          <a:pathLst>
            <a:path w="522230" h="261146">
              <a:moveTo>
                <a:pt x="261020" y="0"/>
              </a:moveTo>
              <a:cubicBezTo>
                <a:pt x="116827" y="32"/>
                <a:pt x="-38" y="116954"/>
                <a:pt x="0" y="261147"/>
              </a:cubicBezTo>
              <a:lnTo>
                <a:pt x="522230" y="261147"/>
              </a:lnTo>
              <a:cubicBezTo>
                <a:pt x="522230" y="116923"/>
                <a:pt x="405308" y="0"/>
                <a:pt x="261083" y="0"/>
              </a:cubicBezTo>
              <a:cubicBezTo>
                <a:pt x="261064" y="0"/>
                <a:pt x="261039" y="0"/>
                <a:pt x="261020" y="0"/>
              </a:cubicBezTo>
              <a:close/>
            </a:path>
          </a:pathLst>
        </a:custGeom>
        <a:solidFill>
          <a:srgbClr val="000000"/>
        </a:solidFill>
        <a:ln w="63103" cap="flat">
          <a:noFill/>
          <a:prstDash val="solid"/>
          <a:miter/>
        </a:ln>
      </xdr:spPr>
    </xdr:sp>
    <xdr:clientData/>
  </xdr:twoCellAnchor>
  <xdr:twoCellAnchor editAs="oneCell">
    <xdr:from>
      <xdr:col>19</xdr:col>
      <xdr:colOff>1078607</xdr:colOff>
      <xdr:row>35</xdr:row>
      <xdr:rowOff>159604</xdr:rowOff>
    </xdr:from>
    <xdr:to>
      <xdr:col>20</xdr:col>
      <xdr:colOff>576756</xdr:colOff>
      <xdr:row>42</xdr:row>
      <xdr:rowOff>151465</xdr:rowOff>
    </xdr:to>
    <xdr:sp macro="[0]!ActualizarMapaCalor" textlink="">
      <xdr:nvSpPr>
        <xdr:cNvPr id="15" name="Muslos">
          <a:extLst>
            <a:ext uri="{FF2B5EF4-FFF2-40B4-BE49-F238E27FC236}">
              <a16:creationId xmlns:a16="http://schemas.microsoft.com/office/drawing/2014/main" id="{1E86176B-CFFE-2F96-AB0A-01FD9BE4E058}"/>
            </a:ext>
          </a:extLst>
        </xdr:cNvPr>
        <xdr:cNvSpPr/>
      </xdr:nvSpPr>
      <xdr:spPr>
        <a:xfrm>
          <a:off x="21611043" y="6463422"/>
          <a:ext cx="578804" cy="1252625"/>
        </a:xfrm>
        <a:custGeom>
          <a:avLst/>
          <a:gdLst>
            <a:gd name="csX0" fmla="*/ 453573 w 580332"/>
            <a:gd name="csY0" fmla="*/ 31178 h 1254189"/>
            <a:gd name="csX1" fmla="*/ 223822 w 580332"/>
            <a:gd name="csY1" fmla="*/ 1235 h 1254189"/>
            <a:gd name="csX2" fmla="*/ 60969 w 580332"/>
            <a:gd name="csY2" fmla="*/ 126503 h 1254189"/>
            <a:gd name="csX3" fmla="*/ 43470 w 580332"/>
            <a:gd name="csY3" fmla="*/ 260613 h 1254189"/>
            <a:gd name="csX4" fmla="*/ 42460 w 580332"/>
            <a:gd name="csY4" fmla="*/ 271921 h 1254189"/>
            <a:gd name="csX5" fmla="*/ 198 w 580332"/>
            <a:gd name="csY5" fmla="*/ 1087830 h 1254189"/>
            <a:gd name="csX6" fmla="*/ 126539 w 580332"/>
            <a:gd name="csY6" fmla="*/ 1239440 h 1254189"/>
            <a:gd name="csX7" fmla="*/ 229949 w 580332"/>
            <a:gd name="csY7" fmla="*/ 1252958 h 1254189"/>
            <a:gd name="csX8" fmla="*/ 390908 w 580332"/>
            <a:gd name="csY8" fmla="*/ 1138809 h 1254189"/>
            <a:gd name="csX9" fmla="*/ 559699 w 580332"/>
            <a:gd name="csY9" fmla="*/ 339387 h 1254189"/>
            <a:gd name="csX10" fmla="*/ 561594 w 580332"/>
            <a:gd name="csY10" fmla="*/ 328206 h 1254189"/>
            <a:gd name="csX11" fmla="*/ 579093 w 580332"/>
            <a:gd name="csY11" fmla="*/ 194095 h 1254189"/>
            <a:gd name="csX12" fmla="*/ 453838 w 580332"/>
            <a:gd name="csY12" fmla="*/ 31210 h 1254189"/>
            <a:gd name="csX13" fmla="*/ 453573 w 580332"/>
            <a:gd name="csY13" fmla="*/ 31178 h 1254189"/>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Lst>
          <a:rect l="l" t="t" r="r" b="b"/>
          <a:pathLst>
            <a:path w="580332" h="1254189">
              <a:moveTo>
                <a:pt x="453573" y="31178"/>
              </a:moveTo>
              <a:lnTo>
                <a:pt x="223822" y="1235"/>
              </a:lnTo>
              <a:cubicBezTo>
                <a:pt x="144259" y="-9137"/>
                <a:pt x="71354" y="46946"/>
                <a:pt x="60969" y="126503"/>
              </a:cubicBezTo>
              <a:lnTo>
                <a:pt x="43470" y="260613"/>
              </a:lnTo>
              <a:cubicBezTo>
                <a:pt x="42965" y="264404"/>
                <a:pt x="42649" y="268131"/>
                <a:pt x="42460" y="271921"/>
              </a:cubicBezTo>
              <a:lnTo>
                <a:pt x="198" y="1087830"/>
              </a:lnTo>
              <a:cubicBezTo>
                <a:pt x="-3737" y="1163603"/>
                <a:pt x="51297" y="1229642"/>
                <a:pt x="126539" y="1239440"/>
              </a:cubicBezTo>
              <a:lnTo>
                <a:pt x="229949" y="1252958"/>
              </a:lnTo>
              <a:cubicBezTo>
                <a:pt x="305173" y="1262762"/>
                <a:pt x="375286" y="1213047"/>
                <a:pt x="390908" y="1138809"/>
              </a:cubicBezTo>
              <a:lnTo>
                <a:pt x="559699" y="339387"/>
              </a:lnTo>
              <a:cubicBezTo>
                <a:pt x="560457" y="335723"/>
                <a:pt x="561152" y="331996"/>
                <a:pt x="561594" y="328206"/>
              </a:cubicBezTo>
              <a:lnTo>
                <a:pt x="579093" y="194095"/>
              </a:lnTo>
              <a:cubicBezTo>
                <a:pt x="589484" y="114525"/>
                <a:pt x="533401" y="41601"/>
                <a:pt x="453838" y="31210"/>
              </a:cubicBezTo>
              <a:cubicBezTo>
                <a:pt x="453750" y="31204"/>
                <a:pt x="453661" y="31191"/>
                <a:pt x="453573" y="31178"/>
              </a:cubicBezTo>
              <a:close/>
            </a:path>
          </a:pathLst>
        </a:custGeom>
        <a:solidFill>
          <a:srgbClr val="000000"/>
        </a:solidFill>
        <a:ln w="63103" cap="flat">
          <a:noFill/>
          <a:prstDash val="solid"/>
          <a:miter/>
        </a:ln>
      </xdr:spPr>
    </xdr:sp>
    <xdr:clientData/>
  </xdr:twoCellAnchor>
  <xdr:twoCellAnchor editAs="oneCell">
    <xdr:from>
      <xdr:col>19</xdr:col>
      <xdr:colOff>908154</xdr:colOff>
      <xdr:row>43</xdr:row>
      <xdr:rowOff>133547</xdr:rowOff>
    </xdr:from>
    <xdr:to>
      <xdr:col>20</xdr:col>
      <xdr:colOff>319391</xdr:colOff>
      <xdr:row>50</xdr:row>
      <xdr:rowOff>108432</xdr:rowOff>
    </xdr:to>
    <xdr:sp macro="[0]!ActualizarMapaCalor" textlink="">
      <xdr:nvSpPr>
        <xdr:cNvPr id="16" name="Pantorrilla">
          <a:extLst>
            <a:ext uri="{FF2B5EF4-FFF2-40B4-BE49-F238E27FC236}">
              <a16:creationId xmlns:a16="http://schemas.microsoft.com/office/drawing/2014/main" id="{8EE42A01-F207-21A5-859E-EE4E860F2CD4}"/>
            </a:ext>
          </a:extLst>
        </xdr:cNvPr>
        <xdr:cNvSpPr/>
      </xdr:nvSpPr>
      <xdr:spPr>
        <a:xfrm>
          <a:off x="21440590" y="7878238"/>
          <a:ext cx="491892" cy="1235649"/>
        </a:xfrm>
        <a:custGeom>
          <a:avLst/>
          <a:gdLst>
            <a:gd name="csX0" fmla="*/ 372646 w 494368"/>
            <a:gd name="csY0" fmla="*/ 18368 h 1235928"/>
            <a:gd name="csX1" fmla="*/ 272899 w 494368"/>
            <a:gd name="csY1" fmla="*/ 1944 h 1235928"/>
            <a:gd name="csX2" fmla="*/ 105971 w 494368"/>
            <a:gd name="csY2" fmla="*/ 121759 h 1235928"/>
            <a:gd name="csX3" fmla="*/ 105940 w 494368"/>
            <a:gd name="csY3" fmla="*/ 121968 h 1235928"/>
            <a:gd name="csX4" fmla="*/ 70564 w 494368"/>
            <a:gd name="csY4" fmla="*/ 337506 h 1235928"/>
            <a:gd name="csX5" fmla="*/ 69238 w 494368"/>
            <a:gd name="csY5" fmla="*/ 347486 h 1235928"/>
            <a:gd name="csX6" fmla="*/ 635 w 494368"/>
            <a:gd name="csY6" fmla="*/ 1077169 h 1235928"/>
            <a:gd name="csX7" fmla="*/ 131840 w 494368"/>
            <a:gd name="csY7" fmla="*/ 1235297 h 1235928"/>
            <a:gd name="csX8" fmla="*/ 286671 w 494368"/>
            <a:gd name="csY8" fmla="*/ 1124167 h 1235928"/>
            <a:gd name="csX9" fmla="*/ 455083 w 494368"/>
            <a:gd name="csY9" fmla="*/ 410341 h 1235928"/>
            <a:gd name="csX10" fmla="*/ 457041 w 494368"/>
            <a:gd name="csY10" fmla="*/ 400486 h 1235928"/>
            <a:gd name="csX11" fmla="*/ 492480 w 494368"/>
            <a:gd name="csY11" fmla="*/ 184949 h 1235928"/>
            <a:gd name="csX12" fmla="*/ 372646 w 494368"/>
            <a:gd name="csY12" fmla="*/ 18368 h 123592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Lst>
          <a:rect l="l" t="t" r="r" b="b"/>
          <a:pathLst>
            <a:path w="494368" h="1235928">
              <a:moveTo>
                <a:pt x="372646" y="18368"/>
              </a:moveTo>
              <a:lnTo>
                <a:pt x="272899" y="1944"/>
              </a:lnTo>
              <a:cubicBezTo>
                <a:pt x="193722" y="-11063"/>
                <a:pt x="118984" y="42575"/>
                <a:pt x="105971" y="121759"/>
              </a:cubicBezTo>
              <a:cubicBezTo>
                <a:pt x="105965" y="121829"/>
                <a:pt x="105952" y="121898"/>
                <a:pt x="105940" y="121968"/>
              </a:cubicBezTo>
              <a:lnTo>
                <a:pt x="70564" y="337506"/>
              </a:lnTo>
              <a:cubicBezTo>
                <a:pt x="69996" y="340853"/>
                <a:pt x="69554" y="344138"/>
                <a:pt x="69238" y="347486"/>
              </a:cubicBezTo>
              <a:lnTo>
                <a:pt x="635" y="1077169"/>
              </a:lnTo>
              <a:cubicBezTo>
                <a:pt x="-6801" y="1157067"/>
                <a:pt x="51942" y="1227862"/>
                <a:pt x="131840" y="1235297"/>
              </a:cubicBezTo>
              <a:cubicBezTo>
                <a:pt x="203930" y="1242005"/>
                <a:pt x="269962" y="1194615"/>
                <a:pt x="286671" y="1124167"/>
              </a:cubicBezTo>
              <a:lnTo>
                <a:pt x="455083" y="410341"/>
              </a:lnTo>
              <a:cubicBezTo>
                <a:pt x="455904" y="407119"/>
                <a:pt x="456536" y="404024"/>
                <a:pt x="457041" y="400486"/>
              </a:cubicBezTo>
              <a:lnTo>
                <a:pt x="492480" y="184949"/>
              </a:lnTo>
              <a:cubicBezTo>
                <a:pt x="505278" y="105885"/>
                <a:pt x="451678" y="31375"/>
                <a:pt x="372646" y="18368"/>
              </a:cubicBezTo>
              <a:close/>
            </a:path>
          </a:pathLst>
        </a:custGeom>
        <a:solidFill>
          <a:srgbClr val="000000"/>
        </a:solidFill>
        <a:ln w="63103" cap="flat">
          <a:noFill/>
          <a:prstDash val="solid"/>
          <a:miter/>
        </a:ln>
      </xdr:spPr>
    </xdr:sp>
    <xdr:clientData/>
  </xdr:twoCellAnchor>
  <xdr:twoCellAnchor editAs="oneCell">
    <xdr:from>
      <xdr:col>19</xdr:col>
      <xdr:colOff>727364</xdr:colOff>
      <xdr:row>50</xdr:row>
      <xdr:rowOff>175073</xdr:rowOff>
    </xdr:from>
    <xdr:to>
      <xdr:col>20</xdr:col>
      <xdr:colOff>171437</xdr:colOff>
      <xdr:row>52</xdr:row>
      <xdr:rowOff>84859</xdr:rowOff>
    </xdr:to>
    <xdr:sp macro="[0]!ActualizarMapaCalor" textlink="">
      <xdr:nvSpPr>
        <xdr:cNvPr id="17" name="Pies">
          <a:extLst>
            <a:ext uri="{FF2B5EF4-FFF2-40B4-BE49-F238E27FC236}">
              <a16:creationId xmlns:a16="http://schemas.microsoft.com/office/drawing/2014/main" id="{1C9E61BD-6A1B-ACD1-94D0-F23909859A3A}"/>
            </a:ext>
          </a:extLst>
        </xdr:cNvPr>
        <xdr:cNvSpPr/>
      </xdr:nvSpPr>
      <xdr:spPr>
        <a:xfrm>
          <a:off x="21259800" y="9180528"/>
          <a:ext cx="524728" cy="270004"/>
        </a:xfrm>
        <a:custGeom>
          <a:avLst/>
          <a:gdLst>
            <a:gd name="csX0" fmla="*/ 261083 w 522166"/>
            <a:gd name="csY0" fmla="*/ 0 h 261146"/>
            <a:gd name="csX1" fmla="*/ 0 w 522166"/>
            <a:gd name="csY1" fmla="*/ 261084 h 261146"/>
            <a:gd name="csX2" fmla="*/ 0 w 522166"/>
            <a:gd name="csY2" fmla="*/ 261147 h 261146"/>
            <a:gd name="csX3" fmla="*/ 522167 w 522166"/>
            <a:gd name="csY3" fmla="*/ 261147 h 261146"/>
            <a:gd name="csX4" fmla="*/ 261083 w 522166"/>
            <a:gd name="csY4" fmla="*/ 0 h 261146"/>
          </a:gdLst>
          <a:ahLst/>
          <a:cxnLst>
            <a:cxn ang="0">
              <a:pos x="csX0" y="csY0"/>
            </a:cxn>
            <a:cxn ang="0">
              <a:pos x="csX1" y="csY1"/>
            </a:cxn>
            <a:cxn ang="0">
              <a:pos x="csX2" y="csY2"/>
            </a:cxn>
            <a:cxn ang="0">
              <a:pos x="csX3" y="csY3"/>
            </a:cxn>
            <a:cxn ang="0">
              <a:pos x="csX4" y="csY4"/>
            </a:cxn>
          </a:cxnLst>
          <a:rect l="l" t="t" r="r" b="b"/>
          <a:pathLst>
            <a:path w="522166" h="261146">
              <a:moveTo>
                <a:pt x="261083" y="0"/>
              </a:moveTo>
              <a:cubicBezTo>
                <a:pt x="116891" y="0"/>
                <a:pt x="0" y="116891"/>
                <a:pt x="0" y="261084"/>
              </a:cubicBezTo>
              <a:cubicBezTo>
                <a:pt x="0" y="261103"/>
                <a:pt x="0" y="261128"/>
                <a:pt x="0" y="261147"/>
              </a:cubicBezTo>
              <a:lnTo>
                <a:pt x="522167" y="261147"/>
              </a:lnTo>
              <a:cubicBezTo>
                <a:pt x="522167" y="116941"/>
                <a:pt x="405289" y="38"/>
                <a:pt x="261083" y="0"/>
              </a:cubicBezTo>
              <a:close/>
            </a:path>
          </a:pathLst>
        </a:custGeom>
        <a:solidFill>
          <a:srgbClr val="000000"/>
        </a:solidFill>
        <a:ln w="63103" cap="flat">
          <a:noFill/>
          <a:prstDash val="solid"/>
          <a:miter/>
        </a:ln>
      </xdr:spPr>
    </xdr:sp>
    <xdr:clientData/>
  </xdr:twoCellAnchor>
  <xdr:twoCellAnchor editAs="oneCell">
    <xdr:from>
      <xdr:col>20</xdr:col>
      <xdr:colOff>234733</xdr:colOff>
      <xdr:row>19</xdr:row>
      <xdr:rowOff>109158</xdr:rowOff>
    </xdr:from>
    <xdr:to>
      <xdr:col>20</xdr:col>
      <xdr:colOff>956944</xdr:colOff>
      <xdr:row>24</xdr:row>
      <xdr:rowOff>121112</xdr:rowOff>
    </xdr:to>
    <xdr:sp macro="[0]!ActualizarMapaCalor" textlink="">
      <xdr:nvSpPr>
        <xdr:cNvPr id="22" name="Cabeza">
          <a:extLst>
            <a:ext uri="{FF2B5EF4-FFF2-40B4-BE49-F238E27FC236}">
              <a16:creationId xmlns:a16="http://schemas.microsoft.com/office/drawing/2014/main" id="{E624706B-C89D-D5F0-B0B9-EBDA5B8FC21A}"/>
            </a:ext>
          </a:extLst>
        </xdr:cNvPr>
        <xdr:cNvSpPr/>
      </xdr:nvSpPr>
      <xdr:spPr>
        <a:xfrm>
          <a:off x="21847824" y="3531231"/>
          <a:ext cx="722211" cy="912499"/>
        </a:xfrm>
        <a:custGeom>
          <a:avLst/>
          <a:gdLst>
            <a:gd name="csX0" fmla="*/ 251671 w 719258"/>
            <a:gd name="csY0" fmla="*/ 914961 h 914960"/>
            <a:gd name="csX1" fmla="*/ 467588 w 719258"/>
            <a:gd name="csY1" fmla="*/ 914961 h 914960"/>
            <a:gd name="csX2" fmla="*/ 647876 w 719258"/>
            <a:gd name="csY2" fmla="*/ 763920 h 914960"/>
            <a:gd name="csX3" fmla="*/ 719259 w 719258"/>
            <a:gd name="csY3" fmla="*/ 359629 h 914960"/>
            <a:gd name="csX4" fmla="*/ 359629 w 719258"/>
            <a:gd name="csY4" fmla="*/ 0 h 914960"/>
            <a:gd name="csX5" fmla="*/ 0 w 719258"/>
            <a:gd name="csY5" fmla="*/ 359629 h 914960"/>
            <a:gd name="csX6" fmla="*/ 71383 w 719258"/>
            <a:gd name="csY6" fmla="*/ 763920 h 914960"/>
            <a:gd name="csX7" fmla="*/ 251671 w 719258"/>
            <a:gd name="csY7" fmla="*/ 914961 h 91496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Lst>
          <a:rect l="l" t="t" r="r" b="b"/>
          <a:pathLst>
            <a:path w="719258" h="914960">
              <a:moveTo>
                <a:pt x="251671" y="914961"/>
              </a:moveTo>
              <a:lnTo>
                <a:pt x="467588" y="914961"/>
              </a:lnTo>
              <a:cubicBezTo>
                <a:pt x="556336" y="914929"/>
                <a:pt x="632298" y="851291"/>
                <a:pt x="647876" y="763920"/>
              </a:cubicBezTo>
              <a:lnTo>
                <a:pt x="719259" y="359629"/>
              </a:lnTo>
              <a:cubicBezTo>
                <a:pt x="719259" y="161011"/>
                <a:pt x="558250" y="0"/>
                <a:pt x="359629" y="0"/>
              </a:cubicBezTo>
              <a:cubicBezTo>
                <a:pt x="161009" y="0"/>
                <a:pt x="0" y="161011"/>
                <a:pt x="0" y="359629"/>
              </a:cubicBezTo>
              <a:lnTo>
                <a:pt x="71383" y="763920"/>
              </a:lnTo>
              <a:cubicBezTo>
                <a:pt x="86961" y="851291"/>
                <a:pt x="162923" y="914929"/>
                <a:pt x="251671" y="914961"/>
              </a:cubicBezTo>
              <a:close/>
            </a:path>
          </a:pathLst>
        </a:custGeom>
        <a:solidFill>
          <a:srgbClr val="000000"/>
        </a:solidFill>
        <a:ln w="63103" cap="flat">
          <a:noFill/>
          <a:prstDash val="solid"/>
          <a:miter/>
        </a:ln>
      </xdr:spPr>
    </xdr:sp>
    <xdr:clientData/>
  </xdr:twoCellAnchor>
  <xdr:twoCellAnchor editAs="oneCell">
    <xdr:from>
      <xdr:col>19</xdr:col>
      <xdr:colOff>1035348</xdr:colOff>
      <xdr:row>42</xdr:row>
      <xdr:rowOff>118475</xdr:rowOff>
    </xdr:from>
    <xdr:to>
      <xdr:col>20</xdr:col>
      <xdr:colOff>391800</xdr:colOff>
      <xdr:row>43</xdr:row>
      <xdr:rowOff>167464</xdr:rowOff>
    </xdr:to>
    <xdr:sp macro="[0]!ActualizarMapaCalor" textlink="">
      <xdr:nvSpPr>
        <xdr:cNvPr id="36" name="Rodillas">
          <a:extLst>
            <a:ext uri="{FF2B5EF4-FFF2-40B4-BE49-F238E27FC236}">
              <a16:creationId xmlns:a16="http://schemas.microsoft.com/office/drawing/2014/main" id="{B9D08076-C3B8-41F7-9C26-1B1B798DF72D}"/>
            </a:ext>
          </a:extLst>
        </xdr:cNvPr>
        <xdr:cNvSpPr/>
      </xdr:nvSpPr>
      <xdr:spPr>
        <a:xfrm rot="434092">
          <a:off x="21567784" y="7683057"/>
          <a:ext cx="437107" cy="229098"/>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20</xdr:col>
      <xdr:colOff>826931</xdr:colOff>
      <xdr:row>42</xdr:row>
      <xdr:rowOff>124635</xdr:rowOff>
    </xdr:from>
    <xdr:to>
      <xdr:col>21</xdr:col>
      <xdr:colOff>186584</xdr:colOff>
      <xdr:row>43</xdr:row>
      <xdr:rowOff>173624</xdr:rowOff>
    </xdr:to>
    <xdr:sp macro="[0]!ActualizarMapaCalor" textlink="">
      <xdr:nvSpPr>
        <xdr:cNvPr id="37" name="Rodillas">
          <a:extLst>
            <a:ext uri="{FF2B5EF4-FFF2-40B4-BE49-F238E27FC236}">
              <a16:creationId xmlns:a16="http://schemas.microsoft.com/office/drawing/2014/main" id="{72BE60F8-A350-44E5-B815-1437554DEECA}"/>
            </a:ext>
          </a:extLst>
        </xdr:cNvPr>
        <xdr:cNvSpPr/>
      </xdr:nvSpPr>
      <xdr:spPr>
        <a:xfrm rot="21007094">
          <a:off x="22440022" y="7689217"/>
          <a:ext cx="440307" cy="229098"/>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19</xdr:col>
      <xdr:colOff>273155</xdr:colOff>
      <xdr:row>26</xdr:row>
      <xdr:rowOff>35075</xdr:rowOff>
    </xdr:from>
    <xdr:to>
      <xdr:col>20</xdr:col>
      <xdr:colOff>227205</xdr:colOff>
      <xdr:row>30</xdr:row>
      <xdr:rowOff>139255</xdr:rowOff>
    </xdr:to>
    <xdr:sp macro="[0]!ActualizarMapaCalor" textlink="">
      <xdr:nvSpPr>
        <xdr:cNvPr id="18" name="Brazos">
          <a:extLst>
            <a:ext uri="{FF2B5EF4-FFF2-40B4-BE49-F238E27FC236}">
              <a16:creationId xmlns:a16="http://schemas.microsoft.com/office/drawing/2014/main" id="{15C43DE6-FAE5-F1CD-C893-2334B13C8D63}"/>
            </a:ext>
          </a:extLst>
        </xdr:cNvPr>
        <xdr:cNvSpPr/>
      </xdr:nvSpPr>
      <xdr:spPr>
        <a:xfrm rot="19527444">
          <a:off x="20805591" y="4717911"/>
          <a:ext cx="1034705" cy="824617"/>
        </a:xfrm>
        <a:custGeom>
          <a:avLst/>
          <a:gdLst>
            <a:gd name="csX0" fmla="*/ 251056 w 1033326"/>
            <a:gd name="csY0" fmla="*/ 813487 h 830980"/>
            <a:gd name="csX1" fmla="*/ 699187 w 1033326"/>
            <a:gd name="csY1" fmla="*/ 536548 h 830980"/>
            <a:gd name="csX2" fmla="*/ 961913 w 1033326"/>
            <a:gd name="csY2" fmla="*/ 356765 h 830980"/>
            <a:gd name="csX3" fmla="*/ 993498 w 1033326"/>
            <a:gd name="csY3" fmla="*/ 92333 h 830980"/>
            <a:gd name="csX4" fmla="*/ 993498 w 1033326"/>
            <a:gd name="csY4" fmla="*/ 92333 h 830980"/>
            <a:gd name="csX5" fmla="*/ 735699 w 1033326"/>
            <a:gd name="csY5" fmla="*/ 25814 h 830980"/>
            <a:gd name="csX6" fmla="*/ 472973 w 1033326"/>
            <a:gd name="csY6" fmla="*/ 205598 h 830980"/>
            <a:gd name="csX7" fmla="*/ 52574 w 1033326"/>
            <a:gd name="csY7" fmla="*/ 523029 h 830980"/>
            <a:gd name="csX8" fmla="*/ 31980 w 1033326"/>
            <a:gd name="csY8" fmla="*/ 732060 h 830980"/>
            <a:gd name="csX9" fmla="*/ 49036 w 1033326"/>
            <a:gd name="csY9" fmla="*/ 756886 h 830980"/>
            <a:gd name="csX10" fmla="*/ 251056 w 1033326"/>
            <a:gd name="csY10" fmla="*/ 813487 h 83098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1033326" h="830980">
              <a:moveTo>
                <a:pt x="251056" y="813487"/>
              </a:moveTo>
              <a:lnTo>
                <a:pt x="699187" y="536548"/>
              </a:lnTo>
              <a:lnTo>
                <a:pt x="961913" y="356765"/>
              </a:lnTo>
              <a:cubicBezTo>
                <a:pt x="1043036" y="292122"/>
                <a:pt x="1057111" y="174265"/>
                <a:pt x="993498" y="92333"/>
              </a:cubicBezTo>
              <a:lnTo>
                <a:pt x="993498" y="92333"/>
              </a:lnTo>
              <a:cubicBezTo>
                <a:pt x="940365" y="3187"/>
                <a:pt x="825326" y="-26497"/>
                <a:pt x="735699" y="25814"/>
              </a:cubicBezTo>
              <a:lnTo>
                <a:pt x="472973" y="205598"/>
              </a:lnTo>
              <a:lnTo>
                <a:pt x="52574" y="523029"/>
              </a:lnTo>
              <a:cubicBezTo>
                <a:pt x="-8588" y="576244"/>
                <a:pt x="-17621" y="667930"/>
                <a:pt x="31980" y="732060"/>
              </a:cubicBezTo>
              <a:lnTo>
                <a:pt x="49036" y="756886"/>
              </a:lnTo>
              <a:cubicBezTo>
                <a:pt x="90779" y="826247"/>
                <a:pt x="179351" y="851061"/>
                <a:pt x="251056" y="813487"/>
              </a:cubicBezTo>
              <a:close/>
            </a:path>
          </a:pathLst>
        </a:custGeom>
        <a:solidFill>
          <a:srgbClr val="000000"/>
        </a:solidFill>
        <a:ln w="63103" cap="flat">
          <a:noFill/>
          <a:prstDash val="solid"/>
          <a:miter/>
        </a:ln>
      </xdr:spPr>
    </xdr:sp>
    <xdr:clientData/>
  </xdr:twoCellAnchor>
  <xdr:twoCellAnchor editAs="oneCell">
    <xdr:from>
      <xdr:col>20</xdr:col>
      <xdr:colOff>1073777</xdr:colOff>
      <xdr:row>25</xdr:row>
      <xdr:rowOff>93403</xdr:rowOff>
    </xdr:from>
    <xdr:to>
      <xdr:col>21</xdr:col>
      <xdr:colOff>848888</xdr:colOff>
      <xdr:row>31</xdr:row>
      <xdr:rowOff>9523</xdr:rowOff>
    </xdr:to>
    <xdr:sp macro="[0]!ActualizarMapaCalor" textlink="">
      <xdr:nvSpPr>
        <xdr:cNvPr id="40" name="Brazos">
          <a:extLst>
            <a:ext uri="{FF2B5EF4-FFF2-40B4-BE49-F238E27FC236}">
              <a16:creationId xmlns:a16="http://schemas.microsoft.com/office/drawing/2014/main" id="{83EA76C8-2BBC-42AE-8D6C-66095E4900A3}"/>
            </a:ext>
          </a:extLst>
        </xdr:cNvPr>
        <xdr:cNvSpPr/>
      </xdr:nvSpPr>
      <xdr:spPr>
        <a:xfrm rot="16952002">
          <a:off x="22616363" y="4666635"/>
          <a:ext cx="996775" cy="855765"/>
        </a:xfrm>
        <a:custGeom>
          <a:avLst/>
          <a:gdLst>
            <a:gd name="csX0" fmla="*/ 251056 w 1033326"/>
            <a:gd name="csY0" fmla="*/ 813487 h 830980"/>
            <a:gd name="csX1" fmla="*/ 699187 w 1033326"/>
            <a:gd name="csY1" fmla="*/ 536548 h 830980"/>
            <a:gd name="csX2" fmla="*/ 961913 w 1033326"/>
            <a:gd name="csY2" fmla="*/ 356765 h 830980"/>
            <a:gd name="csX3" fmla="*/ 993498 w 1033326"/>
            <a:gd name="csY3" fmla="*/ 92333 h 830980"/>
            <a:gd name="csX4" fmla="*/ 993498 w 1033326"/>
            <a:gd name="csY4" fmla="*/ 92333 h 830980"/>
            <a:gd name="csX5" fmla="*/ 735699 w 1033326"/>
            <a:gd name="csY5" fmla="*/ 25814 h 830980"/>
            <a:gd name="csX6" fmla="*/ 472973 w 1033326"/>
            <a:gd name="csY6" fmla="*/ 205598 h 830980"/>
            <a:gd name="csX7" fmla="*/ 52574 w 1033326"/>
            <a:gd name="csY7" fmla="*/ 523029 h 830980"/>
            <a:gd name="csX8" fmla="*/ 31980 w 1033326"/>
            <a:gd name="csY8" fmla="*/ 732060 h 830980"/>
            <a:gd name="csX9" fmla="*/ 49036 w 1033326"/>
            <a:gd name="csY9" fmla="*/ 756886 h 830980"/>
            <a:gd name="csX10" fmla="*/ 251056 w 1033326"/>
            <a:gd name="csY10" fmla="*/ 813487 h 83098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1033326" h="830980">
              <a:moveTo>
                <a:pt x="251056" y="813487"/>
              </a:moveTo>
              <a:lnTo>
                <a:pt x="699187" y="536548"/>
              </a:lnTo>
              <a:lnTo>
                <a:pt x="961913" y="356765"/>
              </a:lnTo>
              <a:cubicBezTo>
                <a:pt x="1043036" y="292122"/>
                <a:pt x="1057111" y="174265"/>
                <a:pt x="993498" y="92333"/>
              </a:cubicBezTo>
              <a:lnTo>
                <a:pt x="993498" y="92333"/>
              </a:lnTo>
              <a:cubicBezTo>
                <a:pt x="940365" y="3187"/>
                <a:pt x="825326" y="-26497"/>
                <a:pt x="735699" y="25814"/>
              </a:cubicBezTo>
              <a:lnTo>
                <a:pt x="472973" y="205598"/>
              </a:lnTo>
              <a:lnTo>
                <a:pt x="52574" y="523029"/>
              </a:lnTo>
              <a:cubicBezTo>
                <a:pt x="-8588" y="576244"/>
                <a:pt x="-17621" y="667930"/>
                <a:pt x="31980" y="732060"/>
              </a:cubicBezTo>
              <a:lnTo>
                <a:pt x="49036" y="756886"/>
              </a:lnTo>
              <a:cubicBezTo>
                <a:pt x="90779" y="826247"/>
                <a:pt x="179351" y="851061"/>
                <a:pt x="251056" y="813487"/>
              </a:cubicBezTo>
              <a:close/>
            </a:path>
          </a:pathLst>
        </a:custGeom>
        <a:solidFill>
          <a:srgbClr val="000000"/>
        </a:solidFill>
        <a:ln w="63103" cap="flat">
          <a:noFill/>
          <a:prstDash val="solid"/>
          <a:miter/>
        </a:ln>
      </xdr:spPr>
    </xdr:sp>
    <xdr:clientData/>
  </xdr:twoCellAnchor>
  <xdr:twoCellAnchor editAs="oneCell">
    <xdr:from>
      <xdr:col>19</xdr:col>
      <xdr:colOff>422299</xdr:colOff>
      <xdr:row>31</xdr:row>
      <xdr:rowOff>5579</xdr:rowOff>
    </xdr:from>
    <xdr:to>
      <xdr:col>19</xdr:col>
      <xdr:colOff>750332</xdr:colOff>
      <xdr:row>32</xdr:row>
      <xdr:rowOff>64379</xdr:rowOff>
    </xdr:to>
    <xdr:sp macro="[0]!ActualizarMapaCalor" textlink="">
      <xdr:nvSpPr>
        <xdr:cNvPr id="38" name="Codos">
          <a:extLst>
            <a:ext uri="{FF2B5EF4-FFF2-40B4-BE49-F238E27FC236}">
              <a16:creationId xmlns:a16="http://schemas.microsoft.com/office/drawing/2014/main" id="{5657A410-8D5C-4157-904E-E530ABDEB1E3}"/>
            </a:ext>
          </a:extLst>
        </xdr:cNvPr>
        <xdr:cNvSpPr/>
      </xdr:nvSpPr>
      <xdr:spPr>
        <a:xfrm rot="486154">
          <a:off x="20954735" y="5588961"/>
          <a:ext cx="328033" cy="238909"/>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21</xdr:col>
      <xdr:colOff>477327</xdr:colOff>
      <xdr:row>30</xdr:row>
      <xdr:rowOff>130248</xdr:rowOff>
    </xdr:from>
    <xdr:to>
      <xdr:col>21</xdr:col>
      <xdr:colOff>805360</xdr:colOff>
      <xdr:row>32</xdr:row>
      <xdr:rowOff>1108</xdr:rowOff>
    </xdr:to>
    <xdr:sp macro="[0]!ActualizarMapaCalor" textlink="">
      <xdr:nvSpPr>
        <xdr:cNvPr id="49" name="Codos">
          <a:extLst>
            <a:ext uri="{FF2B5EF4-FFF2-40B4-BE49-F238E27FC236}">
              <a16:creationId xmlns:a16="http://schemas.microsoft.com/office/drawing/2014/main" id="{DD932D3E-D9D6-48DC-9A75-8729C5CFF131}"/>
            </a:ext>
          </a:extLst>
        </xdr:cNvPr>
        <xdr:cNvSpPr/>
      </xdr:nvSpPr>
      <xdr:spPr>
        <a:xfrm rot="10597759">
          <a:off x="23171072" y="5533521"/>
          <a:ext cx="328033" cy="229099"/>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21</xdr:col>
      <xdr:colOff>272623</xdr:colOff>
      <xdr:row>36</xdr:row>
      <xdr:rowOff>75247</xdr:rowOff>
    </xdr:from>
    <xdr:to>
      <xdr:col>21</xdr:col>
      <xdr:colOff>621387</xdr:colOff>
      <xdr:row>38</xdr:row>
      <xdr:rowOff>8188</xdr:rowOff>
    </xdr:to>
    <xdr:sp macro="[0]!ActualizarMapaCalor" textlink="">
      <xdr:nvSpPr>
        <xdr:cNvPr id="57" name="Manos">
          <a:extLst>
            <a:ext uri="{FF2B5EF4-FFF2-40B4-BE49-F238E27FC236}">
              <a16:creationId xmlns:a16="http://schemas.microsoft.com/office/drawing/2014/main" id="{5417CF2F-AF52-F222-9A5F-2B50316D3B93}"/>
            </a:ext>
          </a:extLst>
        </xdr:cNvPr>
        <xdr:cNvSpPr/>
      </xdr:nvSpPr>
      <xdr:spPr>
        <a:xfrm>
          <a:off x="22966368" y="6559174"/>
          <a:ext cx="348764" cy="293159"/>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19</xdr:col>
      <xdr:colOff>619103</xdr:colOff>
      <xdr:row>36</xdr:row>
      <xdr:rowOff>124834</xdr:rowOff>
    </xdr:from>
    <xdr:to>
      <xdr:col>19</xdr:col>
      <xdr:colOff>973044</xdr:colOff>
      <xdr:row>38</xdr:row>
      <xdr:rowOff>67584</xdr:rowOff>
    </xdr:to>
    <xdr:sp macro="[0]!ActualizarMapaCalor" textlink="">
      <xdr:nvSpPr>
        <xdr:cNvPr id="59" name="Manos">
          <a:extLst>
            <a:ext uri="{FF2B5EF4-FFF2-40B4-BE49-F238E27FC236}">
              <a16:creationId xmlns:a16="http://schemas.microsoft.com/office/drawing/2014/main" id="{724C557B-A0DF-4323-A38F-9B5C9BCF5050}"/>
            </a:ext>
          </a:extLst>
        </xdr:cNvPr>
        <xdr:cNvSpPr/>
      </xdr:nvSpPr>
      <xdr:spPr>
        <a:xfrm>
          <a:off x="21151539" y="6608761"/>
          <a:ext cx="353941" cy="302968"/>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18</xdr:col>
      <xdr:colOff>586155</xdr:colOff>
      <xdr:row>14</xdr:row>
      <xdr:rowOff>73441</xdr:rowOff>
    </xdr:from>
    <xdr:to>
      <xdr:col>28</xdr:col>
      <xdr:colOff>788895</xdr:colOff>
      <xdr:row>16</xdr:row>
      <xdr:rowOff>76033</xdr:rowOff>
    </xdr:to>
    <xdr:sp macro="" textlink="">
      <xdr:nvSpPr>
        <xdr:cNvPr id="77" name="Rectángulo 76">
          <a:extLst>
            <a:ext uri="{FF2B5EF4-FFF2-40B4-BE49-F238E27FC236}">
              <a16:creationId xmlns:a16="http://schemas.microsoft.com/office/drawing/2014/main" id="{7841649A-BE4D-416F-A646-870509DB2F18}"/>
            </a:ext>
          </a:extLst>
        </xdr:cNvPr>
        <xdr:cNvSpPr/>
      </xdr:nvSpPr>
      <xdr:spPr>
        <a:xfrm>
          <a:off x="19989277" y="2675392"/>
          <a:ext cx="10982252" cy="374300"/>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PARTE DEL CUERPO MÁS ACCIDENTADA</a:t>
          </a:r>
        </a:p>
      </xdr:txBody>
    </xdr:sp>
    <xdr:clientData/>
  </xdr:twoCellAnchor>
  <xdr:twoCellAnchor>
    <xdr:from>
      <xdr:col>28</xdr:col>
      <xdr:colOff>952500</xdr:colOff>
      <xdr:row>14</xdr:row>
      <xdr:rowOff>38100</xdr:rowOff>
    </xdr:from>
    <xdr:to>
      <xdr:col>35</xdr:col>
      <xdr:colOff>666750</xdr:colOff>
      <xdr:row>55</xdr:row>
      <xdr:rowOff>19050</xdr:rowOff>
    </xdr:to>
    <xdr:graphicFrame macro="">
      <xdr:nvGraphicFramePr>
        <xdr:cNvPr id="79" name="Gráfico 78">
          <a:extLst>
            <a:ext uri="{FF2B5EF4-FFF2-40B4-BE49-F238E27FC236}">
              <a16:creationId xmlns:a16="http://schemas.microsoft.com/office/drawing/2014/main" id="{4C4F096A-B1E7-4CF2-8196-1AB1521F46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28</xdr:col>
      <xdr:colOff>949568</xdr:colOff>
      <xdr:row>14</xdr:row>
      <xdr:rowOff>42493</xdr:rowOff>
    </xdr:from>
    <xdr:to>
      <xdr:col>35</xdr:col>
      <xdr:colOff>674076</xdr:colOff>
      <xdr:row>16</xdr:row>
      <xdr:rowOff>144818</xdr:rowOff>
    </xdr:to>
    <xdr:sp macro="" textlink="">
      <xdr:nvSpPr>
        <xdr:cNvPr id="80" name="Rectángulo 79">
          <a:extLst>
            <a:ext uri="{FF2B5EF4-FFF2-40B4-BE49-F238E27FC236}">
              <a16:creationId xmlns:a16="http://schemas.microsoft.com/office/drawing/2014/main" id="{0EA61936-839C-4FBE-8226-239E424ACA31}"/>
            </a:ext>
          </a:extLst>
        </xdr:cNvPr>
        <xdr:cNvSpPr/>
      </xdr:nvSpPr>
      <xdr:spPr>
        <a:xfrm>
          <a:off x="31353368" y="2709493"/>
          <a:ext cx="6925408" cy="483325"/>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AGENTE CAUNSANTE DE ACCIDENTES</a:t>
          </a:r>
        </a:p>
      </xdr:txBody>
    </xdr:sp>
    <xdr:clientData/>
  </xdr:twoCellAnchor>
  <xdr:twoCellAnchor editAs="oneCell">
    <xdr:from>
      <xdr:col>25</xdr:col>
      <xdr:colOff>21861</xdr:colOff>
      <xdr:row>1</xdr:row>
      <xdr:rowOff>85715</xdr:rowOff>
    </xdr:from>
    <xdr:to>
      <xdr:col>28</xdr:col>
      <xdr:colOff>1007590</xdr:colOff>
      <xdr:row>13</xdr:row>
      <xdr:rowOff>5059</xdr:rowOff>
    </xdr:to>
    <xdr:grpSp>
      <xdr:nvGrpSpPr>
        <xdr:cNvPr id="81" name="Grupo 80">
          <a:extLst>
            <a:ext uri="{FF2B5EF4-FFF2-40B4-BE49-F238E27FC236}">
              <a16:creationId xmlns:a16="http://schemas.microsoft.com/office/drawing/2014/main" id="{88C0B1A0-2AEC-47EF-9A64-4EB88E305A4A}"/>
            </a:ext>
          </a:extLst>
        </xdr:cNvPr>
        <xdr:cNvGrpSpPr/>
      </xdr:nvGrpSpPr>
      <xdr:grpSpPr>
        <a:xfrm>
          <a:off x="27092914" y="266189"/>
          <a:ext cx="4234255" cy="2085028"/>
          <a:chOff x="25939335" y="286307"/>
          <a:chExt cx="4237615" cy="2202872"/>
        </a:xfrm>
      </xdr:grpSpPr>
      <xdr:sp macro="" textlink="">
        <xdr:nvSpPr>
          <xdr:cNvPr id="82" name="Rectángulo: esquinas redondeadas 81">
            <a:extLst>
              <a:ext uri="{FF2B5EF4-FFF2-40B4-BE49-F238E27FC236}">
                <a16:creationId xmlns:a16="http://schemas.microsoft.com/office/drawing/2014/main" id="{B1E06146-97ED-E8D5-4460-C234A812A8D7}"/>
              </a:ext>
            </a:extLst>
          </xdr:cNvPr>
          <xdr:cNvSpPr/>
        </xdr:nvSpPr>
        <xdr:spPr>
          <a:xfrm>
            <a:off x="25939335" y="286307"/>
            <a:ext cx="4237615"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83" name="CuadroTexto 82">
            <a:extLst>
              <a:ext uri="{FF2B5EF4-FFF2-40B4-BE49-F238E27FC236}">
                <a16:creationId xmlns:a16="http://schemas.microsoft.com/office/drawing/2014/main" id="{D16BB658-0435-5401-8B6B-94E18F121DC9}"/>
              </a:ext>
            </a:extLst>
          </xdr:cNvPr>
          <xdr:cNvSpPr txBox="1"/>
        </xdr:nvSpPr>
        <xdr:spPr>
          <a:xfrm>
            <a:off x="25939335" y="550651"/>
            <a:ext cx="3554581"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 ACCIDENTADO POR MES</a:t>
            </a:r>
          </a:p>
        </xdr:txBody>
      </xdr:sp>
      <xdr:sp macro="" textlink="STATS!N9">
        <xdr:nvSpPr>
          <xdr:cNvPr id="84" name="CuadroTexto 83">
            <a:extLst>
              <a:ext uri="{FF2B5EF4-FFF2-40B4-BE49-F238E27FC236}">
                <a16:creationId xmlns:a16="http://schemas.microsoft.com/office/drawing/2014/main" id="{DA5B5317-93EF-5142-2C5B-42B6DE3F2EF5}"/>
              </a:ext>
            </a:extLst>
          </xdr:cNvPr>
          <xdr:cNvSpPr txBox="1"/>
        </xdr:nvSpPr>
        <xdr:spPr>
          <a:xfrm>
            <a:off x="27042309" y="1196400"/>
            <a:ext cx="1515248" cy="715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15C68E72-36BD-4AE0-A05D-E80C10608407}"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grpSp>
    <xdr:clientData/>
  </xdr:twoCellAnchor>
  <xdr:twoCellAnchor editAs="oneCell">
    <xdr:from>
      <xdr:col>27</xdr:col>
      <xdr:colOff>872158</xdr:colOff>
      <xdr:row>5</xdr:row>
      <xdr:rowOff>53009</xdr:rowOff>
    </xdr:from>
    <xdr:to>
      <xdr:col>28</xdr:col>
      <xdr:colOff>951123</xdr:colOff>
      <xdr:row>11</xdr:row>
      <xdr:rowOff>74543</xdr:rowOff>
    </xdr:to>
    <xdr:pic>
      <xdr:nvPicPr>
        <xdr:cNvPr id="87" name="Gráfico 86" descr="Presentación con gráfico circular con relleno sólido">
          <a:extLst>
            <a:ext uri="{FF2B5EF4-FFF2-40B4-BE49-F238E27FC236}">
              <a16:creationId xmlns:a16="http://schemas.microsoft.com/office/drawing/2014/main" id="{E9C6278C-DAA2-FD8F-6F90-FFE838C15BB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0033567" y="980661"/>
          <a:ext cx="1159017" cy="1134717"/>
        </a:xfrm>
        <a:prstGeom prst="rect">
          <a:avLst/>
        </a:prstGeom>
      </xdr:spPr>
    </xdr:pic>
    <xdr:clientData/>
  </xdr:twoCellAnchor>
  <xdr:twoCellAnchor>
    <xdr:from>
      <xdr:col>4</xdr:col>
      <xdr:colOff>600024</xdr:colOff>
      <xdr:row>42</xdr:row>
      <xdr:rowOff>177998</xdr:rowOff>
    </xdr:from>
    <xdr:to>
      <xdr:col>18</xdr:col>
      <xdr:colOff>304800</xdr:colOff>
      <xdr:row>75</xdr:row>
      <xdr:rowOff>57150</xdr:rowOff>
    </xdr:to>
    <xdr:graphicFrame macro="">
      <xdr:nvGraphicFramePr>
        <xdr:cNvPr id="88" name="Gráfico 87">
          <a:extLst>
            <a:ext uri="{FF2B5EF4-FFF2-40B4-BE49-F238E27FC236}">
              <a16:creationId xmlns:a16="http://schemas.microsoft.com/office/drawing/2014/main" id="{417933B5-B721-44FD-9425-9D3BC7AC6D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xdr:col>
      <xdr:colOff>591662</xdr:colOff>
      <xdr:row>40</xdr:row>
      <xdr:rowOff>73057</xdr:rowOff>
    </xdr:from>
    <xdr:to>
      <xdr:col>18</xdr:col>
      <xdr:colOff>310054</xdr:colOff>
      <xdr:row>42</xdr:row>
      <xdr:rowOff>175381</xdr:rowOff>
    </xdr:to>
    <xdr:sp macro="" textlink="">
      <xdr:nvSpPr>
        <xdr:cNvPr id="89" name="Rectángulo 88">
          <a:extLst>
            <a:ext uri="{FF2B5EF4-FFF2-40B4-BE49-F238E27FC236}">
              <a16:creationId xmlns:a16="http://schemas.microsoft.com/office/drawing/2014/main" id="{B6AAFB77-E493-4160-9674-7376A86799D4}"/>
            </a:ext>
          </a:extLst>
        </xdr:cNvPr>
        <xdr:cNvSpPr/>
      </xdr:nvSpPr>
      <xdr:spPr>
        <a:xfrm>
          <a:off x="4921924" y="7430298"/>
          <a:ext cx="14874309" cy="470186"/>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ACCIDENTES REGISTRADOS</a:t>
          </a:r>
          <a:r>
            <a:rPr lang="es-PE" sz="2400" baseline="0">
              <a:latin typeface="Algerian" panose="04020705040A02060702" pitchFamily="82" charset="0"/>
            </a:rPr>
            <a:t> POR AREA DE TRABAJO</a:t>
          </a:r>
          <a:endParaRPr lang="es-PE" sz="2400">
            <a:latin typeface="Algerian" panose="04020705040A02060702" pitchFamily="82" charset="0"/>
          </a:endParaRPr>
        </a:p>
      </xdr:txBody>
    </xdr:sp>
    <xdr:clientData/>
  </xdr:twoCellAnchor>
  <xdr:twoCellAnchor>
    <xdr:from>
      <xdr:col>10</xdr:col>
      <xdr:colOff>914400</xdr:colOff>
      <xdr:row>16</xdr:row>
      <xdr:rowOff>38100</xdr:rowOff>
    </xdr:from>
    <xdr:to>
      <xdr:col>18</xdr:col>
      <xdr:colOff>209550</xdr:colOff>
      <xdr:row>38</xdr:row>
      <xdr:rowOff>133350</xdr:rowOff>
    </xdr:to>
    <xdr:graphicFrame macro="">
      <xdr:nvGraphicFramePr>
        <xdr:cNvPr id="90" name="Gráfico 89">
          <a:extLst>
            <a:ext uri="{FF2B5EF4-FFF2-40B4-BE49-F238E27FC236}">
              <a16:creationId xmlns:a16="http://schemas.microsoft.com/office/drawing/2014/main" id="{83813865-0366-4068-9CD0-FCC79FC069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10</xdr:col>
      <xdr:colOff>907718</xdr:colOff>
      <xdr:row>14</xdr:row>
      <xdr:rowOff>46603</xdr:rowOff>
    </xdr:from>
    <xdr:to>
      <xdr:col>18</xdr:col>
      <xdr:colOff>216876</xdr:colOff>
      <xdr:row>16</xdr:row>
      <xdr:rowOff>26241</xdr:rowOff>
    </xdr:to>
    <xdr:sp macro="" textlink="">
      <xdr:nvSpPr>
        <xdr:cNvPr id="91" name="Rectángulo 90">
          <a:extLst>
            <a:ext uri="{FF2B5EF4-FFF2-40B4-BE49-F238E27FC236}">
              <a16:creationId xmlns:a16="http://schemas.microsoft.com/office/drawing/2014/main" id="{2CF2AC29-B087-486E-A311-0351B0DF7D09}"/>
            </a:ext>
          </a:extLst>
        </xdr:cNvPr>
        <xdr:cNvSpPr/>
      </xdr:nvSpPr>
      <xdr:spPr>
        <a:xfrm>
          <a:off x="11751564" y="2590511"/>
          <a:ext cx="7984235" cy="343053"/>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 DE ACCIDENTES POR PERFIL</a:t>
          </a:r>
        </a:p>
      </xdr:txBody>
    </xdr:sp>
    <xdr:clientData/>
  </xdr:twoCellAnchor>
</xdr:wsDr>
</file>

<file path=xl/drawings/drawing3.xml><?xml version="1.0" encoding="utf-8"?>
<c:userShapes xmlns:c="http://schemas.openxmlformats.org/drawingml/2006/chart">
  <cdr:relSizeAnchor xmlns:cdr="http://schemas.openxmlformats.org/drawingml/2006/chartDrawing">
    <cdr:from>
      <cdr:x>0.6739</cdr:x>
      <cdr:y>0.53064</cdr:y>
    </cdr:from>
    <cdr:to>
      <cdr:x>0.81614</cdr:x>
      <cdr:y>0.78084</cdr:y>
    </cdr:to>
    <cdr:pic>
      <cdr:nvPicPr>
        <cdr:cNvPr id="3" name="Gráfico 2" descr="Mujer con relleno sólido">
          <a:extLst xmlns:a="http://schemas.openxmlformats.org/drawingml/2006/main">
            <a:ext uri="{FF2B5EF4-FFF2-40B4-BE49-F238E27FC236}">
              <a16:creationId xmlns:a16="http://schemas.microsoft.com/office/drawing/2014/main" id="{1F47D4C3-489E-A372-9BE5-1E8E457FD9B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4137308" y="2084947"/>
          <a:ext cx="873278" cy="983033"/>
        </a:xfrm>
        <a:prstGeom xmlns:a="http://schemas.openxmlformats.org/drawingml/2006/main" prst="rect">
          <a:avLst/>
        </a:prstGeom>
      </cdr:spPr>
    </cdr:pic>
  </cdr:relSizeAnchor>
  <cdr:relSizeAnchor xmlns:cdr="http://schemas.openxmlformats.org/drawingml/2006/chartDrawing">
    <cdr:from>
      <cdr:x>0.67383</cdr:x>
      <cdr:y>0.24942</cdr:y>
    </cdr:from>
    <cdr:to>
      <cdr:x>0.81607</cdr:x>
      <cdr:y>0.49961</cdr:y>
    </cdr:to>
    <cdr:pic>
      <cdr:nvPicPr>
        <cdr:cNvPr id="5" name="Gráfico 4" descr="Hombre con relleno sólido">
          <a:extLst xmlns:a="http://schemas.openxmlformats.org/drawingml/2006/main">
            <a:ext uri="{FF2B5EF4-FFF2-40B4-BE49-F238E27FC236}">
              <a16:creationId xmlns:a16="http://schemas.microsoft.com/office/drawing/2014/main" id="{EF9AFC63-ADAE-BCCA-767C-57FE042AC85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4136864" y="979994"/>
          <a:ext cx="873279" cy="983033"/>
        </a:xfrm>
        <a:prstGeom xmlns:a="http://schemas.openxmlformats.org/drawingml/2006/main" prst="rect">
          <a:avLst/>
        </a:prstGeom>
      </cdr:spPr>
    </cdr:pic>
  </cdr:relSizeAnchor>
</c:userShapes>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2021</xdr:rowOff>
    </xdr:from>
    <xdr:to>
      <xdr:col>30</xdr:col>
      <xdr:colOff>666750</xdr:colOff>
      <xdr:row>76</xdr:row>
      <xdr:rowOff>152400</xdr:rowOff>
    </xdr:to>
    <xdr:sp macro="" textlink="">
      <xdr:nvSpPr>
        <xdr:cNvPr id="3" name="Rectángulo: esquinas redondeadas 2">
          <a:extLst>
            <a:ext uri="{FF2B5EF4-FFF2-40B4-BE49-F238E27FC236}">
              <a16:creationId xmlns:a16="http://schemas.microsoft.com/office/drawing/2014/main" id="{B93C923B-DED9-4C77-BCAD-7E857282032D}"/>
            </a:ext>
            <a:ext uri="{147F2762-F138-4A5C-976F-8EAC2B608ADB}">
              <a16:predDERef xmlns:a16="http://schemas.microsoft.com/office/drawing/2014/main" pred="{669EDC00-6F5D-484D-A7B6-D0AB8A930D35}"/>
            </a:ext>
          </a:extLst>
        </xdr:cNvPr>
        <xdr:cNvSpPr/>
      </xdr:nvSpPr>
      <xdr:spPr>
        <a:xfrm>
          <a:off x="0" y="2021"/>
          <a:ext cx="33099375" cy="14628379"/>
        </a:xfrm>
        <a:prstGeom prst="roundRect">
          <a:avLst>
            <a:gd name="adj" fmla="val 2187"/>
          </a:avLst>
        </a:prstGeom>
        <a:gradFill flip="none" rotWithShape="1">
          <a:gsLst>
            <a:gs pos="0">
              <a:schemeClr val="accent1">
                <a:lumMod val="75000"/>
              </a:schemeClr>
            </a:gs>
            <a:gs pos="85000">
              <a:srgbClr val="779ECE"/>
            </a:gs>
            <a:gs pos="5000">
              <a:srgbClr val="4971A3"/>
            </a:gs>
            <a:gs pos="41000">
              <a:srgbClr val="5B83B4"/>
            </a:gs>
            <a:gs pos="100000">
              <a:schemeClr val="tx2">
                <a:lumMod val="40000"/>
                <a:lumOff val="60000"/>
              </a:schemeClr>
            </a:gs>
            <a:gs pos="100000">
              <a:schemeClr val="accent1">
                <a:lumMod val="60000"/>
                <a:lumOff val="40000"/>
              </a:scheme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4</xdr:col>
      <xdr:colOff>589731</xdr:colOff>
      <xdr:row>14</xdr:row>
      <xdr:rowOff>106684</xdr:rowOff>
    </xdr:from>
    <xdr:to>
      <xdr:col>10</xdr:col>
      <xdr:colOff>519817</xdr:colOff>
      <xdr:row>16</xdr:row>
      <xdr:rowOff>86322</xdr:rowOff>
    </xdr:to>
    <xdr:sp macro="" textlink="">
      <xdr:nvSpPr>
        <xdr:cNvPr id="37" name="Rectángulo 36">
          <a:extLst>
            <a:ext uri="{FF2B5EF4-FFF2-40B4-BE49-F238E27FC236}">
              <a16:creationId xmlns:a16="http://schemas.microsoft.com/office/drawing/2014/main" id="{7D52F14F-5B8B-47DE-8A65-C3EC10CA4004}"/>
            </a:ext>
          </a:extLst>
        </xdr:cNvPr>
        <xdr:cNvSpPr/>
      </xdr:nvSpPr>
      <xdr:spPr>
        <a:xfrm>
          <a:off x="4917891" y="2667004"/>
          <a:ext cx="6422326" cy="345398"/>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CAPACITADOS POR TIPO</a:t>
          </a:r>
          <a:r>
            <a:rPr lang="es-PE" sz="2000" baseline="0">
              <a:latin typeface="Algerian" panose="04020705040A02060702" pitchFamily="82" charset="0"/>
            </a:rPr>
            <a:t> DE CAPACITACIÓN</a:t>
          </a:r>
          <a:endParaRPr lang="es-PE" sz="2000">
            <a:latin typeface="Algerian" panose="04020705040A02060702" pitchFamily="82" charset="0"/>
          </a:endParaRPr>
        </a:p>
      </xdr:txBody>
    </xdr:sp>
    <xdr:clientData/>
  </xdr:twoCellAnchor>
  <xdr:twoCellAnchor>
    <xdr:from>
      <xdr:col>18</xdr:col>
      <xdr:colOff>609600</xdr:colOff>
      <xdr:row>55</xdr:row>
      <xdr:rowOff>171450</xdr:rowOff>
    </xdr:from>
    <xdr:to>
      <xdr:col>35</xdr:col>
      <xdr:colOff>685800</xdr:colOff>
      <xdr:row>57</xdr:row>
      <xdr:rowOff>107827</xdr:rowOff>
    </xdr:to>
    <xdr:sp macro="" textlink="">
      <xdr:nvSpPr>
        <xdr:cNvPr id="39" name="Rectángulo 38">
          <a:extLst>
            <a:ext uri="{FF2B5EF4-FFF2-40B4-BE49-F238E27FC236}">
              <a16:creationId xmlns:a16="http://schemas.microsoft.com/office/drawing/2014/main" id="{2926C5FF-FBE3-FCD2-1B92-6BC09EEC5506}"/>
            </a:ext>
          </a:extLst>
        </xdr:cNvPr>
        <xdr:cNvSpPr/>
      </xdr:nvSpPr>
      <xdr:spPr>
        <a:xfrm>
          <a:off x="20154900" y="10648950"/>
          <a:ext cx="18135600" cy="317377"/>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NÚMERO</a:t>
          </a:r>
          <a:r>
            <a:rPr lang="es-PE" sz="2000" baseline="0">
              <a:latin typeface="Algerian" panose="04020705040A02060702" pitchFamily="82" charset="0"/>
            </a:rPr>
            <a:t> DE CAPACITACIONES POR MES</a:t>
          </a:r>
          <a:endParaRPr lang="es-PE" sz="2000">
            <a:latin typeface="Algerian" panose="04020705040A02060702" pitchFamily="82" charset="0"/>
          </a:endParaRPr>
        </a:p>
      </xdr:txBody>
    </xdr:sp>
    <xdr:clientData/>
  </xdr:twoCellAnchor>
  <xdr:twoCellAnchor>
    <xdr:from>
      <xdr:col>18</xdr:col>
      <xdr:colOff>586154</xdr:colOff>
      <xdr:row>14</xdr:row>
      <xdr:rowOff>105507</xdr:rowOff>
    </xdr:from>
    <xdr:to>
      <xdr:col>24</xdr:col>
      <xdr:colOff>488641</xdr:colOff>
      <xdr:row>16</xdr:row>
      <xdr:rowOff>76033</xdr:rowOff>
    </xdr:to>
    <xdr:sp macro="" textlink="">
      <xdr:nvSpPr>
        <xdr:cNvPr id="61" name="Rectángulo 60">
          <a:extLst>
            <a:ext uri="{FF2B5EF4-FFF2-40B4-BE49-F238E27FC236}">
              <a16:creationId xmlns:a16="http://schemas.microsoft.com/office/drawing/2014/main" id="{4AC29038-1F6F-49DF-A34D-5F1B077351AE}"/>
            </a:ext>
          </a:extLst>
        </xdr:cNvPr>
        <xdr:cNvSpPr/>
      </xdr:nvSpPr>
      <xdr:spPr>
        <a:xfrm>
          <a:off x="20105077" y="2649415"/>
          <a:ext cx="6408795" cy="333941"/>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APTITUD DE MUJERES</a:t>
          </a:r>
        </a:p>
      </xdr:txBody>
    </xdr:sp>
    <xdr:clientData/>
  </xdr:twoCellAnchor>
  <xdr:twoCellAnchor>
    <xdr:from>
      <xdr:col>4</xdr:col>
      <xdr:colOff>591662</xdr:colOff>
      <xdr:row>40</xdr:row>
      <xdr:rowOff>73057</xdr:rowOff>
    </xdr:from>
    <xdr:to>
      <xdr:col>18</xdr:col>
      <xdr:colOff>310054</xdr:colOff>
      <xdr:row>42</xdr:row>
      <xdr:rowOff>175381</xdr:rowOff>
    </xdr:to>
    <xdr:sp macro="" textlink="">
      <xdr:nvSpPr>
        <xdr:cNvPr id="70" name="Rectángulo 69">
          <a:extLst>
            <a:ext uri="{FF2B5EF4-FFF2-40B4-BE49-F238E27FC236}">
              <a16:creationId xmlns:a16="http://schemas.microsoft.com/office/drawing/2014/main" id="{69878B5E-469A-436C-B352-2A72B2842FE4}"/>
            </a:ext>
          </a:extLst>
        </xdr:cNvPr>
        <xdr:cNvSpPr/>
      </xdr:nvSpPr>
      <xdr:spPr>
        <a:xfrm>
          <a:off x="4914280" y="7277421"/>
          <a:ext cx="14847556" cy="462542"/>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REGISTRO DE TRABAJADORES</a:t>
          </a:r>
          <a:r>
            <a:rPr lang="es-PE" sz="2400" baseline="0">
              <a:latin typeface="Algerian" panose="04020705040A02060702" pitchFamily="82" charset="0"/>
            </a:rPr>
            <a:t> Y EMOS</a:t>
          </a:r>
          <a:endParaRPr lang="es-PE" sz="2400">
            <a:latin typeface="Algerian" panose="04020705040A02060702" pitchFamily="82" charset="0"/>
          </a:endParaRPr>
        </a:p>
      </xdr:txBody>
    </xdr:sp>
    <xdr:clientData/>
  </xdr:twoCellAnchor>
  <xdr:twoCellAnchor>
    <xdr:from>
      <xdr:col>10</xdr:col>
      <xdr:colOff>1022018</xdr:colOff>
      <xdr:row>14</xdr:row>
      <xdr:rowOff>107563</xdr:rowOff>
    </xdr:from>
    <xdr:to>
      <xdr:col>18</xdr:col>
      <xdr:colOff>331176</xdr:colOff>
      <xdr:row>16</xdr:row>
      <xdr:rowOff>87201</xdr:rowOff>
    </xdr:to>
    <xdr:sp macro="" textlink="">
      <xdr:nvSpPr>
        <xdr:cNvPr id="72" name="Rectángulo 71">
          <a:extLst>
            <a:ext uri="{FF2B5EF4-FFF2-40B4-BE49-F238E27FC236}">
              <a16:creationId xmlns:a16="http://schemas.microsoft.com/office/drawing/2014/main" id="{79D4DF95-D67D-40ED-ACF3-0EE06A050AA9}"/>
            </a:ext>
          </a:extLst>
        </xdr:cNvPr>
        <xdr:cNvSpPr/>
      </xdr:nvSpPr>
      <xdr:spPr>
        <a:xfrm>
          <a:off x="11842418" y="2667883"/>
          <a:ext cx="7965478" cy="345398"/>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 DE TRABAJADORES POR ÁREA</a:t>
          </a:r>
          <a:r>
            <a:rPr lang="es-PE" sz="2000" baseline="0">
              <a:latin typeface="Algerian" panose="04020705040A02060702" pitchFamily="82" charset="0"/>
            </a:rPr>
            <a:t> DE TRABAJO</a:t>
          </a:r>
          <a:endParaRPr lang="es-PE" sz="2000">
            <a:latin typeface="Algerian" panose="04020705040A02060702" pitchFamily="82" charset="0"/>
          </a:endParaRPr>
        </a:p>
      </xdr:txBody>
    </xdr:sp>
    <xdr:clientData/>
  </xdr:twoCellAnchor>
  <xdr:twoCellAnchor>
    <xdr:from>
      <xdr:col>4</xdr:col>
      <xdr:colOff>632926</xdr:colOff>
      <xdr:row>1</xdr:row>
      <xdr:rowOff>82388</xdr:rowOff>
    </xdr:from>
    <xdr:to>
      <xdr:col>8</xdr:col>
      <xdr:colOff>853713</xdr:colOff>
      <xdr:row>13</xdr:row>
      <xdr:rowOff>0</xdr:rowOff>
    </xdr:to>
    <xdr:grpSp>
      <xdr:nvGrpSpPr>
        <xdr:cNvPr id="75" name="Grupo 74">
          <a:extLst>
            <a:ext uri="{FF2B5EF4-FFF2-40B4-BE49-F238E27FC236}">
              <a16:creationId xmlns:a16="http://schemas.microsoft.com/office/drawing/2014/main" id="{D4DFB5C7-F32C-3FE9-6AAD-3FD63763092F}"/>
            </a:ext>
          </a:extLst>
        </xdr:cNvPr>
        <xdr:cNvGrpSpPr/>
      </xdr:nvGrpSpPr>
      <xdr:grpSpPr>
        <a:xfrm>
          <a:off x="4943669" y="267445"/>
          <a:ext cx="4531530" cy="2138298"/>
          <a:chOff x="4599029" y="268658"/>
          <a:chExt cx="4540995" cy="2143238"/>
        </a:xfrm>
      </xdr:grpSpPr>
      <xdr:sp macro="" textlink="">
        <xdr:nvSpPr>
          <xdr:cNvPr id="7" name="Rectángulo: esquinas redondeadas 6">
            <a:extLst>
              <a:ext uri="{FF2B5EF4-FFF2-40B4-BE49-F238E27FC236}">
                <a16:creationId xmlns:a16="http://schemas.microsoft.com/office/drawing/2014/main" id="{717E0A6F-A4F9-D7AF-73A6-19813887573B}"/>
              </a:ext>
            </a:extLst>
          </xdr:cNvPr>
          <xdr:cNvSpPr/>
        </xdr:nvSpPr>
        <xdr:spPr>
          <a:xfrm>
            <a:off x="4846681" y="268658"/>
            <a:ext cx="4213573" cy="2143238"/>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8" name="CuadroTexto 7">
            <a:extLst>
              <a:ext uri="{FF2B5EF4-FFF2-40B4-BE49-F238E27FC236}">
                <a16:creationId xmlns:a16="http://schemas.microsoft.com/office/drawing/2014/main" id="{DAB3EC57-35AA-7634-B706-5B12D83A42F5}"/>
              </a:ext>
            </a:extLst>
          </xdr:cNvPr>
          <xdr:cNvSpPr txBox="1"/>
        </xdr:nvSpPr>
        <xdr:spPr>
          <a:xfrm>
            <a:off x="4599029" y="418977"/>
            <a:ext cx="3970984" cy="841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ctr"/>
            <a:r>
              <a:rPr lang="es-PE" sz="2400">
                <a:ln>
                  <a:noFill/>
                </a:ln>
                <a:latin typeface="Algerian" panose="04020705040A02060702" pitchFamily="82" charset="0"/>
              </a:rPr>
              <a:t>TRABAJADORES INGRESADOS</a:t>
            </a:r>
          </a:p>
        </xdr:txBody>
      </xdr:sp>
      <xdr:sp macro="" textlink="STATS!G7">
        <xdr:nvSpPr>
          <xdr:cNvPr id="10" name="CuadroTexto 9">
            <a:extLst>
              <a:ext uri="{FF2B5EF4-FFF2-40B4-BE49-F238E27FC236}">
                <a16:creationId xmlns:a16="http://schemas.microsoft.com/office/drawing/2014/main" id="{0BA19B66-DAD1-4EEB-BDEB-70D70B5A6E64}"/>
              </a:ext>
            </a:extLst>
          </xdr:cNvPr>
          <xdr:cNvSpPr txBox="1"/>
        </xdr:nvSpPr>
        <xdr:spPr>
          <a:xfrm>
            <a:off x="6164874" y="1187056"/>
            <a:ext cx="788595" cy="66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95B3E592-1708-4A4B-B96F-DB0CDB2C3326}" type="TxLink">
              <a:rPr lang="en-US" sz="6000" b="0" i="0" u="none" strike="noStrike">
                <a:solidFill>
                  <a:srgbClr val="000000"/>
                </a:solidFill>
                <a:latin typeface="Algerian" panose="04020705040A02060702" pitchFamily="82" charset="0"/>
                <a:ea typeface="Calibri"/>
                <a:cs typeface="Calibri"/>
              </a:rPr>
              <a:pPr algn="ctr"/>
              <a:t>3</a:t>
            </a:fld>
            <a:endParaRPr lang="es-PE" sz="6000">
              <a:latin typeface="Algerian" panose="04020705040A02060702" pitchFamily="82" charset="0"/>
            </a:endParaRPr>
          </a:p>
        </xdr:txBody>
      </xdr:sp>
      <xdr:pic>
        <xdr:nvPicPr>
          <xdr:cNvPr id="74" name="Gráfico 73" descr="Hombre trabajador de la construcción con relleno sólido">
            <a:extLst>
              <a:ext uri="{FF2B5EF4-FFF2-40B4-BE49-F238E27FC236}">
                <a16:creationId xmlns:a16="http://schemas.microsoft.com/office/drawing/2014/main" id="{9CF5B0DA-D4DE-FBB9-A9A3-F8C5283E4A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732644" y="702365"/>
            <a:ext cx="1407380" cy="1407380"/>
          </a:xfrm>
          <a:prstGeom prst="rect">
            <a:avLst/>
          </a:prstGeom>
        </xdr:spPr>
      </xdr:pic>
    </xdr:grpSp>
    <xdr:clientData/>
  </xdr:twoCellAnchor>
  <xdr:twoCellAnchor>
    <xdr:from>
      <xdr:col>9</xdr:col>
      <xdr:colOff>178474</xdr:colOff>
      <xdr:row>1</xdr:row>
      <xdr:rowOff>83128</xdr:rowOff>
    </xdr:from>
    <xdr:to>
      <xdr:col>12</xdr:col>
      <xdr:colOff>952307</xdr:colOff>
      <xdr:row>13</xdr:row>
      <xdr:rowOff>0</xdr:rowOff>
    </xdr:to>
    <xdr:grpSp>
      <xdr:nvGrpSpPr>
        <xdr:cNvPr id="78" name="Grupo 77">
          <a:extLst>
            <a:ext uri="{FF2B5EF4-FFF2-40B4-BE49-F238E27FC236}">
              <a16:creationId xmlns:a16="http://schemas.microsoft.com/office/drawing/2014/main" id="{01BF6730-CF92-A64D-EC9C-D9419C8AE376}"/>
            </a:ext>
          </a:extLst>
        </xdr:cNvPr>
        <xdr:cNvGrpSpPr/>
      </xdr:nvGrpSpPr>
      <xdr:grpSpPr>
        <a:xfrm>
          <a:off x="9877645" y="268185"/>
          <a:ext cx="4006891" cy="2137558"/>
          <a:chOff x="9270486" y="268658"/>
          <a:chExt cx="4008192" cy="2143238"/>
        </a:xfrm>
      </xdr:grpSpPr>
      <xdr:sp macro="" textlink="">
        <xdr:nvSpPr>
          <xdr:cNvPr id="12" name="Rectángulo: esquinas redondeadas 11">
            <a:extLst>
              <a:ext uri="{FF2B5EF4-FFF2-40B4-BE49-F238E27FC236}">
                <a16:creationId xmlns:a16="http://schemas.microsoft.com/office/drawing/2014/main" id="{0979A136-52C4-04D6-109F-C067672085E7}"/>
              </a:ext>
            </a:extLst>
          </xdr:cNvPr>
          <xdr:cNvSpPr/>
        </xdr:nvSpPr>
        <xdr:spPr>
          <a:xfrm>
            <a:off x="9277112" y="268658"/>
            <a:ext cx="3972404" cy="2143238"/>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3" name="CuadroTexto 12">
            <a:extLst>
              <a:ext uri="{FF2B5EF4-FFF2-40B4-BE49-F238E27FC236}">
                <a16:creationId xmlns:a16="http://schemas.microsoft.com/office/drawing/2014/main" id="{3C8454AF-F970-3345-1E85-6FC9632ACF89}"/>
              </a:ext>
            </a:extLst>
          </xdr:cNvPr>
          <xdr:cNvSpPr txBox="1"/>
        </xdr:nvSpPr>
        <xdr:spPr>
          <a:xfrm>
            <a:off x="9270486" y="452959"/>
            <a:ext cx="3332118" cy="66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800">
                <a:latin typeface="Algerian" panose="04020705040A02060702" pitchFamily="82" charset="0"/>
              </a:rPr>
              <a:t>TRABAJADORES ACTIVOS</a:t>
            </a:r>
          </a:p>
        </xdr:txBody>
      </xdr:sp>
      <xdr:sp macro="" textlink="STATS!H7">
        <xdr:nvSpPr>
          <xdr:cNvPr id="14" name="CuadroTexto 13">
            <a:extLst>
              <a:ext uri="{FF2B5EF4-FFF2-40B4-BE49-F238E27FC236}">
                <a16:creationId xmlns:a16="http://schemas.microsoft.com/office/drawing/2014/main" id="{A49A6409-C92F-02F3-8B12-1005862FD638}"/>
              </a:ext>
            </a:extLst>
          </xdr:cNvPr>
          <xdr:cNvSpPr txBox="1"/>
        </xdr:nvSpPr>
        <xdr:spPr>
          <a:xfrm>
            <a:off x="10617881" y="1122027"/>
            <a:ext cx="744826" cy="668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601364CC-0EB6-47AD-BCA2-D27243BAD6E7}" type="TxLink">
              <a:rPr lang="en-US" sz="6000" b="0" i="0" u="none" strike="noStrike">
                <a:solidFill>
                  <a:srgbClr val="000000"/>
                </a:solidFill>
                <a:latin typeface="Algerian" panose="04020705040A02060702" pitchFamily="82" charset="0"/>
                <a:ea typeface="Calibri"/>
                <a:cs typeface="Calibri"/>
              </a:rPr>
              <a:pPr algn="ctr"/>
              <a:t>73</a:t>
            </a:fld>
            <a:endParaRPr lang="es-PE" sz="6000">
              <a:latin typeface="Algerian" panose="04020705040A02060702" pitchFamily="82" charset="0"/>
            </a:endParaRPr>
          </a:p>
        </xdr:txBody>
      </xdr:sp>
      <xdr:pic>
        <xdr:nvPicPr>
          <xdr:cNvPr id="77" name="Gráfico 76" descr="Mujer trabajadora de la construcción con relleno sólido">
            <a:extLst>
              <a:ext uri="{FF2B5EF4-FFF2-40B4-BE49-F238E27FC236}">
                <a16:creationId xmlns:a16="http://schemas.microsoft.com/office/drawing/2014/main" id="{607CE805-2048-858F-76F9-F678037F0B0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926957" y="781879"/>
            <a:ext cx="1351721" cy="1351721"/>
          </a:xfrm>
          <a:prstGeom prst="rect">
            <a:avLst/>
          </a:prstGeom>
        </xdr:spPr>
      </xdr:pic>
    </xdr:grpSp>
    <xdr:clientData/>
  </xdr:twoCellAnchor>
  <xdr:twoCellAnchor>
    <xdr:from>
      <xdr:col>17</xdr:col>
      <xdr:colOff>1008205</xdr:colOff>
      <xdr:row>1</xdr:row>
      <xdr:rowOff>95807</xdr:rowOff>
    </xdr:from>
    <xdr:to>
      <xdr:col>21</xdr:col>
      <xdr:colOff>901333</xdr:colOff>
      <xdr:row>13</xdr:row>
      <xdr:rowOff>12679</xdr:rowOff>
    </xdr:to>
    <xdr:grpSp>
      <xdr:nvGrpSpPr>
        <xdr:cNvPr id="87" name="Grupo 86">
          <a:extLst>
            <a:ext uri="{FF2B5EF4-FFF2-40B4-BE49-F238E27FC236}">
              <a16:creationId xmlns:a16="http://schemas.microsoft.com/office/drawing/2014/main" id="{A1F1C7EA-7BAA-363E-1E5A-52113B2093BE}"/>
            </a:ext>
          </a:extLst>
        </xdr:cNvPr>
        <xdr:cNvGrpSpPr/>
      </xdr:nvGrpSpPr>
      <xdr:grpSpPr>
        <a:xfrm>
          <a:off x="19328862" y="280864"/>
          <a:ext cx="4203871" cy="2137558"/>
          <a:chOff x="17998566" y="275101"/>
          <a:chExt cx="4232045" cy="2068402"/>
        </a:xfrm>
      </xdr:grpSpPr>
      <xdr:sp macro="" textlink="">
        <xdr:nvSpPr>
          <xdr:cNvPr id="27" name="Rectángulo: esquinas redondeadas 26">
            <a:extLst>
              <a:ext uri="{FF2B5EF4-FFF2-40B4-BE49-F238E27FC236}">
                <a16:creationId xmlns:a16="http://schemas.microsoft.com/office/drawing/2014/main" id="{C059652F-63EB-3064-2D60-B661D06F42F7}"/>
              </a:ext>
            </a:extLst>
          </xdr:cNvPr>
          <xdr:cNvSpPr/>
        </xdr:nvSpPr>
        <xdr:spPr>
          <a:xfrm>
            <a:off x="17998566" y="275101"/>
            <a:ext cx="4232045" cy="206840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8" name="CuadroTexto 27">
            <a:extLst>
              <a:ext uri="{FF2B5EF4-FFF2-40B4-BE49-F238E27FC236}">
                <a16:creationId xmlns:a16="http://schemas.microsoft.com/office/drawing/2014/main" id="{320493AD-B0A6-DA36-45FD-2507AC5C41F7}"/>
              </a:ext>
            </a:extLst>
          </xdr:cNvPr>
          <xdr:cNvSpPr txBox="1"/>
        </xdr:nvSpPr>
        <xdr:spPr>
          <a:xfrm>
            <a:off x="18036540" y="514449"/>
            <a:ext cx="3469790" cy="637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TOTAL EMOS VENCIDOS</a:t>
            </a:r>
          </a:p>
        </xdr:txBody>
      </xdr:sp>
      <xdr:sp macro="" textlink="STATS!J5">
        <xdr:nvSpPr>
          <xdr:cNvPr id="29" name="CuadroTexto 28">
            <a:extLst>
              <a:ext uri="{FF2B5EF4-FFF2-40B4-BE49-F238E27FC236}">
                <a16:creationId xmlns:a16="http://schemas.microsoft.com/office/drawing/2014/main" id="{75476128-DDE6-BAE6-D933-75361C8CE09B}"/>
              </a:ext>
            </a:extLst>
          </xdr:cNvPr>
          <xdr:cNvSpPr txBox="1"/>
        </xdr:nvSpPr>
        <xdr:spPr>
          <a:xfrm>
            <a:off x="19321081" y="1101061"/>
            <a:ext cx="793508" cy="64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07C26E1D-B373-4FF0-B11F-ECC2F3FD74CF}"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80" name="Gráfico 79" descr="Portapapeles mezclado con relleno sólido">
            <a:extLst>
              <a:ext uri="{FF2B5EF4-FFF2-40B4-BE49-F238E27FC236}">
                <a16:creationId xmlns:a16="http://schemas.microsoft.com/office/drawing/2014/main" id="{27F817DE-242B-1C1E-E4DB-19C189D4544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0998927" y="910201"/>
            <a:ext cx="1170791" cy="1150044"/>
          </a:xfrm>
          <a:prstGeom prst="rect">
            <a:avLst/>
          </a:prstGeom>
        </xdr:spPr>
      </xdr:pic>
    </xdr:grpSp>
    <xdr:clientData/>
  </xdr:twoCellAnchor>
  <xdr:twoCellAnchor>
    <xdr:from>
      <xdr:col>22</xdr:col>
      <xdr:colOff>507875</xdr:colOff>
      <xdr:row>1</xdr:row>
      <xdr:rowOff>95807</xdr:rowOff>
    </xdr:from>
    <xdr:to>
      <xdr:col>26</xdr:col>
      <xdr:colOff>402091</xdr:colOff>
      <xdr:row>13</xdr:row>
      <xdr:rowOff>12679</xdr:rowOff>
    </xdr:to>
    <xdr:grpSp>
      <xdr:nvGrpSpPr>
        <xdr:cNvPr id="95" name="Grupo 94">
          <a:extLst>
            <a:ext uri="{FF2B5EF4-FFF2-40B4-BE49-F238E27FC236}">
              <a16:creationId xmlns:a16="http://schemas.microsoft.com/office/drawing/2014/main" id="{1FC28513-59DF-F9A0-551F-8C2D2073E9D5}"/>
            </a:ext>
          </a:extLst>
        </xdr:cNvPr>
        <xdr:cNvGrpSpPr/>
      </xdr:nvGrpSpPr>
      <xdr:grpSpPr>
        <a:xfrm>
          <a:off x="24216961" y="280864"/>
          <a:ext cx="4204959" cy="2137558"/>
          <a:chOff x="22488214" y="275101"/>
          <a:chExt cx="4233134" cy="2068402"/>
        </a:xfrm>
      </xdr:grpSpPr>
      <xdr:sp macro="" textlink="">
        <xdr:nvSpPr>
          <xdr:cNvPr id="32" name="Rectángulo: esquinas redondeadas 31">
            <a:extLst>
              <a:ext uri="{FF2B5EF4-FFF2-40B4-BE49-F238E27FC236}">
                <a16:creationId xmlns:a16="http://schemas.microsoft.com/office/drawing/2014/main" id="{95A1DB28-E4A7-577F-C700-EFCCD9D44A25}"/>
              </a:ext>
            </a:extLst>
          </xdr:cNvPr>
          <xdr:cNvSpPr/>
        </xdr:nvSpPr>
        <xdr:spPr>
          <a:xfrm>
            <a:off x="22488214" y="275101"/>
            <a:ext cx="4233134" cy="206840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3" name="CuadroTexto 32">
            <a:extLst>
              <a:ext uri="{FF2B5EF4-FFF2-40B4-BE49-F238E27FC236}">
                <a16:creationId xmlns:a16="http://schemas.microsoft.com/office/drawing/2014/main" id="{516ED49F-E801-3CFD-8182-7196BF12A976}"/>
              </a:ext>
            </a:extLst>
          </xdr:cNvPr>
          <xdr:cNvSpPr txBox="1"/>
        </xdr:nvSpPr>
        <xdr:spPr>
          <a:xfrm>
            <a:off x="22488214" y="523309"/>
            <a:ext cx="3550822" cy="637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400">
                <a:latin typeface="Algerian" panose="04020705040A02060702" pitchFamily="82" charset="0"/>
              </a:rPr>
              <a:t>TOTAL SIN EMO</a:t>
            </a:r>
          </a:p>
        </xdr:txBody>
      </xdr:sp>
      <xdr:sp macro="" textlink="STATS!K5">
        <xdr:nvSpPr>
          <xdr:cNvPr id="34" name="CuadroTexto 33">
            <a:extLst>
              <a:ext uri="{FF2B5EF4-FFF2-40B4-BE49-F238E27FC236}">
                <a16:creationId xmlns:a16="http://schemas.microsoft.com/office/drawing/2014/main" id="{C2E7F821-DCA0-E5DB-4474-6EE6370B14AA}"/>
              </a:ext>
            </a:extLst>
          </xdr:cNvPr>
          <xdr:cNvSpPr txBox="1"/>
        </xdr:nvSpPr>
        <xdr:spPr>
          <a:xfrm>
            <a:off x="23818708" y="1107131"/>
            <a:ext cx="793714" cy="64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439C0195-BD0C-4CF4-BAB3-9D660E0089E1}"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82" name="Gráfico 81" descr="Lista con relleno sólido">
            <a:extLst>
              <a:ext uri="{FF2B5EF4-FFF2-40B4-BE49-F238E27FC236}">
                <a16:creationId xmlns:a16="http://schemas.microsoft.com/office/drawing/2014/main" id="{45D9A590-5E11-9B6B-9E2B-45B6C51D2D2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5344409" y="841756"/>
            <a:ext cx="1262837" cy="1236748"/>
          </a:xfrm>
          <a:prstGeom prst="rect">
            <a:avLst/>
          </a:prstGeom>
        </xdr:spPr>
      </xdr:pic>
    </xdr:grpSp>
    <xdr:clientData/>
  </xdr:twoCellAnchor>
  <xdr:twoCellAnchor>
    <xdr:from>
      <xdr:col>13</xdr:col>
      <xdr:colOff>501880</xdr:colOff>
      <xdr:row>1</xdr:row>
      <xdr:rowOff>95807</xdr:rowOff>
    </xdr:from>
    <xdr:to>
      <xdr:col>17</xdr:col>
      <xdr:colOff>396095</xdr:colOff>
      <xdr:row>13</xdr:row>
      <xdr:rowOff>12679</xdr:rowOff>
    </xdr:to>
    <xdr:grpSp>
      <xdr:nvGrpSpPr>
        <xdr:cNvPr id="86" name="Grupo 85">
          <a:extLst>
            <a:ext uri="{FF2B5EF4-FFF2-40B4-BE49-F238E27FC236}">
              <a16:creationId xmlns:a16="http://schemas.microsoft.com/office/drawing/2014/main" id="{C9D45EE4-7277-8292-E0D0-2156D7DE3713}"/>
            </a:ext>
          </a:extLst>
        </xdr:cNvPr>
        <xdr:cNvGrpSpPr/>
      </xdr:nvGrpSpPr>
      <xdr:grpSpPr>
        <a:xfrm>
          <a:off x="14511794" y="280864"/>
          <a:ext cx="4204958" cy="2137558"/>
          <a:chOff x="13555614" y="275101"/>
          <a:chExt cx="4233133" cy="2068402"/>
        </a:xfrm>
      </xdr:grpSpPr>
      <xdr:sp macro="" textlink="">
        <xdr:nvSpPr>
          <xdr:cNvPr id="22" name="Rectángulo: esquinas redondeadas 21">
            <a:extLst>
              <a:ext uri="{FF2B5EF4-FFF2-40B4-BE49-F238E27FC236}">
                <a16:creationId xmlns:a16="http://schemas.microsoft.com/office/drawing/2014/main" id="{C03F0153-1931-8A4B-9661-F5DBCFA94B60}"/>
              </a:ext>
            </a:extLst>
          </xdr:cNvPr>
          <xdr:cNvSpPr/>
        </xdr:nvSpPr>
        <xdr:spPr>
          <a:xfrm>
            <a:off x="13555614" y="275101"/>
            <a:ext cx="4233133" cy="206840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3" name="CuadroTexto 22">
            <a:extLst>
              <a:ext uri="{FF2B5EF4-FFF2-40B4-BE49-F238E27FC236}">
                <a16:creationId xmlns:a16="http://schemas.microsoft.com/office/drawing/2014/main" id="{211F6D6B-3EFD-D754-9DBE-1FFF392E278C}"/>
              </a:ext>
            </a:extLst>
          </xdr:cNvPr>
          <xdr:cNvSpPr txBox="1"/>
        </xdr:nvSpPr>
        <xdr:spPr>
          <a:xfrm>
            <a:off x="13555614" y="534241"/>
            <a:ext cx="3510297" cy="637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TOTAL EMOS VIGENTES</a:t>
            </a:r>
          </a:p>
        </xdr:txBody>
      </xdr:sp>
      <xdr:sp macro="" textlink="STATS!I5">
        <xdr:nvSpPr>
          <xdr:cNvPr id="24" name="CuadroTexto 23">
            <a:extLst>
              <a:ext uri="{FF2B5EF4-FFF2-40B4-BE49-F238E27FC236}">
                <a16:creationId xmlns:a16="http://schemas.microsoft.com/office/drawing/2014/main" id="{42150332-9E86-8F50-D42E-DF1E944C2645}"/>
              </a:ext>
            </a:extLst>
          </xdr:cNvPr>
          <xdr:cNvSpPr txBox="1"/>
        </xdr:nvSpPr>
        <xdr:spPr>
          <a:xfrm>
            <a:off x="14775782" y="1120468"/>
            <a:ext cx="1066411" cy="68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E4ACCDC6-5930-4CB5-95F9-FDDBA106CF1C}" type="TxLink">
              <a:rPr lang="en-US" sz="6000" b="0" i="0" u="none" strike="noStrike">
                <a:solidFill>
                  <a:srgbClr val="000000"/>
                </a:solidFill>
                <a:latin typeface="Algerian" panose="04020705040A02060702" pitchFamily="82" charset="0"/>
                <a:ea typeface="Calibri"/>
                <a:cs typeface="Calibri"/>
              </a:rPr>
              <a:pPr algn="ctr"/>
              <a:t>114</a:t>
            </a:fld>
            <a:endParaRPr lang="es-PE" sz="6000">
              <a:latin typeface="Algerian" panose="04020705040A02060702" pitchFamily="82" charset="0"/>
            </a:endParaRPr>
          </a:p>
        </xdr:txBody>
      </xdr:sp>
      <xdr:pic>
        <xdr:nvPicPr>
          <xdr:cNvPr id="84" name="Gráfico 83" descr="Lista de comprobación con relleno sólido">
            <a:extLst>
              <a:ext uri="{FF2B5EF4-FFF2-40B4-BE49-F238E27FC236}">
                <a16:creationId xmlns:a16="http://schemas.microsoft.com/office/drawing/2014/main" id="{CD82BB2A-F5B2-E675-45C6-8123CD2BF2D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6513119" y="914400"/>
            <a:ext cx="1193536" cy="1137537"/>
          </a:xfrm>
          <a:prstGeom prst="rect">
            <a:avLst/>
          </a:prstGeom>
        </xdr:spPr>
      </xdr:pic>
    </xdr:grpSp>
    <xdr:clientData/>
  </xdr:twoCellAnchor>
  <xdr:twoCellAnchor>
    <xdr:from>
      <xdr:col>26</xdr:col>
      <xdr:colOff>931778</xdr:colOff>
      <xdr:row>1</xdr:row>
      <xdr:rowOff>104765</xdr:rowOff>
    </xdr:from>
    <xdr:to>
      <xdr:col>29</xdr:col>
      <xdr:colOff>1918628</xdr:colOff>
      <xdr:row>13</xdr:row>
      <xdr:rowOff>24109</xdr:rowOff>
    </xdr:to>
    <xdr:grpSp>
      <xdr:nvGrpSpPr>
        <xdr:cNvPr id="98" name="Grupo 97">
          <a:extLst>
            <a:ext uri="{FF2B5EF4-FFF2-40B4-BE49-F238E27FC236}">
              <a16:creationId xmlns:a16="http://schemas.microsoft.com/office/drawing/2014/main" id="{4F8CD1CC-24B6-7E1B-E61E-342844F8AD7F}"/>
            </a:ext>
          </a:extLst>
        </xdr:cNvPr>
        <xdr:cNvGrpSpPr/>
      </xdr:nvGrpSpPr>
      <xdr:grpSpPr>
        <a:xfrm>
          <a:off x="28951607" y="289822"/>
          <a:ext cx="4219907" cy="2140030"/>
          <a:chOff x="26458778" y="276215"/>
          <a:chExt cx="4244400" cy="2205344"/>
        </a:xfrm>
      </xdr:grpSpPr>
      <xdr:grpSp>
        <xdr:nvGrpSpPr>
          <xdr:cNvPr id="64" name="Grupo 63">
            <a:extLst>
              <a:ext uri="{FF2B5EF4-FFF2-40B4-BE49-F238E27FC236}">
                <a16:creationId xmlns:a16="http://schemas.microsoft.com/office/drawing/2014/main" id="{6C22C96E-8AF1-42BD-B429-6B4628789BDA}"/>
              </a:ext>
            </a:extLst>
          </xdr:cNvPr>
          <xdr:cNvGrpSpPr/>
        </xdr:nvGrpSpPr>
        <xdr:grpSpPr>
          <a:xfrm>
            <a:off x="26458778" y="276215"/>
            <a:ext cx="4244400" cy="2205344"/>
            <a:chOff x="25939335" y="286307"/>
            <a:chExt cx="4237615" cy="2202872"/>
          </a:xfrm>
        </xdr:grpSpPr>
        <xdr:sp macro="" textlink="">
          <xdr:nvSpPr>
            <xdr:cNvPr id="65" name="Rectángulo: esquinas redondeadas 64">
              <a:extLst>
                <a:ext uri="{FF2B5EF4-FFF2-40B4-BE49-F238E27FC236}">
                  <a16:creationId xmlns:a16="http://schemas.microsoft.com/office/drawing/2014/main" id="{FC09ED8B-40BA-9BCA-8BA1-E57861EE3886}"/>
                </a:ext>
              </a:extLst>
            </xdr:cNvPr>
            <xdr:cNvSpPr/>
          </xdr:nvSpPr>
          <xdr:spPr>
            <a:xfrm>
              <a:off x="25939335" y="286307"/>
              <a:ext cx="4237615"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6" name="CuadroTexto 65">
              <a:extLst>
                <a:ext uri="{FF2B5EF4-FFF2-40B4-BE49-F238E27FC236}">
                  <a16:creationId xmlns:a16="http://schemas.microsoft.com/office/drawing/2014/main" id="{0991E179-4017-C239-08DB-C877FD9E4FA2}"/>
                </a:ext>
              </a:extLst>
            </xdr:cNvPr>
            <xdr:cNvSpPr txBox="1"/>
          </xdr:nvSpPr>
          <xdr:spPr>
            <a:xfrm>
              <a:off x="26188258" y="778995"/>
              <a:ext cx="3005088" cy="335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a:latin typeface="Algerian" panose="04020705040A02060702" pitchFamily="82" charset="0"/>
                </a:rPr>
                <a:t>% EMOS ENTREGADOS AL MES</a:t>
              </a:r>
            </a:p>
          </xdr:txBody>
        </xdr:sp>
        <xdr:sp macro="" textlink="STATS!K7">
          <xdr:nvSpPr>
            <xdr:cNvPr id="67" name="CuadroTexto 66">
              <a:extLst>
                <a:ext uri="{FF2B5EF4-FFF2-40B4-BE49-F238E27FC236}">
                  <a16:creationId xmlns:a16="http://schemas.microsoft.com/office/drawing/2014/main" id="{EB3B4488-AB38-7E5F-ADDD-BC409D03A835}"/>
                </a:ext>
              </a:extLst>
            </xdr:cNvPr>
            <xdr:cNvSpPr txBox="1"/>
          </xdr:nvSpPr>
          <xdr:spPr>
            <a:xfrm>
              <a:off x="26661918" y="1234457"/>
              <a:ext cx="1846725" cy="715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961F38FE-7ADC-49AC-8427-A8397A27A17C}" type="TxLink">
                <a:rPr lang="en-US" sz="6000" b="0" i="0" u="none" strike="noStrike">
                  <a:solidFill>
                    <a:srgbClr val="000000"/>
                  </a:solidFill>
                  <a:latin typeface="Algerian" panose="04020705040A02060702" pitchFamily="82" charset="0"/>
                  <a:ea typeface="Calibri"/>
                  <a:cs typeface="Calibri"/>
                </a:rPr>
                <a:pPr algn="ctr"/>
                <a:t>#¡DIV/0!</a:t>
              </a:fld>
              <a:endParaRPr lang="es-PE" sz="6000">
                <a:latin typeface="Algerian" panose="04020705040A02060702" pitchFamily="82" charset="0"/>
              </a:endParaRPr>
            </a:p>
          </xdr:txBody>
        </xdr:sp>
      </xdr:grpSp>
      <xdr:pic>
        <xdr:nvPicPr>
          <xdr:cNvPr id="97" name="Gráfico 96" descr="Gráfico circular con relleno sólido">
            <a:extLst>
              <a:ext uri="{FF2B5EF4-FFF2-40B4-BE49-F238E27FC236}">
                <a16:creationId xmlns:a16="http://schemas.microsoft.com/office/drawing/2014/main" id="{56D67D25-E51B-7577-7DC8-FDD22C035CA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9241750" y="1047750"/>
            <a:ext cx="1276350" cy="1276350"/>
          </a:xfrm>
          <a:prstGeom prst="rect">
            <a:avLst/>
          </a:prstGeom>
        </xdr:spPr>
      </xdr:pic>
    </xdr:grpSp>
    <xdr:clientData/>
  </xdr:twoCellAnchor>
  <xdr:twoCellAnchor>
    <xdr:from>
      <xdr:col>30</xdr:col>
      <xdr:colOff>321340</xdr:colOff>
      <xdr:row>1</xdr:row>
      <xdr:rowOff>95807</xdr:rowOff>
    </xdr:from>
    <xdr:to>
      <xdr:col>35</xdr:col>
      <xdr:colOff>548594</xdr:colOff>
      <xdr:row>13</xdr:row>
      <xdr:rowOff>12679</xdr:rowOff>
    </xdr:to>
    <xdr:grpSp>
      <xdr:nvGrpSpPr>
        <xdr:cNvPr id="101" name="Grupo 100">
          <a:extLst>
            <a:ext uri="{FF2B5EF4-FFF2-40B4-BE49-F238E27FC236}">
              <a16:creationId xmlns:a16="http://schemas.microsoft.com/office/drawing/2014/main" id="{CB6AB93B-8888-BBC8-44B7-9FD7E45E1867}"/>
            </a:ext>
          </a:extLst>
        </xdr:cNvPr>
        <xdr:cNvGrpSpPr/>
      </xdr:nvGrpSpPr>
      <xdr:grpSpPr>
        <a:xfrm>
          <a:off x="33675169" y="280864"/>
          <a:ext cx="4146111" cy="2137558"/>
          <a:chOff x="33925540" y="286307"/>
          <a:chExt cx="4227754" cy="2202872"/>
        </a:xfrm>
      </xdr:grpSpPr>
      <xdr:sp macro="" textlink="">
        <xdr:nvSpPr>
          <xdr:cNvPr id="17" name="Rectángulo: esquinas redondeadas 16">
            <a:extLst>
              <a:ext uri="{FF2B5EF4-FFF2-40B4-BE49-F238E27FC236}">
                <a16:creationId xmlns:a16="http://schemas.microsoft.com/office/drawing/2014/main" id="{981ADA74-DE86-0999-64B1-027BEEBA6E5A}"/>
              </a:ext>
            </a:extLst>
          </xdr:cNvPr>
          <xdr:cNvSpPr/>
        </xdr:nvSpPr>
        <xdr:spPr>
          <a:xfrm>
            <a:off x="33925540" y="286307"/>
            <a:ext cx="4227754"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8" name="CuadroTexto 17">
            <a:extLst>
              <a:ext uri="{FF2B5EF4-FFF2-40B4-BE49-F238E27FC236}">
                <a16:creationId xmlns:a16="http://schemas.microsoft.com/office/drawing/2014/main" id="{1B662F64-B77E-D465-C80D-CCB89740BBA8}"/>
              </a:ext>
            </a:extLst>
          </xdr:cNvPr>
          <xdr:cNvSpPr txBox="1"/>
        </xdr:nvSpPr>
        <xdr:spPr>
          <a:xfrm>
            <a:off x="33925540" y="550651"/>
            <a:ext cx="3546309"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EMOS REALIZADOS</a:t>
            </a:r>
          </a:p>
        </xdr:txBody>
      </xdr:sp>
      <xdr:sp macro="" textlink="STATS!I7">
        <xdr:nvSpPr>
          <xdr:cNvPr id="19" name="CuadroTexto 18">
            <a:extLst>
              <a:ext uri="{FF2B5EF4-FFF2-40B4-BE49-F238E27FC236}">
                <a16:creationId xmlns:a16="http://schemas.microsoft.com/office/drawing/2014/main" id="{13DAB6A8-F3E9-85CD-7ADB-2AB62519F94E}"/>
              </a:ext>
            </a:extLst>
          </xdr:cNvPr>
          <xdr:cNvSpPr txBox="1"/>
        </xdr:nvSpPr>
        <xdr:spPr>
          <a:xfrm>
            <a:off x="35153423" y="1093091"/>
            <a:ext cx="1016466" cy="954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034D1FBE-B938-4B85-A43B-0E46D0CF5718}"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100" name="Gráfico 99" descr="Flecha: curva en sentido contrario de las agujas del reloj con relleno sólido">
            <a:extLst>
              <a:ext uri="{FF2B5EF4-FFF2-40B4-BE49-F238E27FC236}">
                <a16:creationId xmlns:a16="http://schemas.microsoft.com/office/drawing/2014/main" id="{F98A6B62-8915-BA07-F9B9-F3DE0D0775B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6766500" y="933450"/>
            <a:ext cx="1314450" cy="1314450"/>
          </a:xfrm>
          <a:prstGeom prst="rect">
            <a:avLst/>
          </a:prstGeom>
        </xdr:spPr>
      </xdr:pic>
    </xdr:grpSp>
    <xdr:clientData/>
  </xdr:twoCellAnchor>
  <xdr:twoCellAnchor>
    <xdr:from>
      <xdr:col>4</xdr:col>
      <xdr:colOff>599089</xdr:colOff>
      <xdr:row>43</xdr:row>
      <xdr:rowOff>1</xdr:rowOff>
    </xdr:from>
    <xdr:to>
      <xdr:col>18</xdr:col>
      <xdr:colOff>310055</xdr:colOff>
      <xdr:row>76</xdr:row>
      <xdr:rowOff>138545</xdr:rowOff>
    </xdr:to>
    <xdr:graphicFrame macro="">
      <xdr:nvGraphicFramePr>
        <xdr:cNvPr id="102" name="Gráfico 101">
          <a:extLst>
            <a:ext uri="{FF2B5EF4-FFF2-40B4-BE49-F238E27FC236}">
              <a16:creationId xmlns:a16="http://schemas.microsoft.com/office/drawing/2014/main" id="{53E64A22-54B2-4557-865E-9F6C85A40F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549854</xdr:colOff>
      <xdr:row>16</xdr:row>
      <xdr:rowOff>87189</xdr:rowOff>
    </xdr:from>
    <xdr:to>
      <xdr:col>35</xdr:col>
      <xdr:colOff>641838</xdr:colOff>
      <xdr:row>55</xdr:row>
      <xdr:rowOff>87189</xdr:rowOff>
    </xdr:to>
    <xdr:grpSp>
      <xdr:nvGrpSpPr>
        <xdr:cNvPr id="112" name="Grupo 111">
          <a:extLst>
            <a:ext uri="{FF2B5EF4-FFF2-40B4-BE49-F238E27FC236}">
              <a16:creationId xmlns:a16="http://schemas.microsoft.com/office/drawing/2014/main" id="{BCA6ECDB-FB71-48DF-065A-13C8B7962D1F}"/>
            </a:ext>
            <a:ext uri="{147F2762-F138-4A5C-976F-8EAC2B608ADB}">
              <a16:predDERef xmlns:a16="http://schemas.microsoft.com/office/drawing/2014/main" pred="{53E64A22-54B2-4557-865E-9F6C85A40F16}"/>
            </a:ext>
          </a:extLst>
        </xdr:cNvPr>
        <xdr:cNvGrpSpPr/>
      </xdr:nvGrpSpPr>
      <xdr:grpSpPr>
        <a:xfrm>
          <a:off x="19948197" y="3048103"/>
          <a:ext cx="17966327" cy="7217229"/>
          <a:chOff x="20139116" y="3124200"/>
          <a:chExt cx="18151384" cy="7429500"/>
        </a:xfrm>
      </xdr:grpSpPr>
      <xdr:grpSp>
        <xdr:nvGrpSpPr>
          <xdr:cNvPr id="111" name="Grupo 110">
            <a:extLst>
              <a:ext uri="{FF2B5EF4-FFF2-40B4-BE49-F238E27FC236}">
                <a16:creationId xmlns:a16="http://schemas.microsoft.com/office/drawing/2014/main" id="{3967AC5A-C43F-A9B0-493D-406B127EE0BD}"/>
              </a:ext>
            </a:extLst>
          </xdr:cNvPr>
          <xdr:cNvGrpSpPr/>
        </xdr:nvGrpSpPr>
        <xdr:grpSpPr>
          <a:xfrm>
            <a:off x="20139116" y="3124200"/>
            <a:ext cx="18151384" cy="7429500"/>
            <a:chOff x="20139116" y="3124200"/>
            <a:chExt cx="18151384" cy="7429500"/>
          </a:xfrm>
        </xdr:grpSpPr>
        <xdr:grpSp>
          <xdr:nvGrpSpPr>
            <xdr:cNvPr id="104" name="Grupo 103">
              <a:extLst>
                <a:ext uri="{FF2B5EF4-FFF2-40B4-BE49-F238E27FC236}">
                  <a16:creationId xmlns:a16="http://schemas.microsoft.com/office/drawing/2014/main" id="{A0E8F8F9-E69E-3AFB-12C2-503BDDD27904}"/>
                </a:ext>
              </a:extLst>
            </xdr:cNvPr>
            <xdr:cNvGrpSpPr/>
          </xdr:nvGrpSpPr>
          <xdr:grpSpPr>
            <a:xfrm>
              <a:off x="20139116" y="3124200"/>
              <a:ext cx="18151384" cy="7429500"/>
              <a:chOff x="6063978" y="11748052"/>
              <a:chExt cx="9945811" cy="2743201"/>
            </a:xfrm>
          </xdr:grpSpPr>
          <xdr:graphicFrame macro="">
            <xdr:nvGraphicFramePr>
              <xdr:cNvPr id="107" name="Gráfico 106">
                <a:extLst>
                  <a:ext uri="{FF2B5EF4-FFF2-40B4-BE49-F238E27FC236}">
                    <a16:creationId xmlns:a16="http://schemas.microsoft.com/office/drawing/2014/main" id="{B0AD20CC-A714-CA02-97F7-504037C176C6}"/>
                  </a:ext>
                </a:extLst>
              </xdr:cNvPr>
              <xdr:cNvGraphicFramePr/>
            </xdr:nvGraphicFramePr>
            <xdr:xfrm>
              <a:off x="9527669" y="11748052"/>
              <a:ext cx="3058392" cy="2743200"/>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08" name="Gráfico 107">
                <a:extLst>
                  <a:ext uri="{FF2B5EF4-FFF2-40B4-BE49-F238E27FC236}">
                    <a16:creationId xmlns:a16="http://schemas.microsoft.com/office/drawing/2014/main" id="{B1F46B0F-4B2C-C51C-F0D3-33AA8BB4321C}"/>
                  </a:ext>
                </a:extLst>
              </xdr:cNvPr>
              <xdr:cNvGraphicFramePr/>
            </xdr:nvGraphicFramePr>
            <xdr:xfrm>
              <a:off x="12545393" y="11748053"/>
              <a:ext cx="3464396" cy="27432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109" name="Gráfico 108">
                <a:extLst>
                  <a:ext uri="{FF2B5EF4-FFF2-40B4-BE49-F238E27FC236}">
                    <a16:creationId xmlns:a16="http://schemas.microsoft.com/office/drawing/2014/main" id="{712F5C2E-C0C8-35C2-2215-F22911E31F81}"/>
                  </a:ext>
                </a:extLst>
              </xdr:cNvPr>
              <xdr:cNvGraphicFramePr/>
            </xdr:nvGraphicFramePr>
            <xdr:xfrm>
              <a:off x="6063978" y="11748052"/>
              <a:ext cx="3521766" cy="2743200"/>
            </xdr:xfrm>
            <a:graphic>
              <a:graphicData uri="http://schemas.openxmlformats.org/drawingml/2006/chart">
                <c:chart xmlns:c="http://schemas.openxmlformats.org/drawingml/2006/chart" xmlns:r="http://schemas.openxmlformats.org/officeDocument/2006/relationships" r:id="rId18"/>
              </a:graphicData>
            </a:graphic>
          </xdr:graphicFrame>
        </xdr:grpSp>
        <xdr:sp macro="" textlink="">
          <xdr:nvSpPr>
            <xdr:cNvPr id="106" name="Abrir llave 105">
              <a:extLst>
                <a:ext uri="{FF2B5EF4-FFF2-40B4-BE49-F238E27FC236}">
                  <a16:creationId xmlns:a16="http://schemas.microsoft.com/office/drawing/2014/main" id="{475EA353-890D-504F-4AD2-D793E65D9826}"/>
                </a:ext>
              </a:extLst>
            </xdr:cNvPr>
            <xdr:cNvSpPr/>
          </xdr:nvSpPr>
          <xdr:spPr>
            <a:xfrm rot="10800000">
              <a:off x="31699199" y="4020552"/>
              <a:ext cx="702249" cy="5690559"/>
            </a:xfrm>
            <a:prstGeom prst="leftBrace">
              <a:avLst/>
            </a:prstGeom>
            <a:ln w="28575">
              <a:solidFill>
                <a:schemeClr val="tx1">
                  <a:lumMod val="95000"/>
                  <a:lumOff val="5000"/>
                </a:schemeClr>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PE" sz="1100"/>
            </a:p>
          </xdr:txBody>
        </xdr:sp>
      </xdr:grpSp>
      <xdr:sp macro="" textlink="">
        <xdr:nvSpPr>
          <xdr:cNvPr id="110" name="Abrir llave 109">
            <a:extLst>
              <a:ext uri="{FF2B5EF4-FFF2-40B4-BE49-F238E27FC236}">
                <a16:creationId xmlns:a16="http://schemas.microsoft.com/office/drawing/2014/main" id="{DA2D164A-C6C5-4A1E-B63C-4EDCCC53135B}"/>
              </a:ext>
            </a:extLst>
          </xdr:cNvPr>
          <xdr:cNvSpPr/>
        </xdr:nvSpPr>
        <xdr:spPr>
          <a:xfrm>
            <a:off x="26098499" y="4020552"/>
            <a:ext cx="702249" cy="5690559"/>
          </a:xfrm>
          <a:prstGeom prst="leftBrace">
            <a:avLst/>
          </a:prstGeom>
          <a:ln w="28575">
            <a:solidFill>
              <a:schemeClr val="tx1">
                <a:lumMod val="95000"/>
                <a:lumOff val="5000"/>
              </a:schemeClr>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PE" sz="1100"/>
          </a:p>
        </xdr:txBody>
      </xdr:sp>
    </xdr:grpSp>
    <xdr:clientData/>
  </xdr:twoCellAnchor>
  <xdr:twoCellAnchor>
    <xdr:from>
      <xdr:col>29</xdr:col>
      <xdr:colOff>461465</xdr:colOff>
      <xdr:row>14</xdr:row>
      <xdr:rowOff>105507</xdr:rowOff>
    </xdr:from>
    <xdr:to>
      <xdr:col>35</xdr:col>
      <xdr:colOff>679939</xdr:colOff>
      <xdr:row>16</xdr:row>
      <xdr:rowOff>89888</xdr:rowOff>
    </xdr:to>
    <xdr:sp macro="" textlink="">
      <xdr:nvSpPr>
        <xdr:cNvPr id="113" name="Rectángulo 112">
          <a:extLst>
            <a:ext uri="{FF2B5EF4-FFF2-40B4-BE49-F238E27FC236}">
              <a16:creationId xmlns:a16="http://schemas.microsoft.com/office/drawing/2014/main" id="{23E6027E-A504-43A1-8021-21441C1E3DDE}"/>
            </a:ext>
          </a:extLst>
        </xdr:cNvPr>
        <xdr:cNvSpPr/>
      </xdr:nvSpPr>
      <xdr:spPr>
        <a:xfrm>
          <a:off x="31908619" y="2649415"/>
          <a:ext cx="6285166" cy="347796"/>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APTITUD DE HOMBRES</a:t>
          </a:r>
        </a:p>
      </xdr:txBody>
    </xdr:sp>
    <xdr:clientData/>
  </xdr:twoCellAnchor>
  <xdr:twoCellAnchor>
    <xdr:from>
      <xdr:col>24</xdr:col>
      <xdr:colOff>489175</xdr:colOff>
      <xdr:row>14</xdr:row>
      <xdr:rowOff>105507</xdr:rowOff>
    </xdr:from>
    <xdr:to>
      <xdr:col>29</xdr:col>
      <xdr:colOff>484909</xdr:colOff>
      <xdr:row>16</xdr:row>
      <xdr:rowOff>81897</xdr:rowOff>
    </xdr:to>
    <xdr:sp macro="" textlink="">
      <xdr:nvSpPr>
        <xdr:cNvPr id="114" name="Rectángulo 113">
          <a:extLst>
            <a:ext uri="{FF2B5EF4-FFF2-40B4-BE49-F238E27FC236}">
              <a16:creationId xmlns:a16="http://schemas.microsoft.com/office/drawing/2014/main" id="{A96B3AFD-9A92-44A9-A908-35077602C405}"/>
            </a:ext>
          </a:extLst>
        </xdr:cNvPr>
        <xdr:cNvSpPr/>
      </xdr:nvSpPr>
      <xdr:spPr>
        <a:xfrm>
          <a:off x="26514406" y="2649415"/>
          <a:ext cx="5417657" cy="339805"/>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APTITUD DE TRABAJADORES</a:t>
          </a:r>
        </a:p>
      </xdr:txBody>
    </xdr:sp>
    <xdr:clientData/>
  </xdr:twoCellAnchor>
  <xdr:twoCellAnchor>
    <xdr:from>
      <xdr:col>18</xdr:col>
      <xdr:colOff>590550</xdr:colOff>
      <xdr:row>57</xdr:row>
      <xdr:rowOff>130629</xdr:rowOff>
    </xdr:from>
    <xdr:to>
      <xdr:col>35</xdr:col>
      <xdr:colOff>704850</xdr:colOff>
      <xdr:row>76</xdr:row>
      <xdr:rowOff>171450</xdr:rowOff>
    </xdr:to>
    <xdr:graphicFrame macro="">
      <xdr:nvGraphicFramePr>
        <xdr:cNvPr id="115" name="Gráfico 114">
          <a:extLst>
            <a:ext uri="{FF2B5EF4-FFF2-40B4-BE49-F238E27FC236}">
              <a16:creationId xmlns:a16="http://schemas.microsoft.com/office/drawing/2014/main" id="{4E1714EF-2E62-420B-9B18-839F8E7C37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10</xdr:col>
      <xdr:colOff>1021080</xdr:colOff>
      <xdr:row>16</xdr:row>
      <xdr:rowOff>68580</xdr:rowOff>
    </xdr:from>
    <xdr:to>
      <xdr:col>18</xdr:col>
      <xdr:colOff>335280</xdr:colOff>
      <xdr:row>38</xdr:row>
      <xdr:rowOff>137160</xdr:rowOff>
    </xdr:to>
    <xdr:graphicFrame macro="">
      <xdr:nvGraphicFramePr>
        <xdr:cNvPr id="6" name="Gráfico 5">
          <a:extLst>
            <a:ext uri="{FF2B5EF4-FFF2-40B4-BE49-F238E27FC236}">
              <a16:creationId xmlns:a16="http://schemas.microsoft.com/office/drawing/2014/main" id="{555AAE47-C685-490F-9C6B-4473C59E9E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583593</xdr:colOff>
      <xdr:row>16</xdr:row>
      <xdr:rowOff>83492</xdr:rowOff>
    </xdr:from>
    <xdr:to>
      <xdr:col>10</xdr:col>
      <xdr:colOff>527539</xdr:colOff>
      <xdr:row>38</xdr:row>
      <xdr:rowOff>140677</xdr:rowOff>
    </xdr:to>
    <xdr:graphicFrame macro="">
      <xdr:nvGraphicFramePr>
        <xdr:cNvPr id="9" name="Gráfico 8">
          <a:extLst>
            <a:ext uri="{FF2B5EF4-FFF2-40B4-BE49-F238E27FC236}">
              <a16:creationId xmlns:a16="http://schemas.microsoft.com/office/drawing/2014/main" id="{E776EEF4-7CC6-4A4A-9CF4-BCD869449E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41563</xdr:colOff>
      <xdr:row>0</xdr:row>
      <xdr:rowOff>41563</xdr:rowOff>
    </xdr:from>
    <xdr:to>
      <xdr:col>4</xdr:col>
      <xdr:colOff>435428</xdr:colOff>
      <xdr:row>75</xdr:row>
      <xdr:rowOff>174171</xdr:rowOff>
    </xdr:to>
    <xdr:sp macro="" textlink="">
      <xdr:nvSpPr>
        <xdr:cNvPr id="2" name="Rectángulo: esquinas redondeadas 1">
          <a:extLst>
            <a:ext uri="{FF2B5EF4-FFF2-40B4-BE49-F238E27FC236}">
              <a16:creationId xmlns:a16="http://schemas.microsoft.com/office/drawing/2014/main" id="{669EDC00-6F5D-484D-A7B6-D0AB8A930D35}"/>
            </a:ext>
          </a:extLst>
        </xdr:cNvPr>
        <xdr:cNvSpPr/>
      </xdr:nvSpPr>
      <xdr:spPr>
        <a:xfrm>
          <a:off x="41563" y="41563"/>
          <a:ext cx="4704608" cy="14011894"/>
        </a:xfrm>
        <a:prstGeom prst="roundRect">
          <a:avLst/>
        </a:prstGeom>
        <a:gradFill flip="none" rotWithShape="1">
          <a:gsLst>
            <a:gs pos="0">
              <a:schemeClr val="accent1">
                <a:shade val="30000"/>
                <a:satMod val="115000"/>
              </a:schemeClr>
            </a:gs>
            <a:gs pos="69000">
              <a:schemeClr val="accent1">
                <a:lumMod val="60000"/>
                <a:lumOff val="40000"/>
              </a:schemeClr>
            </a:gs>
            <a:gs pos="100000">
              <a:schemeClr val="accent1">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0</xdr:col>
      <xdr:colOff>110837</xdr:colOff>
      <xdr:row>35</xdr:row>
      <xdr:rowOff>76200</xdr:rowOff>
    </xdr:from>
    <xdr:to>
      <xdr:col>4</xdr:col>
      <xdr:colOff>315686</xdr:colOff>
      <xdr:row>71</xdr:row>
      <xdr:rowOff>97972</xdr:rowOff>
    </xdr:to>
    <mc:AlternateContent xmlns:mc="http://schemas.openxmlformats.org/markup-compatibility/2006" xmlns:a14="http://schemas.microsoft.com/office/drawing/2010/main">
      <mc:Choice Requires="a14">
        <xdr:graphicFrame macro="">
          <xdr:nvGraphicFramePr>
            <xdr:cNvPr id="4" name="MES 2">
              <a:extLst>
                <a:ext uri="{FF2B5EF4-FFF2-40B4-BE49-F238E27FC236}">
                  <a16:creationId xmlns:a16="http://schemas.microsoft.com/office/drawing/2014/main" id="{1701E7D1-F661-4E18-849F-CB8EABF814C2}"/>
                </a:ext>
              </a:extLst>
            </xdr:cNvPr>
            <xdr:cNvGraphicFramePr/>
          </xdr:nvGraphicFramePr>
          <xdr:xfrm>
            <a:off x="0" y="0"/>
            <a:ext cx="0" cy="0"/>
          </xdr:xfrm>
          <a:graphic>
            <a:graphicData uri="http://schemas.microsoft.com/office/drawing/2010/slicer">
              <sle:slicer xmlns:sle="http://schemas.microsoft.com/office/drawing/2010/slicer" name="MES 2"/>
            </a:graphicData>
          </a:graphic>
        </xdr:graphicFrame>
      </mc:Choice>
      <mc:Fallback xmlns="">
        <xdr:sp macro="" textlink="">
          <xdr:nvSpPr>
            <xdr:cNvPr id="0" name=""/>
            <xdr:cNvSpPr>
              <a:spLocks noTextEdit="1"/>
            </xdr:cNvSpPr>
          </xdr:nvSpPr>
          <xdr:spPr>
            <a:xfrm>
              <a:off x="110837" y="6553200"/>
              <a:ext cx="4515592" cy="6683829"/>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110837</xdr:colOff>
      <xdr:row>13</xdr:row>
      <xdr:rowOff>64942</xdr:rowOff>
    </xdr:from>
    <xdr:to>
      <xdr:col>4</xdr:col>
      <xdr:colOff>304800</xdr:colOff>
      <xdr:row>34</xdr:row>
      <xdr:rowOff>132442</xdr:rowOff>
    </xdr:to>
    <mc:AlternateContent xmlns:mc="http://schemas.openxmlformats.org/markup-compatibility/2006" xmlns:a14="http://schemas.microsoft.com/office/drawing/2010/main">
      <mc:Choice Requires="a14">
        <xdr:graphicFrame macro="">
          <xdr:nvGraphicFramePr>
            <xdr:cNvPr id="5" name="OBRA 3">
              <a:extLst>
                <a:ext uri="{FF2B5EF4-FFF2-40B4-BE49-F238E27FC236}">
                  <a16:creationId xmlns:a16="http://schemas.microsoft.com/office/drawing/2014/main" id="{7E1F617E-BA6B-4FF4-A515-6AD8701D46E8}"/>
                </a:ext>
              </a:extLst>
            </xdr:cNvPr>
            <xdr:cNvGraphicFramePr/>
          </xdr:nvGraphicFramePr>
          <xdr:xfrm>
            <a:off x="0" y="0"/>
            <a:ext cx="0" cy="0"/>
          </xdr:xfrm>
          <a:graphic>
            <a:graphicData uri="http://schemas.microsoft.com/office/drawing/2010/slicer">
              <sle:slicer xmlns:sle="http://schemas.microsoft.com/office/drawing/2010/slicer" name="OBRA 3"/>
            </a:graphicData>
          </a:graphic>
        </xdr:graphicFrame>
      </mc:Choice>
      <mc:Fallback xmlns="">
        <xdr:sp macro="" textlink="">
          <xdr:nvSpPr>
            <xdr:cNvPr id="0" name=""/>
            <xdr:cNvSpPr>
              <a:spLocks noTextEdit="1"/>
            </xdr:cNvSpPr>
          </xdr:nvSpPr>
          <xdr:spPr>
            <a:xfrm>
              <a:off x="110837" y="2470685"/>
              <a:ext cx="4504706" cy="39537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0</xdr:col>
      <xdr:colOff>141514</xdr:colOff>
      <xdr:row>2</xdr:row>
      <xdr:rowOff>141515</xdr:rowOff>
    </xdr:from>
    <xdr:to>
      <xdr:col>4</xdr:col>
      <xdr:colOff>337457</xdr:colOff>
      <xdr:row>12</xdr:row>
      <xdr:rowOff>163287</xdr:rowOff>
    </xdr:to>
    <mc:AlternateContent xmlns:mc="http://schemas.openxmlformats.org/markup-compatibility/2006" xmlns:sle15="http://schemas.microsoft.com/office/drawing/2012/slicer">
      <mc:Choice Requires="sle15">
        <xdr:graphicFrame macro="">
          <xdr:nvGraphicFramePr>
            <xdr:cNvPr id="11" name="AÑO 1">
              <a:extLst>
                <a:ext uri="{FF2B5EF4-FFF2-40B4-BE49-F238E27FC236}">
                  <a16:creationId xmlns:a16="http://schemas.microsoft.com/office/drawing/2014/main" id="{0287C798-630E-47E1-8ACA-2F4C0141E850}"/>
                </a:ext>
              </a:extLst>
            </xdr:cNvPr>
            <xdr:cNvGraphicFramePr/>
          </xdr:nvGraphicFramePr>
          <xdr:xfrm>
            <a:off x="0" y="0"/>
            <a:ext cx="0" cy="0"/>
          </xdr:xfrm>
          <a:graphic>
            <a:graphicData uri="http://schemas.microsoft.com/office/drawing/2010/slicer">
              <sle:slicer xmlns:sle="http://schemas.microsoft.com/office/drawing/2010/slicer" name="AÑO 1"/>
            </a:graphicData>
          </a:graphic>
        </xdr:graphicFrame>
      </mc:Choice>
      <mc:Fallback xmlns="">
        <xdr:sp macro="" textlink="">
          <xdr:nvSpPr>
            <xdr:cNvPr id="0" name=""/>
            <xdr:cNvSpPr>
              <a:spLocks noTextEdit="1"/>
            </xdr:cNvSpPr>
          </xdr:nvSpPr>
          <xdr:spPr>
            <a:xfrm>
              <a:off x="141514" y="511629"/>
              <a:ext cx="4506686" cy="1872344"/>
            </a:xfrm>
            <a:prstGeom prst="rect">
              <a:avLst/>
            </a:prstGeom>
            <a:solidFill>
              <a:prstClr val="white"/>
            </a:solidFill>
            <a:ln w="1">
              <a:solidFill>
                <a:prstClr val="green"/>
              </a:solidFill>
            </a:ln>
          </xdr:spPr>
          <xdr:txBody>
            <a:bodyPr vertOverflow="clip" horzOverflow="clip"/>
            <a:lstStyle/>
            <a:p>
              <a:r>
                <a:rPr lang="es-PE"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3</xdr:col>
      <xdr:colOff>891540</xdr:colOff>
      <xdr:row>9</xdr:row>
      <xdr:rowOff>76201</xdr:rowOff>
    </xdr:from>
    <xdr:to>
      <xdr:col>3</xdr:col>
      <xdr:colOff>3208020</xdr:colOff>
      <xdr:row>14</xdr:row>
      <xdr:rowOff>99061</xdr:rowOff>
    </xdr:to>
    <mc:AlternateContent xmlns:mc="http://schemas.openxmlformats.org/markup-compatibility/2006" xmlns:sle15="http://schemas.microsoft.com/office/drawing/2012/slicer">
      <mc:Choice Requires="sle15">
        <xdr:graphicFrame macro="">
          <xdr:nvGraphicFramePr>
            <xdr:cNvPr id="2" name="AÑO">
              <a:extLst>
                <a:ext uri="{FF2B5EF4-FFF2-40B4-BE49-F238E27FC236}">
                  <a16:creationId xmlns:a16="http://schemas.microsoft.com/office/drawing/2014/main" id="{BFF0382E-FA21-63E9-97B3-36E851754EAF}"/>
                </a:ext>
              </a:extLst>
            </xdr:cNvPr>
            <xdr:cNvGraphicFramePr/>
          </xdr:nvGraphicFramePr>
          <xdr:xfrm>
            <a:off x="0" y="0"/>
            <a:ext cx="0" cy="0"/>
          </xdr:xfrm>
          <a:graphic>
            <a:graphicData uri="http://schemas.microsoft.com/office/drawing/2010/slicer">
              <sle:slicer xmlns:sle="http://schemas.microsoft.com/office/drawing/2010/slicer" name="AÑO"/>
            </a:graphicData>
          </a:graphic>
        </xdr:graphicFrame>
      </mc:Choice>
      <mc:Fallback xmlns="">
        <xdr:sp macro="" textlink="">
          <xdr:nvSpPr>
            <xdr:cNvPr id="0" name=""/>
            <xdr:cNvSpPr>
              <a:spLocks noTextEdit="1"/>
            </xdr:cNvSpPr>
          </xdr:nvSpPr>
          <xdr:spPr>
            <a:xfrm>
              <a:off x="7620000" y="1722121"/>
              <a:ext cx="2316480" cy="937260"/>
            </a:xfrm>
            <a:prstGeom prst="rect">
              <a:avLst/>
            </a:prstGeom>
            <a:solidFill>
              <a:prstClr val="white"/>
            </a:solidFill>
            <a:ln w="1">
              <a:solidFill>
                <a:prstClr val="green"/>
              </a:solidFill>
            </a:ln>
          </xdr:spPr>
          <xdr:txBody>
            <a:bodyPr vertOverflow="clip" horzOverflow="clip"/>
            <a:lstStyle/>
            <a:p>
              <a:r>
                <a:rPr lang="es-PE"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6051.765251273151" createdVersion="8" refreshedVersion="8" minRefreshableVersion="3" recordCount="12" xr:uid="{7EF1DEF8-14C9-4D3C-9181-A7F76C1296E8}">
  <cacheSource type="worksheet">
    <worksheetSource name="Tabla7[MES]"/>
  </cacheSource>
  <cacheFields count="1">
    <cacheField name="MES" numFmtId="0">
      <sharedItems count="12">
        <s v="ENERO"/>
        <s v="FEBRERO"/>
        <s v="MARZO"/>
        <s v="ABRIL"/>
        <s v="MAYO"/>
        <s v="JUNIO"/>
        <s v="JULIO"/>
        <s v="AGOSTO"/>
        <s v="SEPTIEMBRE"/>
        <s v="OCTUBRE"/>
        <s v="NOVIEMBRE"/>
        <s v="DICIEMBRE"/>
      </sharedItems>
    </cacheField>
  </cacheFields>
  <extLst>
    <ext xmlns:x14="http://schemas.microsoft.com/office/spreadsheetml/2009/9/main" uri="{725AE2AE-9491-48be-B2B4-4EB974FC3084}">
      <x14:pivotCacheDefinition pivotCacheId="110306684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cupasalud central" refreshedDate="46065.828915046295" createdVersion="8" refreshedVersion="8" minRefreshableVersion="3" recordCount="5" xr:uid="{4E4E756C-4D1C-491A-BE9F-ACA10012789F}">
  <cacheSource type="worksheet">
    <worksheetSource name="Tabla9[OBRA]"/>
  </cacheSource>
  <cacheFields count="1">
    <cacheField name="OBRA" numFmtId="0">
      <sharedItems containsBlank="1" count="16">
        <s v="AGROJOSCH SOCIEDAD ANONIMA CERRADA - AGROJOSCH S.A.C."/>
        <s v="LABORATORIOS DROGAVET S.A.C."/>
        <s v="QUIMICA JOSCH SOCIEDAD ANONIMA CERRADA - QUIMICA JOSCH S.A.C."/>
        <s v="GRUPO DROGAVET S.A.C."/>
        <m/>
        <s v="GUILLERMO" u="1"/>
        <s v="FRANCISCO" u="1"/>
        <s v="MIGUEL" u="1"/>
        <s v="ANTONIO" u="1"/>
        <s v="MIRTHA" u="1"/>
        <s v="CONTACTO LABORAL" u="1"/>
        <s v="DOMODOSSOPA" u="1"/>
        <s v="IPESA" u="1"/>
        <s v="ITALTRAC" u="1"/>
        <s v="SANTA ANGELA" u="1"/>
        <s v="DOMODOSSOLA" u="1"/>
      </sharedItems>
    </cacheField>
  </cacheFields>
  <extLst>
    <ext xmlns:x14="http://schemas.microsoft.com/office/spreadsheetml/2009/9/main" uri="{725AE2AE-9491-48be-B2B4-4EB974FC3084}">
      <x14:pivotCacheDefinition pivotCacheId="91909161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6072.817910763886" createdVersion="8" refreshedVersion="8" minRefreshableVersion="3" recordCount="2" xr:uid="{ED8C0C0E-7D9E-48E2-A4DD-08964AFDA4EF}">
  <cacheSource type="worksheet">
    <worksheetSource name="Tabla14[AÑO]"/>
  </cacheSource>
  <cacheFields count="1">
    <cacheField name="AÑO" numFmtId="0">
      <sharedItems containsSemiMixedTypes="0" containsString="0" containsNumber="1" containsInteger="1" minValue="2025" maxValue="2026" count="2">
        <n v="2025"/>
        <n v="2026"/>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r>
  <r>
    <x v="1"/>
  </r>
  <r>
    <x v="2"/>
  </r>
  <r>
    <x v="3"/>
  </r>
  <r>
    <x v="4"/>
  </r>
  <r>
    <x v="5"/>
  </r>
  <r>
    <x v="6"/>
  </r>
  <r>
    <x v="7"/>
  </r>
  <r>
    <x v="8"/>
  </r>
  <r>
    <x v="9"/>
  </r>
  <r>
    <x v="10"/>
  </r>
  <r>
    <x v="1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r>
  <r>
    <x v="1"/>
  </r>
  <r>
    <x v="2"/>
  </r>
  <r>
    <x v="3"/>
  </r>
  <r>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r>
  <r>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7EC1C96-A065-4124-BB8E-A1C1FA08E5B8}" name="TablaDiná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328:B330" firstHeaderRow="1" firstDataRow="1" firstDataCol="1"/>
  <pivotFields count="1">
    <pivotField axis="axisRow" showAll="0">
      <items count="13">
        <item x="0"/>
        <item h="1" x="1"/>
        <item h="1" x="2"/>
        <item h="1" x="3"/>
        <item h="1" x="4"/>
        <item h="1" x="5"/>
        <item h="1" x="6"/>
        <item h="1" x="7"/>
        <item h="1" x="8"/>
        <item h="1" x="9"/>
        <item h="1" x="10"/>
        <item h="1" x="11"/>
        <item t="default"/>
      </items>
    </pivotField>
  </pivotFields>
  <rowFields count="1">
    <field x="0"/>
  </rowFields>
  <rowItems count="2">
    <i>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B4A9AE-CCD2-426C-B04C-0899324FE504}" name="TablaDinámica2"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C328:C330" firstHeaderRow="1" firstDataRow="1" firstDataCol="1"/>
  <pivotFields count="1">
    <pivotField axis="axisRow" showAll="0">
      <items count="17">
        <item h="1" m="1" x="10"/>
        <item h="1" m="1" x="15"/>
        <item h="1" m="1" x="12"/>
        <item h="1" m="1" x="13"/>
        <item h="1" m="1" x="14"/>
        <item h="1" m="1" x="11"/>
        <item h="1" m="1" x="5"/>
        <item h="1" m="1" x="6"/>
        <item h="1" m="1" x="7"/>
        <item h="1" m="1" x="8"/>
        <item h="1" m="1" x="9"/>
        <item h="1" x="0"/>
        <item x="1"/>
        <item h="1" x="2"/>
        <item h="1" x="3"/>
        <item h="1" x="4"/>
        <item t="default"/>
      </items>
    </pivotField>
  </pivotFields>
  <rowFields count="1">
    <field x="0"/>
  </rowFields>
  <rowItems count="2">
    <i>
      <x v="1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CD77D6-8FBF-4AF6-ADEC-CF9F4C834EFD}" name="TablaDinámica5" cacheId="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328:D331" firstHeaderRow="1" firstDataRow="1" firstDataCol="1"/>
  <pivotFields count="1">
    <pivotField axis="axisRow" showAll="0">
      <items count="3">
        <item x="0"/>
        <item x="1"/>
        <item t="default"/>
      </items>
    </pivotField>
  </pivotFields>
  <rowFields count="1">
    <field x="0"/>
  </rowFields>
  <rowItems count="3">
    <i>
      <x/>
    </i>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 xr10:uid="{4E25BBEF-8612-489A-B74E-035A917585E6}" sourceName="MES">
  <pivotTables>
    <pivotTable tabId="16" name="TablaDinámica1"/>
  </pivotTables>
  <data>
    <tabular pivotCacheId="1103066843">
      <items count="12">
        <i x="0" s="1"/>
        <i x="1"/>
        <i x="2"/>
        <i x="3"/>
        <i x="4"/>
        <i x="5"/>
        <i x="6"/>
        <i x="7"/>
        <i x="8"/>
        <i x="9"/>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OBRA1" xr10:uid="{98847F4C-D7D3-4A89-9E2B-6EEFE65143E5}" sourceName="OBRA">
  <pivotTables>
    <pivotTable tabId="16" name="TablaDinámica2"/>
  </pivotTables>
  <data>
    <tabular pivotCacheId="919091613" showMissing="0">
      <items count="16">
        <i x="0"/>
        <i x="3"/>
        <i x="1" s="1"/>
        <i x="2"/>
        <i x="4"/>
        <i x="8" nd="1"/>
        <i x="10" nd="1"/>
        <i x="15" nd="1"/>
        <i x="11" nd="1"/>
        <i x="6" nd="1"/>
        <i x="5" nd="1"/>
        <i x="12" nd="1"/>
        <i x="13" nd="1"/>
        <i x="7" nd="1"/>
        <i x="9" nd="1"/>
        <i x="14"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ÑO" xr10:uid="{08D06BF7-D84E-4BB3-81A4-6F81AB3D33BC}" sourceName="AÑO">
  <extLst>
    <x:ext xmlns:x15="http://schemas.microsoft.com/office/spreadsheetml/2010/11/main" uri="{2F2917AC-EB37-4324-AD4E-5DD8C200BD13}">
      <x15:tableSlicerCache tableId="14"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1" xr10:uid="{7E9B2D9F-224F-4CAF-9627-A189DCEF553C}" cache="SegmentaciónDeDatos_MES" caption="MES" columnCount="2" rowHeight="1008000"/>
  <slicer name="OBRA 2" xr10:uid="{1B40A5CD-4839-47CD-A582-D53A2492D63C}" cache="SegmentaciónDeDatos_OBRA1" caption="OBRA" columnCount="2" rowHeight="1188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2" xr10:uid="{3AB0480F-E187-44F5-8D90-A373D1EDF87F}" cache="SegmentaciónDeDatos_MES" caption="MES" columnCount="2" rowHeight="1008000"/>
  <slicer name="OBRA 3" xr10:uid="{8115609E-A91D-4EBC-B9E5-611DD0C648B9}" cache="SegmentaciónDeDatos_OBRA1" caption="OBRA" columnCount="2" rowHeight="1152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ÑO 1" xr10:uid="{E3DFB92D-1CAD-4FF8-92FA-3DED40AA6F69}" cache="SegmentaciónDeDatos_AÑO" caption="AÑO" rowHeight="648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ÑO" xr10:uid="{951060A2-AA37-4C3E-99F1-3563246F794C}" cache="SegmentaciónDeDatos_AÑO" caption="AÑO"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Trabajadores" displayName="tbl_Trabajadores" ref="A1:AH118" headerRowDxfId="203" dataDxfId="201" totalsRowDxfId="200" headerRowBorderDxfId="202" dataCellStyle="40% - Énfasis1">
  <autoFilter ref="A1:AH118" xr:uid="{00000000-0009-0000-0100-000001000000}"/>
  <tableColumns count="34">
    <tableColumn id="1" xr3:uid="{00000000-0010-0000-0000-000001000000}" name="WorkerID" dataDxfId="199" dataCellStyle="40% - Énfasis1">
      <calculatedColumnFormula>IF(B2&lt;&gt;"", "TR-" &amp; TEXT(1000 + ROW(A2) - 1, "0000"), "")</calculatedColumnFormula>
    </tableColumn>
    <tableColumn id="2" xr3:uid="{00000000-0010-0000-0000-000002000000}" name="DNI" dataDxfId="198" dataCellStyle="40% - Énfasis1"/>
    <tableColumn id="3" xr3:uid="{00000000-0010-0000-0000-000003000000}" name="Nombre" dataDxfId="197" dataCellStyle="40% - Énfasis1"/>
    <tableColumn id="17" xr3:uid="{00000000-0010-0000-0000-000011000000}" name="FechaNacimiento" dataDxfId="196" dataCellStyle="40% - Énfasis1"/>
    <tableColumn id="4" xr3:uid="{00000000-0010-0000-0000-000004000000}" name="Edad" dataDxfId="195" dataCellStyle="40% - Énfasis1">
      <calculatedColumnFormula>DATEDIF(D2, TODAY(), "y")</calculatedColumnFormula>
    </tableColumn>
    <tableColumn id="5" xr3:uid="{00000000-0010-0000-0000-000005000000}" name="Sexo" dataDxfId="194" dataCellStyle="40% - Énfasis1"/>
    <tableColumn id="7" xr3:uid="{00000000-0010-0000-0000-000007000000}" name="Planta" dataDxfId="193" dataCellStyle="40% - Énfasis1"/>
    <tableColumn id="10" xr3:uid="{00000000-0010-0000-0000-00000A000000}" name="Área" dataDxfId="192" dataCellStyle="40% - Énfasis1"/>
    <tableColumn id="11" xr3:uid="{00000000-0010-0000-0000-00000B000000}" name="Cargo" dataDxfId="191" dataCellStyle="40% - Énfasis1"/>
    <tableColumn id="12" xr3:uid="{00000000-0010-0000-0000-00000C000000}" name="LugarProyecto" dataDxfId="190" dataCellStyle="40% - Énfasis1"/>
    <tableColumn id="13" xr3:uid="{00000000-0010-0000-0000-00000D000000}" name="Perfil" dataDxfId="189" dataCellStyle="40% - Énfasis1"/>
    <tableColumn id="14" xr3:uid="{00000000-0010-0000-0000-00000E000000}" name="FechaIngreso" dataDxfId="188" dataCellStyle="40% - Énfasis1"/>
    <tableColumn id="6" xr3:uid="{0DBC5DA5-D6D3-4951-8041-0871B0C91F65}" name="Ultimo EMO" dataDxfId="187" totalsRowDxfId="186" dataCellStyle="40% - Énfasis1">
      <calculatedColumnFormula array="1">_xlfn.XLOOKUP(B2&amp;"", 'Registro EMO'!$C$13:$C$4558&amp;"", 'Registro EMO'!$F$13:$F$4558, "Sin registro", 0, -1)</calculatedColumnFormula>
    </tableColumn>
    <tableColumn id="16" xr3:uid="{735716E3-9366-4C67-B4CF-B40ADCA888C8}" name="Tipo de EMO" dataDxfId="185" dataCellStyle="40% - Énfasis1">
      <calculatedColumnFormula array="1">_xlfn.XLOOKUP(B2&amp;"", 'Registro EMO'!$C$13:$C$4558&amp;"", 'Registro EMO'!$E$13:$E$4558, "Sin registro", 0, -1)</calculatedColumnFormula>
    </tableColumn>
    <tableColumn id="21" xr3:uid="{AC2E396B-4053-4729-BD84-3D9AA5D5502C}" name="EMO Entregado" dataDxfId="184" dataCellStyle="40% - Énfasis1">
      <calculatedColumnFormula>IF(P2="NO", "NO", "SI")</calculatedColumnFormula>
    </tableColumn>
    <tableColumn id="32" xr3:uid="{9FB30348-D9B8-4706-9F4F-F894E43F07F8}" name="Fecha de EMO Entregado" dataDxfId="183" dataCellStyle="40% - Énfasis1">
      <calculatedColumnFormula array="1">_xlfn.LET(
    _xlpm.resultado, _xlfn.XLOOKUP(B2&amp;"", 'Registro EMO'!$C$13:$C$4558&amp;"", 'Registro EMO'!$I$13:$I$4558, "NO", 0, -1),
    IF(_xlpm.resultado=0, "NO", _xlpm.resultado)
)</calculatedColumnFormula>
    </tableColumn>
    <tableColumn id="9" xr3:uid="{ED0492CB-3415-4A9B-BCD4-6E246A4A7255}" name="Vigencia" dataDxfId="182" totalsRowDxfId="181" dataCellStyle="40% - Énfasis1">
      <calculatedColumnFormula>IF(M2="Sin registro", "Pendiente", IF(EDATE(M2, IF(K2="Oficina", 24, 12)) &gt;= TODAY(), "Vigente", "Vencido"))</calculatedColumnFormula>
    </tableColumn>
    <tableColumn id="18" xr3:uid="{094644A7-A574-4A14-932F-05E116E89A7E}" name="Fecha_EMO" dataDxfId="180" totalsRowDxfId="179" dataCellStyle="40% - Énfasis1"/>
    <tableColumn id="19" xr3:uid="{2A69A134-E0BB-46EB-BA76-70E299B45B8A}" name="Tipo_EMO" dataDxfId="178" totalsRowDxfId="177" dataCellStyle="40% - Énfasis1"/>
    <tableColumn id="23" xr3:uid="{98FEFED3-989E-42D6-88B1-826636241EF7}" name="Entregado" dataDxfId="176" totalsRowDxfId="175" dataCellStyle="40% - Énfasis1">
      <calculatedColumnFormula>IF(R2="", "", IF(U2="", "NO", "SI"))</calculatedColumnFormula>
    </tableColumn>
    <tableColumn id="33" xr3:uid="{654ED93F-EF59-40BE-A5F4-6F2B4BA43677}" name="Fecha de Entrega" dataDxfId="174" totalsRowDxfId="173" dataCellStyle="40% - Énfasis1"/>
    <tableColumn id="8" xr3:uid="{00000000-0010-0000-0000-000008000000}" name="APTITUD" dataDxfId="172" totalsRowDxfId="171" dataCellStyle="40% - Énfasis1"/>
    <tableColumn id="15" xr3:uid="{00000000-0010-0000-0000-00000F000000}" name="Observaciones" dataDxfId="170" dataCellStyle="40% - Énfasis1"/>
    <tableColumn id="24" xr3:uid="{5CD8A2FC-D00D-44D7-AFDC-E9F5BDE6A7D2}" name="Restricciones Generales" dataDxfId="169" totalsRowDxfId="168" dataCellStyle="40% - Énfasis1"/>
    <tableColumn id="25" xr3:uid="{87783041-48B5-40A0-AFB7-A059F3B7181F}" name="Programa" dataDxfId="167" totalsRowDxfId="166" dataCellStyle="40% - Énfasis1"/>
    <tableColumn id="34" xr3:uid="{82F26964-1AD7-422B-AB8A-8477923CA688}" name="Advertencia" dataDxfId="165" totalsRowDxfId="164" dataCellStyle="40% - Énfasis1"/>
    <tableColumn id="26" xr3:uid="{A1DB1F19-6D1B-477D-9CC4-11ED214A7DEA}" name="Diagnostico / INTERCONSULTA" dataDxfId="163" totalsRowDxfId="162" dataCellStyle="40% - Énfasis1"/>
    <tableColumn id="27" xr3:uid="{CE50EEF4-4576-4C85-BE98-BBF79EE67822}" name="Diagnostico / INTERCONSULTA 2" dataDxfId="161" totalsRowDxfId="160" dataCellStyle="40% - Énfasis1"/>
    <tableColumn id="28" xr3:uid="{82C6EDF1-DA75-4144-8743-81675B1C6EE0}" name="Diagnostico / INTERCONSULTA 3" dataDxfId="159" totalsRowDxfId="158" dataCellStyle="40% - Énfasis1"/>
    <tableColumn id="29" xr3:uid="{AA0895BD-34DF-4EF5-BC43-36A32D76CAF8}" name="Recomendaciones adicionales" dataDxfId="157" totalsRowDxfId="156" dataCellStyle="40% - Énfasis1"/>
    <tableColumn id="30" xr3:uid="{4E30718F-AC31-4405-895E-59E697FA9173}" name="Conclusiones M.O" dataDxfId="155" totalsRowDxfId="154" dataCellStyle="40% - Énfasis1"/>
    <tableColumn id="20" xr3:uid="{B4F45C76-68DF-41F2-8778-6614FAAC9987}" name="Tipo Capacitación" dataDxfId="153" totalsRowDxfId="152" dataCellStyle="40% - Énfasis1"/>
    <tableColumn id="22" xr3:uid="{3AAE2613-A14C-4A9C-BABA-9A3681A9E921}" name="Fecha Capacitación" dataDxfId="151" totalsRowDxfId="150" dataCellStyle="40% - Énfasis1"/>
    <tableColumn id="31" xr3:uid="{6AC22959-BA5B-4336-AAB1-49B08C37117E}" name="Validación" dataDxfId="149" totalsRowDxfId="148" dataCellStyle="40% - Énfasis1"/>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Accidentes" displayName="tbl_Accidentes" ref="A1:O2" headerRowDxfId="147" dataDxfId="145" totalsRowDxfId="144" headerRowBorderDxfId="146" dataCellStyle="40% - Énfasis1">
  <autoFilter ref="A1:O2" xr:uid="{00000000-0009-0000-0100-000002000000}"/>
  <tableColumns count="15">
    <tableColumn id="1" xr3:uid="{00000000-0010-0000-0100-000001000000}" name="AccidenteID" dataDxfId="143" dataCellStyle="40% - Énfasis1">
      <calculatedColumnFormula>IF(B2&lt;&gt;"", "ACC-" &amp; TEXT(4000 + ROW(A2) - 1, "0000"), "")</calculatedColumnFormula>
    </tableColumn>
    <tableColumn id="9" xr3:uid="{00000000-0010-0000-0100-000009000000}" name="Nombre" dataDxfId="142" dataCellStyle="40% - Énfasis1"/>
    <tableColumn id="2" xr3:uid="{00000000-0010-0000-0100-000002000000}" name="DNI" dataDxfId="141" dataCellStyle="40% - Énfasis1"/>
    <tableColumn id="3" xr3:uid="{00000000-0010-0000-0100-000003000000}" name="Fecha" dataDxfId="140" dataCellStyle="40% - Énfasis1"/>
    <tableColumn id="4" xr3:uid="{00000000-0010-0000-0100-000004000000}" name="ParteCuerpo" dataDxfId="139" dataCellStyle="40% - Énfasis1"/>
    <tableColumn id="5" xr3:uid="{00000000-0010-0000-0100-000005000000}" name="Agente" dataDxfId="138" dataCellStyle="40% - Énfasis1"/>
    <tableColumn id="6" xr3:uid="{00000000-0010-0000-0100-000006000000}" name="Diagnóstico" dataDxfId="137" dataCellStyle="40% - Énfasis1"/>
    <tableColumn id="7" xr3:uid="{DDF3A0D6-BD3D-4AFF-81FC-75B53F713EB2}" name="Médico Tratante" dataDxfId="136" dataCellStyle="40% - Énfasis1"/>
    <tableColumn id="13" xr3:uid="{DC591CA9-740D-4EAA-99C0-CA4E939394EE}" name="Requiere Cirugía" dataDxfId="135" dataCellStyle="40% - Énfasis1"/>
    <tableColumn id="10" xr3:uid="{00000000-0010-0000-0100-00000A000000}" name="Clínica" dataDxfId="134" dataCellStyle="40% - Énfasis1"/>
    <tableColumn id="8" xr3:uid="{00000000-0010-0000-0100-000008000000}" name="Declaración_Accidentado" dataDxfId="133" dataCellStyle="40% - Énfasis1"/>
    <tableColumn id="11" xr3:uid="{57D21AC7-C1C5-47D2-9A5F-A6A28D76F384}" name="Tipo Ausencia" dataDxfId="132" totalsRowDxfId="131" dataCellStyle="40% - Énfasis1"/>
    <tableColumn id="14" xr3:uid="{03D81CF2-A970-4915-A5AE-0F49372E5D31}" name="Fecha_Inicio" dataDxfId="130" totalsRowDxfId="129" dataCellStyle="40% - Énfasis1"/>
    <tableColumn id="12" xr3:uid="{5CA25D2D-1945-4771-BD05-C2A838DCB4AF}" name="Días perdidos" dataDxfId="128" totalsRowDxfId="127" dataCellStyle="40% - Énfasis1"/>
    <tableColumn id="15" xr3:uid="{0892B97F-726D-434E-9DB8-D4B60E6DBF20}" name="Aptitud de Reincorporación" dataDxfId="126" totalsRowDxfId="125" dataCellStyle="40% - Énfasis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Atenciones" displayName="tbl_Atenciones" ref="A1:P7" headerRowDxfId="124" dataDxfId="122" totalsRowDxfId="121" headerRowBorderDxfId="123" dataCellStyle="40% - Énfasis1">
  <autoFilter ref="A1:P7" xr:uid="{00000000-000C-0000-FFFF-FFFF02000000}"/>
  <tableColumns count="16">
    <tableColumn id="1" xr3:uid="{00000000-0010-0000-0200-000001000000}" name="AtencionID" dataDxfId="120" dataCellStyle="40% - Énfasis1">
      <calculatedColumnFormula>IF(B2&lt;&gt;"", "ATE-" &amp; TEXT(5000 + ROW(A2) - 1, "0000"), "")</calculatedColumnFormula>
    </tableColumn>
    <tableColumn id="8" xr3:uid="{00000000-0010-0000-0200-000008000000}" name="Nombre" dataDxfId="119" dataCellStyle="40% - Énfasis1"/>
    <tableColumn id="2" xr3:uid="{00000000-0010-0000-0200-000002000000}" name="DNI" dataDxfId="118" dataCellStyle="40% - Énfasis1">
      <calculatedColumnFormula>IF(B2="", "", _xlfn.XLOOKUP(B2, tbl_Trabajadores[Nombre], tbl_Trabajadores[DNI], ""))</calculatedColumnFormula>
    </tableColumn>
    <tableColumn id="3" xr3:uid="{00000000-0010-0000-0200-000003000000}" name="Fecha" dataDxfId="117" dataCellStyle="40% - Énfasis1"/>
    <tableColumn id="4" xr3:uid="{00000000-0010-0000-0200-000004000000}" name="Motivo de Atención" dataDxfId="116" dataCellStyle="40% - Énfasis1"/>
    <tableColumn id="6" xr3:uid="{1E629F73-E3C0-463A-AF49-E63047D10AAE}" name="Diagnóstico" dataDxfId="115" dataCellStyle="40% - Énfasis1"/>
    <tableColumn id="7" xr3:uid="{298CF1D6-EAE4-400D-A4D4-0EB616469CB2}" name="Tratamiento" dataDxfId="114" dataCellStyle="40% - Énfasis1"/>
    <tableColumn id="5" xr3:uid="{60F8AAD7-FCDB-4CBD-AEEB-EF6977BABA9E}" name="AccidenteID" dataDxfId="113" totalsRowDxfId="112" dataCellStyle="40% - Énfasis2"/>
    <tableColumn id="10" xr3:uid="{1C2BBFE7-1DF1-46BE-8CC3-70514CF21317}" name="Cirugía" dataDxfId="111" totalsRowDxfId="110" dataCellStyle="40% - Énfasis2"/>
    <tableColumn id="11" xr3:uid="{1F775D00-3B49-451A-9A87-AD4541CFB05F}" name="Diagnóstico Accidente" dataDxfId="109" totalsRowDxfId="108" dataCellStyle="40% - Énfasis2"/>
    <tableColumn id="9" xr3:uid="{237A681E-F747-4637-979F-8836AA2DF431}" name="Clinica" dataDxfId="107" totalsRowDxfId="106" dataCellStyle="40% - Énfasis2"/>
    <tableColumn id="20" xr3:uid="{15184EFC-9F56-4B47-BE37-E8A2641CC59A}" name="Médico Tratante" dataDxfId="105" totalsRowDxfId="104" dataCellStyle="40% - Énfasis2"/>
    <tableColumn id="12" xr3:uid="{F8D249ED-F245-407A-976C-2A1C7EC36900}" name="Tipo Ausencia" dataDxfId="103" totalsRowDxfId="102" dataCellStyle="40% - Énfasis2"/>
    <tableColumn id="13" xr3:uid="{96F2B202-7675-464C-96CD-F120A93F63CD}" name="Fecha Inicio" dataDxfId="101" totalsRowDxfId="100" dataCellStyle="40% - Énfasis2"/>
    <tableColumn id="14" xr3:uid="{97E356FB-A987-486F-9FC3-E7900CA1A265}" name="Días perdidos" dataDxfId="99" totalsRowDxfId="98" dataCellStyle="40% - Énfasis2"/>
    <tableColumn id="15" xr3:uid="{AD378EAD-668D-4C2D-AF6A-995F21D2DD49}" name="Aptitud de Reincorporación" dataDxfId="97" totalsRowDxfId="96" dataCellStyle="40% - Énfasis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bl_Vacunaciones" displayName="tbl_Vacunaciones" ref="A1:E2" headerRowDxfId="95" dataDxfId="93" totalsRowDxfId="92" headerRowBorderDxfId="94">
  <autoFilter ref="A1:E2" xr:uid="{00000000-0009-0000-0100-000006000000}"/>
  <tableColumns count="5">
    <tableColumn id="1" xr3:uid="{00000000-0010-0000-0500-000001000000}" name="VacunacionID" dataDxfId="91">
      <calculatedColumnFormula>IF(B2&lt;&gt;"", "VAC-" &amp; TEXT(10000 + ROW(A2) - 1, "0000"), "")</calculatedColumnFormula>
    </tableColumn>
    <tableColumn id="4" xr3:uid="{00000000-0010-0000-0500-000004000000}" name="Nombre" dataDxfId="90"/>
    <tableColumn id="2" xr3:uid="{00000000-0010-0000-0500-000002000000}" name="DNI" dataDxfId="89">
      <calculatedColumnFormula>IF(B2="", "", _xlfn.XLOOKUP(B2, tbl_Trabajadores[Nombre], tbl_Trabajadores[DNI], ""))</calculatedColumnFormula>
    </tableColumn>
    <tableColumn id="3" xr3:uid="{00000000-0010-0000-0500-000003000000}" name="Vacuna" dataDxfId="88"/>
    <tableColumn id="5" xr3:uid="{00000000-0010-0000-0500-000005000000}" name="Fecha" dataDxfId="8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_Seguimiento_Vigilancia" displayName="Tabla_Seguimiento_Vigilancia" ref="A1:L2" totalsRowShown="0" headerRowDxfId="86" dataDxfId="84" headerRowBorderDxfId="85" dataCellStyle="40% - Énfasis1">
  <autoFilter ref="A1:L2" xr:uid="{00000000-0009-0000-0100-000004000000}"/>
  <tableColumns count="12">
    <tableColumn id="1" xr3:uid="{00000000-0010-0000-0300-000001000000}" name="SeguimientoID" dataDxfId="83" dataCellStyle="40% - Énfasis1">
      <calculatedColumnFormula>IF(B2&lt;&gt;"", "SEG-" &amp; TEXT(8000 + ROW(A2) - 1, "0000"), "")</calculatedColumnFormula>
    </tableColumn>
    <tableColumn id="2" xr3:uid="{00000000-0010-0000-0300-000002000000}" name="AccidenteID" dataDxfId="82" dataCellStyle="40% - Énfasis1"/>
    <tableColumn id="10" xr3:uid="{00000000-0010-0000-0300-00000A000000}" name="Nombre" dataDxfId="81" dataCellStyle="40% - Énfasis1"/>
    <tableColumn id="3" xr3:uid="{00000000-0010-0000-0300-000003000000}" name="DNI" dataDxfId="80" dataCellStyle="40% - Énfasis1"/>
    <tableColumn id="4" xr3:uid="{00000000-0010-0000-0300-000004000000}" name="Parte_Cuerpo" dataDxfId="79" dataCellStyle="40% - Énfasis1"/>
    <tableColumn id="6" xr3:uid="{00000000-0010-0000-0300-000006000000}" name="Fecha" dataDxfId="78" dataCellStyle="40% - Énfasis1"/>
    <tableColumn id="5" xr3:uid="{00000000-0010-0000-0300-000005000000}" name="Cirugía" dataDxfId="77" dataCellStyle="40% - Énfasis1"/>
    <tableColumn id="12" xr3:uid="{0C099E59-5343-4F33-A824-F7C2F7C9F446}" name="Clinica" dataDxfId="76" dataCellStyle="40% - Énfasis1"/>
    <tableColumn id="11" xr3:uid="{0BC71936-7B66-4926-9520-42FBE193B82F}" name="Medico Tratante" dataDxfId="75" dataCellStyle="40% - Énfasis1"/>
    <tableColumn id="7" xr3:uid="{00000000-0010-0000-0300-000007000000}" name="Diagnostico" dataDxfId="74" dataCellStyle="40% - Énfasis1"/>
    <tableColumn id="8" xr3:uid="{00000000-0010-0000-0300-000008000000}" name="DM" dataDxfId="73" dataCellStyle="40% - Énfasis1"/>
    <tableColumn id="9" xr3:uid="{00000000-0010-0000-0300-000009000000}" name="Evidencia" dataDxfId="72" dataCellStyle="40% - Énfasis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bl_Programaciones" displayName="tbl_Programaciones" ref="A1:J2" headerRowDxfId="71" dataDxfId="69" totalsRowDxfId="68" headerRowBorderDxfId="70" dataCellStyle="40% - Énfasis1">
  <autoFilter ref="A1:J2" xr:uid="{00000000-0009-0000-0100-000008000000}"/>
  <tableColumns count="10">
    <tableColumn id="1" xr3:uid="{00000000-0010-0000-0700-000001000000}" name="ProgramacionID" dataDxfId="67" dataCellStyle="40% - Énfasis1">
      <calculatedColumnFormula>IF(B2&lt;&gt;"", "PRG-" &amp; TEXT(2000 + ROW(A2) - 1, "0000"), "")</calculatedColumnFormula>
    </tableColumn>
    <tableColumn id="11" xr3:uid="{00000000-0010-0000-0700-00000B000000}" name="Nombre" dataDxfId="66" dataCellStyle="40% - Énfasis1"/>
    <tableColumn id="2" xr3:uid="{00000000-0010-0000-0700-000002000000}" name="DNI" dataDxfId="65" dataCellStyle="40% - Énfasis1"/>
    <tableColumn id="3" xr3:uid="{00000000-0010-0000-0700-000003000000}" name="Tipo_Programación" dataDxfId="64" dataCellStyle="40% - Énfasis1"/>
    <tableColumn id="5" xr3:uid="{00000000-0010-0000-0700-000005000000}" name="Fecha" dataDxfId="63" dataCellStyle="40% - Énfasis1"/>
    <tableColumn id="6" xr3:uid="{00000000-0010-0000-0700-000006000000}" name="Tipo_Examen" dataDxfId="62" dataCellStyle="40% - Énfasis4"/>
    <tableColumn id="10" xr3:uid="{00000000-0010-0000-0700-00000A000000}" name="ID_Referencia" dataDxfId="61" dataCellStyle="40% - Énfasis2"/>
    <tableColumn id="7" xr3:uid="{00000000-0010-0000-0700-000007000000}" name="Estado" dataDxfId="60" dataCellStyle="40% - Énfasis1"/>
    <tableColumn id="8" xr3:uid="{BC4C86DC-A95B-472D-B008-2771ED8695A0}" name="Motivo Cancelación" dataDxfId="59" totalsRowDxfId="58" dataCellStyle="40% - Énfasis1"/>
    <tableColumn id="4" xr3:uid="{E1FACD55-B816-4798-9BE0-4178D6D6B6BA}" name="Enviado" dataDxfId="57" totalsRowDxfId="56" dataCellStyle="40% - Énfasis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71F51F-E4C3-4FD9-A8DB-0FD8B86C7371}" name="Capacitaciones" displayName="Capacitaciones" ref="A1:E158" totalsRowShown="0" headerRowDxfId="55" dataDxfId="54" dataCellStyle="60% - Énfasis1">
  <autoFilter ref="A1:E158" xr:uid="{FF71F51F-E4C3-4FD9-A8DB-0FD8B86C7371}"/>
  <tableColumns count="5">
    <tableColumn id="1" xr3:uid="{6838242C-F57E-46A6-BB36-BDB60C8B42B5}" name="CapacitacionID" dataDxfId="53" dataCellStyle="60% - Énfasis1">
      <calculatedColumnFormula>IF(B2&lt;&gt;"", "CAPA-" &amp; TEXT(12000 + ROW(A2) - 1, "0000"), "")</calculatedColumnFormula>
    </tableColumn>
    <tableColumn id="2" xr3:uid="{525AFF8F-657B-4B36-AEC6-58AC74D67E1B}" name="Nombre" dataDxfId="52" dataCellStyle="60% - Énfasis1"/>
    <tableColumn id="3" xr3:uid="{6833EF38-543B-47F4-A4A5-0B057B1768FA}" name="DNI" dataDxfId="51" dataCellStyle="60% - Énfasis1"/>
    <tableColumn id="4" xr3:uid="{7A6C6EB8-D3CF-4613-AEC3-526C91F08E8E}" name="Tipo de Capacitación" dataDxfId="50" dataCellStyle="60% - Énfasis1"/>
    <tableColumn id="5" xr3:uid="{60F00CA2-99AE-45F3-BA7D-3D16A3F3F7D6}" name="Fecha" dataDxfId="49" dataCellStyle="60% - Énfasis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873A2EA-D5C2-42DC-A638-066AE072B59F}" name="tbl_VMO_Vigilancia6" displayName="tbl_VMO_Vigilancia6" ref="A1:E2" headerRowDxfId="48" dataDxfId="46" totalsRowDxfId="45" headerRowBorderDxfId="47" dataCellStyle="40% - Énfasis1">
  <autoFilter ref="A1:E2" xr:uid="{00000000-0009-0000-0100-000007000000}"/>
  <tableColumns count="5">
    <tableColumn id="1" xr3:uid="{DF29C711-BA46-411C-B16B-BD88BA4EA938}" name="VMO_ID" dataDxfId="44" dataCellStyle="40% - Énfasis1">
      <calculatedColumnFormula>IF(B2&lt;&gt;"", "VMO_SEG-" &amp; TEXT(7000 + ROW(A2) - 1, "0000"), "")</calculatedColumnFormula>
    </tableColumn>
    <tableColumn id="6" xr3:uid="{E5075E6D-4DBB-4267-9A99-835150FF9FFA}" name="Nombre" dataDxfId="43" dataCellStyle="40% - Énfasis1"/>
    <tableColumn id="2" xr3:uid="{266A4648-0CD1-49C5-85D6-52910DD5BD8A}" name="DNI" dataDxfId="42" dataCellStyle="40% - Énfasis1">
      <calculatedColumnFormula>IF(B2="", "", _xlfn.XLOOKUP(B2, tbl_Trabajadores[Nombre], tbl_Trabajadores[DNI], ""))</calculatedColumnFormula>
    </tableColumn>
    <tableColumn id="4" xr3:uid="{B01D9E4C-12A7-4CCA-8DAC-3F8F2BEC0086}" name="Recomendaciones adicionales" dataDxfId="41" dataCellStyle="40% - Énfasis1"/>
    <tableColumn id="5" xr3:uid="{4777A90B-CB02-4B56-AC20-FD01FADFB56F}" name="Conclusiones M.O" dataDxfId="40" dataCellStyle="40% - Énfasis1"/>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84FC58-D8DC-42F7-B2AF-46513BA466E4}" name="Tabla12" displayName="Tabla12" ref="A12:I232" totalsRowShown="0" headerRowDxfId="39" dataDxfId="38">
  <autoFilter ref="A12:I232" xr:uid="{3684FC58-D8DC-42F7-B2AF-46513BA466E4}"/>
  <tableColumns count="9">
    <tableColumn id="1" xr3:uid="{12148C15-D218-4B73-9E09-9547FCB705BA}" name="N" dataDxfId="37">
      <calculatedColumnFormula>IF(B13&lt;&gt;"", "EMO-" &amp; TEXT(1000 + ROW(A2) - 1, "0000"), "")</calculatedColumnFormula>
    </tableColumn>
    <tableColumn id="2" xr3:uid="{E335CA11-1416-4D81-A787-974EFDAFF54C}" name="NOMBRE" dataDxfId="36"/>
    <tableColumn id="3" xr3:uid="{A609C352-031B-4BDD-8486-746B83EFAFB5}" name="DNI" dataDxfId="35"/>
    <tableColumn id="4" xr3:uid="{E8DE7948-9EAD-4507-98D0-5A9134C2B343}" name="OCUPACION ACTUAL" dataDxfId="34"/>
    <tableColumn id="5" xr3:uid="{612CC3E8-8B85-4D1C-BBE6-5FAD2407230A}" name="TIPO DE EMO" dataDxfId="33"/>
    <tableColumn id="6" xr3:uid="{B9ADD0A2-0A9C-48E3-BB21-28D4D4045291}" name="FECHA" dataDxfId="32"/>
    <tableColumn id="7" xr3:uid="{AD786080-4010-434A-826B-139FD21A7239}" name="APTITUD" dataDxfId="31"/>
    <tableColumn id="8" xr3:uid="{09873352-EC5C-40CD-B7BA-275E8456B823}" name="ENTREGADO" dataDxfId="30"/>
    <tableColumn id="9" xr3:uid="{A4883EFF-006D-4E0B-95BF-AFD013385EED}" name="FECHA ENTREGA" dataDxfId="29"/>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a_Descansos_Medicos" displayName="Tabla_Descansos_Medicos" ref="A1:K2" totalsRowShown="0" headerRowDxfId="28" dataDxfId="26" headerRowBorderDxfId="27" dataCellStyle="60% - Énfasis1">
  <autoFilter ref="A1:K2" xr:uid="{00000000-0009-0000-0100-00000A000000}"/>
  <tableColumns count="11">
    <tableColumn id="1" xr3:uid="{00000000-0010-0000-0900-000001000000}" name="DescansoID" dataDxfId="25" dataCellStyle="60% - Énfasis1">
      <calculatedColumnFormula>IF(C2&lt;&gt;"", "DM-" &amp; TEXT(9000 + ROW(A2) - 1, "0000"), "")</calculatedColumnFormula>
    </tableColumn>
    <tableColumn id="10" xr3:uid="{CF3DD75B-1C82-4ECD-9CE5-BDDF3D170250}" name="AccidenteID" dataDxfId="24" dataCellStyle="60% - Énfasis1"/>
    <tableColumn id="8" xr3:uid="{00000000-0010-0000-0900-000008000000}" name="Nombre" dataDxfId="23" dataCellStyle="60% - Énfasis1"/>
    <tableColumn id="2" xr3:uid="{00000000-0010-0000-0900-000002000000}" name="DNI" dataDxfId="22" dataCellStyle="60% - Énfasis1"/>
    <tableColumn id="9" xr3:uid="{C3975C0C-F70A-4B48-A5F5-4658D545402B}" name="Tipo de Descanso" dataDxfId="21" dataCellStyle="60% - Énfasis1"/>
    <tableColumn id="6" xr3:uid="{00000000-0010-0000-0900-000006000000}" name="Duracion_Dias" dataDxfId="20" dataCellStyle="60% - Énfasis1"/>
    <tableColumn id="3" xr3:uid="{00000000-0010-0000-0900-000003000000}" name="Diagnostico" dataDxfId="19" dataCellStyle="60% - Énfasis1"/>
    <tableColumn id="4" xr3:uid="{00000000-0010-0000-0900-000004000000}" name="FechaInicio" dataDxfId="18" dataCellStyle="60% - Énfasis1"/>
    <tableColumn id="5" xr3:uid="{00000000-0010-0000-0900-000005000000}" name="FechaFin" dataDxfId="17" dataCellStyle="60% - Énfasis1">
      <calculatedColumnFormula>IF(B2="", "",H2+F2)</calculatedColumnFormula>
    </tableColumn>
    <tableColumn id="7" xr3:uid="{00000000-0010-0000-0900-000007000000}" name="Aptitud_Reincorporación" dataDxfId="16" dataCellStyle="60% - Énfasis1"/>
    <tableColumn id="11" xr3:uid="{1D58D55A-B4CC-4C4E-92AC-BDB49AE7B318}" name="Anunciado" dataDxfId="15" dataCellStyle="60% - Énfasis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bl_Anuncios" displayName="tbl_Anuncios" ref="A1:E2" headerRowDxfId="14" dataDxfId="12" totalsRowDxfId="11" headerRowBorderDxfId="13">
  <autoFilter ref="A1:E2" xr:uid="{00000000-0009-0000-0100-00000B000000}"/>
  <tableColumns count="5">
    <tableColumn id="1" xr3:uid="{00000000-0010-0000-0A00-000001000000}" name="AnuncioID" dataDxfId="10">
      <calculatedColumnFormula>IF(B2&lt;&gt;"", "ANU-" &amp; TEXT(11000 + ROW(A2) - 1, "0000"), "")</calculatedColumnFormula>
    </tableColumn>
    <tableColumn id="2" xr3:uid="{00000000-0010-0000-0A00-000002000000}" name="DNI" dataDxfId="9"/>
    <tableColumn id="3" xr3:uid="{00000000-0010-0000-0A00-000003000000}" name="TipoAlerta" dataDxfId="8"/>
    <tableColumn id="4" xr3:uid="{00000000-0010-0000-0A00-000004000000}" name="FechaObjetivo" dataDxfId="7"/>
    <tableColumn id="5" xr3:uid="{00000000-0010-0000-0A00-000005000000}" name="Mensaje" dataDxfId="6"/>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53EC345-9076-4AD1-BBE2-CFBA6E27E52F}" name="Tabla7" displayName="Tabla7" ref="C1:C13" totalsRowShown="0" headerRowDxfId="5" dataDxfId="4">
  <autoFilter ref="C1:C13" xr:uid="{253EC345-9076-4AD1-BBE2-CFBA6E27E52F}"/>
  <tableColumns count="1">
    <tableColumn id="1" xr3:uid="{896F15D0-35FE-41FE-94CB-2A8458C76AC7}" name="MES" dataDxfId="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EA8539E-4644-4221-B087-8AFA96CC55A3}" name="Tabla9" displayName="Tabla9" ref="D1:D6" totalsRowShown="0">
  <autoFilter ref="D1:D6" xr:uid="{CEA8539E-4644-4221-B087-8AFA96CC55A3}"/>
  <tableColumns count="1">
    <tableColumn id="1" xr3:uid="{93D0274E-1C9C-4386-9CC9-520D8A9D3FBE}" name="OBRA"/>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3E5F591-E4F8-462B-BD02-798D9C70EDFB}" name="Tabla14" displayName="Tabla14" ref="C15:C17" totalsRowShown="0" headerRowDxfId="2" dataDxfId="1">
  <autoFilter ref="C15:C17" xr:uid="{33E5F591-E4F8-462B-BD02-798D9C70EDFB}">
    <filterColumn colId="0">
      <filters>
        <filter val="2025"/>
      </filters>
    </filterColumn>
  </autoFilter>
  <tableColumns count="1">
    <tableColumn id="1" xr3:uid="{346A0F90-25C9-4222-B1A9-9B728C3169E3}" name="AÑO"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microsoft.com/office/2007/relationships/slicer" Target="../slicers/slicer2.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drawing" Target="../drawings/drawing5.xml"/><Relationship Id="rId5" Type="http://schemas.microsoft.com/office/2007/relationships/slicer" Target="../slicers/slicer4.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FF0000"/>
  </sheetPr>
  <dimension ref="A1:AH159"/>
  <sheetViews>
    <sheetView zoomScaleNormal="100" workbookViewId="0">
      <pane xSplit="3" ySplit="1" topLeftCell="D2" activePane="bottomRight" state="frozen"/>
      <selection pane="topRight" activeCell="D1" sqref="D1"/>
      <selection pane="bottomLeft" activeCell="A2" sqref="A2"/>
      <selection pane="bottomRight" activeCell="V6" sqref="V6"/>
    </sheetView>
  </sheetViews>
  <sheetFormatPr baseColWidth="10" defaultColWidth="8.88671875" defaultRowHeight="14.4" x14ac:dyDescent="0.3"/>
  <cols>
    <col min="1" max="1" width="10" style="2" customWidth="1"/>
    <col min="2" max="2" width="15.6640625" style="24" customWidth="1"/>
    <col min="3" max="3" width="64.109375" style="3" customWidth="1"/>
    <col min="4" max="4" width="21.33203125" style="1" customWidth="1"/>
    <col min="5" max="5" width="16.6640625" style="115" customWidth="1"/>
    <col min="6" max="6" width="6" style="2" customWidth="1"/>
    <col min="7" max="7" width="61.5546875" style="3" customWidth="1"/>
    <col min="8" max="8" width="21" style="3" customWidth="1"/>
    <col min="9" max="9" width="36" style="3" customWidth="1"/>
    <col min="10" max="10" width="12.33203125" style="2" hidden="1" customWidth="1"/>
    <col min="11" max="11" width="10.6640625" style="2" customWidth="1"/>
    <col min="12" max="12" width="14" style="1" customWidth="1"/>
    <col min="13" max="13" width="22" style="1" customWidth="1"/>
    <col min="14" max="14" width="30.6640625" style="3" customWidth="1"/>
    <col min="15" max="16" width="22" style="4" customWidth="1"/>
    <col min="17" max="17" width="12.5546875" style="1" customWidth="1"/>
    <col min="18" max="18" width="16.44140625" style="1" customWidth="1"/>
    <col min="19" max="19" width="23.6640625" hidden="1" customWidth="1"/>
    <col min="20" max="20" width="15.6640625" hidden="1" customWidth="1"/>
    <col min="21" max="21" width="16.44140625" hidden="1" customWidth="1"/>
    <col min="22" max="22" width="25.6640625" style="1" customWidth="1"/>
    <col min="23" max="23" width="30.6640625" style="1" customWidth="1"/>
    <col min="24" max="24" width="72.109375" style="87" customWidth="1"/>
    <col min="25" max="25" width="20.6640625" customWidth="1"/>
    <col min="26" max="26" width="60.6640625" customWidth="1"/>
    <col min="27" max="29" width="32.77734375" customWidth="1"/>
    <col min="30" max="30" width="20.6640625" customWidth="1"/>
    <col min="31" max="31" width="15.6640625" customWidth="1"/>
    <col min="32" max="32" width="30.6640625" customWidth="1"/>
    <col min="33" max="33" width="18.6640625" style="83" hidden="1" customWidth="1"/>
    <col min="34" max="34" width="15.6640625" hidden="1" customWidth="1"/>
    <col min="35" max="35" width="0" hidden="1" customWidth="1"/>
  </cols>
  <sheetData>
    <row r="1" spans="1:34" ht="40.200000000000003" customHeight="1" x14ac:dyDescent="0.3">
      <c r="A1" s="118" t="s">
        <v>0</v>
      </c>
      <c r="B1" s="119" t="s">
        <v>1</v>
      </c>
      <c r="C1" s="169" t="s">
        <v>2</v>
      </c>
      <c r="D1" s="120" t="s">
        <v>3</v>
      </c>
      <c r="E1" s="121" t="s">
        <v>4</v>
      </c>
      <c r="F1" s="122" t="s">
        <v>5</v>
      </c>
      <c r="G1" s="132" t="s">
        <v>509</v>
      </c>
      <c r="H1" s="122" t="s">
        <v>7</v>
      </c>
      <c r="I1" s="122" t="s">
        <v>8</v>
      </c>
      <c r="J1" s="122" t="s">
        <v>9</v>
      </c>
      <c r="K1" s="122" t="s">
        <v>10</v>
      </c>
      <c r="L1" s="120" t="s">
        <v>11</v>
      </c>
      <c r="M1" s="123" t="s">
        <v>12</v>
      </c>
      <c r="N1" s="124" t="s">
        <v>13</v>
      </c>
      <c r="O1" s="124" t="s">
        <v>14</v>
      </c>
      <c r="P1" s="168" t="s">
        <v>15</v>
      </c>
      <c r="Q1" s="123" t="s">
        <v>16</v>
      </c>
      <c r="R1" s="125" t="s">
        <v>17</v>
      </c>
      <c r="S1" s="125" t="s">
        <v>18</v>
      </c>
      <c r="T1" s="125" t="s">
        <v>19</v>
      </c>
      <c r="U1" s="125" t="s">
        <v>20</v>
      </c>
      <c r="V1" s="126" t="s">
        <v>21</v>
      </c>
      <c r="W1" s="127" t="s">
        <v>22</v>
      </c>
      <c r="X1" s="136" t="s">
        <v>23</v>
      </c>
      <c r="Y1" s="128" t="s">
        <v>24</v>
      </c>
      <c r="Z1" s="129" t="s">
        <v>25</v>
      </c>
      <c r="AA1" s="128" t="s">
        <v>573</v>
      </c>
      <c r="AB1" s="128" t="s">
        <v>615</v>
      </c>
      <c r="AC1" s="128" t="s">
        <v>616</v>
      </c>
      <c r="AD1" s="128" t="s">
        <v>27</v>
      </c>
      <c r="AE1" s="128" t="s">
        <v>28</v>
      </c>
      <c r="AF1" s="128" t="s">
        <v>29</v>
      </c>
      <c r="AG1" s="130" t="s">
        <v>30</v>
      </c>
      <c r="AH1" s="125" t="s">
        <v>31</v>
      </c>
    </row>
    <row r="2" spans="1:34" ht="43.2" x14ac:dyDescent="0.3">
      <c r="A2" s="11" t="str">
        <f>IF(B2&lt;&gt;"", "TR-" &amp; TEXT(1000 + ROW(A2) - 1, "0000"), "")</f>
        <v>TR-1001</v>
      </c>
      <c r="B2" s="149">
        <v>74046340</v>
      </c>
      <c r="C2" s="158" t="s">
        <v>314</v>
      </c>
      <c r="D2" s="97">
        <v>31414</v>
      </c>
      <c r="E2" s="114">
        <f t="shared" ref="E2:E33" ca="1" si="0">DATEDIF(D2, TODAY(), "y")</f>
        <v>40</v>
      </c>
      <c r="F2" s="97" t="s">
        <v>32</v>
      </c>
      <c r="G2" s="116" t="s">
        <v>512</v>
      </c>
      <c r="H2" s="116" t="s">
        <v>486</v>
      </c>
      <c r="I2" s="116" t="s">
        <v>421</v>
      </c>
      <c r="J2" s="97" t="s">
        <v>33</v>
      </c>
      <c r="K2" s="97" t="s">
        <v>34</v>
      </c>
      <c r="L2" s="97">
        <v>45222</v>
      </c>
      <c r="M2" s="97" cm="1">
        <f t="array" ref="M2">_xlfn.XLOOKUP(B2&amp;"", 'Registro EMO'!$C$13:$C$4558&amp;"", 'Registro EMO'!$F$13:$F$4558, "Sin registro", 0, -1)</f>
        <v>45966</v>
      </c>
      <c r="N2" s="11" t="str" cm="1">
        <f t="array" ref="N2">_xlfn.XLOOKUP(B2&amp;"", 'Registro EMO'!$C$13:$C$4558&amp;"", 'Registro EMO'!$E$13:$E$4558, "Sin registro", 0, -1)</f>
        <v>Periódicos</v>
      </c>
      <c r="O2" s="11" t="str">
        <f>IF(P2="NO", "NO", "SI")</f>
        <v>SI</v>
      </c>
      <c r="P2" s="167" cm="1">
        <f t="array" ref="P2">_xlfn.LET(
    _xlpm.resultado, _xlfn.XLOOKUP(B2&amp;"", 'Registro EMO'!$C$13:$C$4558&amp;"", 'Registro EMO'!$I$13:$I$4558, "NO", 0, -1),
    IF(_xlpm.resultado=0, "NO", _xlpm.resultado)
)</f>
        <v>46002</v>
      </c>
      <c r="Q2" s="11" t="str">
        <f t="shared" ref="Q2:Q33" ca="1" si="1">IF(M2="Sin registro", "Pendiente", IF(EDATE(M2, IF(K2="Oficina", 24, 12)) &gt;= TODAY(), "Vigente", "Vencido"))</f>
        <v>Vigente</v>
      </c>
      <c r="R2" s="97"/>
      <c r="S2" s="11"/>
      <c r="T2" s="11" t="str">
        <f t="shared" ref="T2:T33" si="2">IF(R2="", "", IF(U2="", "NO", "SI"))</f>
        <v/>
      </c>
      <c r="U2" s="97"/>
      <c r="V2" s="100" t="s">
        <v>35</v>
      </c>
      <c r="W2" s="7" t="s">
        <v>48</v>
      </c>
      <c r="X2" s="164" t="s">
        <v>614</v>
      </c>
      <c r="Y2" s="11" t="s">
        <v>613</v>
      </c>
      <c r="Z2" s="11" t="s">
        <v>530</v>
      </c>
      <c r="AA2" s="11"/>
      <c r="AB2" s="11"/>
      <c r="AC2" s="11"/>
      <c r="AD2" s="11"/>
      <c r="AE2" s="11"/>
      <c r="AF2" s="11"/>
      <c r="AG2" s="101"/>
      <c r="AH2" s="11" t="s">
        <v>36</v>
      </c>
    </row>
    <row r="3" spans="1:34" x14ac:dyDescent="0.3">
      <c r="A3" s="7" t="str">
        <f t="shared" ref="A3:A33" si="3">IF(B3&lt;&gt;"", "TR-" &amp; TEXT(1000 + ROW(A3) - 1, "0000"), "")</f>
        <v>TR-1002</v>
      </c>
      <c r="B3" s="149">
        <v>74842142</v>
      </c>
      <c r="C3" s="158" t="s">
        <v>315</v>
      </c>
      <c r="D3" s="97">
        <v>33449</v>
      </c>
      <c r="E3" s="114">
        <f t="shared" ca="1" si="0"/>
        <v>34</v>
      </c>
      <c r="F3" s="97" t="s">
        <v>32</v>
      </c>
      <c r="G3" s="116" t="s">
        <v>512</v>
      </c>
      <c r="H3" s="116" t="s">
        <v>487</v>
      </c>
      <c r="I3" s="116" t="s">
        <v>422</v>
      </c>
      <c r="J3" s="97"/>
      <c r="K3" s="97" t="s">
        <v>34</v>
      </c>
      <c r="L3" s="97">
        <v>45950</v>
      </c>
      <c r="M3" s="97" cm="1">
        <f t="array" ref="M3">_xlfn.XLOOKUP(B3&amp;"", 'Registro EMO'!$C$13:$C$4558&amp;"", 'Registro EMO'!$F$13:$F$4558, "Sin registro", 0, -1)</f>
        <v>45966</v>
      </c>
      <c r="N3" s="11" t="str" cm="1">
        <f t="array" ref="N3">_xlfn.XLOOKUP(B3&amp;"", 'Registro EMO'!$C$13:$C$4558&amp;"", 'Registro EMO'!$E$13:$E$4558, "Sin registro", 0, -1)</f>
        <v>Pre-Ocupacional</v>
      </c>
      <c r="O3" s="11" t="str">
        <f t="shared" ref="O3:O33" si="4">IF(P3="NO", "NO", "SI")</f>
        <v>SI</v>
      </c>
      <c r="P3" s="167" cm="1">
        <f t="array" ref="P3">_xlfn.LET(
    _xlpm.resultado, _xlfn.XLOOKUP(B3&amp;"", 'Registro EMO'!$C$13:$C$4558&amp;"", 'Registro EMO'!$I$13:$I$4558, "NO", 0, -1),
    IF(_xlpm.resultado=0, "NO", _xlpm.resultado)
)</f>
        <v>46007</v>
      </c>
      <c r="Q3" s="11" t="str">
        <f t="shared" ca="1" si="1"/>
        <v>Vigente</v>
      </c>
      <c r="R3" s="97"/>
      <c r="S3" s="11"/>
      <c r="T3" s="11" t="str">
        <f t="shared" si="2"/>
        <v/>
      </c>
      <c r="U3" s="97"/>
      <c r="V3" s="100" t="s">
        <v>35</v>
      </c>
      <c r="W3" s="7" t="s">
        <v>39</v>
      </c>
      <c r="X3" s="137" t="s">
        <v>528</v>
      </c>
      <c r="Y3" s="11" t="s">
        <v>529</v>
      </c>
      <c r="Z3" s="11" t="s">
        <v>530</v>
      </c>
      <c r="AA3" s="11"/>
      <c r="AB3" s="11"/>
      <c r="AC3" s="11"/>
      <c r="AD3" s="11"/>
      <c r="AE3" s="11"/>
      <c r="AF3" s="11"/>
      <c r="AG3" s="101"/>
      <c r="AH3" s="11" t="s">
        <v>36</v>
      </c>
    </row>
    <row r="4" spans="1:34" x14ac:dyDescent="0.3">
      <c r="A4" s="7" t="str">
        <f t="shared" si="3"/>
        <v>TR-1003</v>
      </c>
      <c r="B4" s="150">
        <v>43493102</v>
      </c>
      <c r="C4" s="159" t="s">
        <v>316</v>
      </c>
      <c r="D4" s="97">
        <v>27559</v>
      </c>
      <c r="E4" s="114">
        <f t="shared" ca="1" si="0"/>
        <v>50</v>
      </c>
      <c r="F4" s="97" t="s">
        <v>32</v>
      </c>
      <c r="G4" s="116" t="s">
        <v>512</v>
      </c>
      <c r="H4" s="116" t="s">
        <v>488</v>
      </c>
      <c r="I4" s="116" t="s">
        <v>423</v>
      </c>
      <c r="J4" s="97"/>
      <c r="K4" s="97" t="s">
        <v>34</v>
      </c>
      <c r="L4" s="97">
        <v>43831</v>
      </c>
      <c r="M4" s="97" cm="1">
        <f t="array" ref="M4">_xlfn.XLOOKUP(B4&amp;"", 'Registro EMO'!$C$13:$C$4558&amp;"", 'Registro EMO'!$F$13:$F$4558, "Sin registro", 0, -1)</f>
        <v>45966</v>
      </c>
      <c r="N4" s="11" t="str" cm="1">
        <f t="array" ref="N4">_xlfn.XLOOKUP(B4&amp;"", 'Registro EMO'!$C$13:$C$4558&amp;"", 'Registro EMO'!$E$13:$E$4558, "Sin registro", 0, -1)</f>
        <v>Periódicos</v>
      </c>
      <c r="O4" s="11" t="str">
        <f t="shared" si="4"/>
        <v>SI</v>
      </c>
      <c r="P4" s="167" cm="1">
        <f t="array" ref="P4">_xlfn.LET(
    _xlpm.resultado, _xlfn.XLOOKUP(B4&amp;"", 'Registro EMO'!$C$13:$C$4558&amp;"", 'Registro EMO'!$I$13:$I$4558, "NO", 0, -1),
    IF(_xlpm.resultado=0, "NO", _xlpm.resultado)
)</f>
        <v>45988</v>
      </c>
      <c r="Q4" s="11" t="str">
        <f t="shared" ca="1" si="1"/>
        <v>Vigente</v>
      </c>
      <c r="R4" s="97"/>
      <c r="S4" s="11"/>
      <c r="T4" s="11" t="str">
        <f t="shared" si="2"/>
        <v/>
      </c>
      <c r="U4" s="97"/>
      <c r="V4" s="100" t="s">
        <v>35</v>
      </c>
      <c r="W4" s="7" t="s">
        <v>48</v>
      </c>
      <c r="X4" s="137" t="s">
        <v>557</v>
      </c>
      <c r="Y4" s="11"/>
      <c r="Z4" s="11"/>
      <c r="AA4" s="11"/>
      <c r="AB4" s="11"/>
      <c r="AC4" s="11"/>
      <c r="AD4" s="11"/>
      <c r="AE4" s="11"/>
      <c r="AF4" s="11"/>
      <c r="AG4" s="101"/>
      <c r="AH4" s="11" t="s">
        <v>36</v>
      </c>
    </row>
    <row r="5" spans="1:34" x14ac:dyDescent="0.3">
      <c r="A5" s="7" t="str">
        <f t="shared" si="3"/>
        <v>TR-1004</v>
      </c>
      <c r="B5" s="150">
        <v>73190928</v>
      </c>
      <c r="C5" s="162" t="s">
        <v>317</v>
      </c>
      <c r="D5" s="97">
        <v>30109</v>
      </c>
      <c r="E5" s="114">
        <f t="shared" ca="1" si="0"/>
        <v>43</v>
      </c>
      <c r="F5" s="97" t="s">
        <v>32</v>
      </c>
      <c r="G5" s="116" t="s">
        <v>512</v>
      </c>
      <c r="H5" s="116" t="s">
        <v>486</v>
      </c>
      <c r="I5" s="116" t="s">
        <v>424</v>
      </c>
      <c r="J5" s="97"/>
      <c r="K5" s="97" t="s">
        <v>34</v>
      </c>
      <c r="L5" s="97">
        <v>45950</v>
      </c>
      <c r="M5" s="97" cm="1">
        <f t="array" ref="M5">_xlfn.XLOOKUP(B5&amp;"", 'Registro EMO'!$C$13:$C$4558&amp;"", 'Registro EMO'!$F$13:$F$4558, "Sin registro", 0, -1)</f>
        <v>45966</v>
      </c>
      <c r="N5" s="11" t="str" cm="1">
        <f t="array" ref="N5">_xlfn.XLOOKUP(B5&amp;"", 'Registro EMO'!$C$13:$C$4558&amp;"", 'Registro EMO'!$E$13:$E$4558, "Sin registro", 0, -1)</f>
        <v>Pre-Ocupacional</v>
      </c>
      <c r="O5" s="11" t="str">
        <f t="shared" si="4"/>
        <v>SI</v>
      </c>
      <c r="P5" s="167" cm="1">
        <f t="array" ref="P5">_xlfn.LET(
    _xlpm.resultado, _xlfn.XLOOKUP(B5&amp;"", 'Registro EMO'!$C$13:$C$4558&amp;"", 'Registro EMO'!$I$13:$I$4558, "NO", 0, -1),
    IF(_xlpm.resultado=0, "NO", _xlpm.resultado)
)</f>
        <v>45993</v>
      </c>
      <c r="Q5" s="11" t="str">
        <f t="shared" ca="1" si="1"/>
        <v>Vigente</v>
      </c>
      <c r="R5" s="97"/>
      <c r="S5" s="11"/>
      <c r="T5" s="11" t="str">
        <f t="shared" si="2"/>
        <v/>
      </c>
      <c r="U5" s="97"/>
      <c r="V5" s="100" t="s">
        <v>38</v>
      </c>
      <c r="W5" s="7" t="s">
        <v>40</v>
      </c>
      <c r="X5" s="137"/>
      <c r="Y5" s="11"/>
      <c r="Z5" s="11"/>
      <c r="AA5" s="11"/>
      <c r="AB5" s="11"/>
      <c r="AC5" s="11"/>
      <c r="AD5" s="11"/>
      <c r="AE5" s="11"/>
      <c r="AF5" s="11"/>
      <c r="AG5" s="101"/>
      <c r="AH5" s="11" t="s">
        <v>36</v>
      </c>
    </row>
    <row r="6" spans="1:34" x14ac:dyDescent="0.3">
      <c r="A6" s="7" t="str">
        <f t="shared" si="3"/>
        <v>TR-1005</v>
      </c>
      <c r="B6" s="151">
        <v>7658651</v>
      </c>
      <c r="C6" s="163" t="s">
        <v>318</v>
      </c>
      <c r="D6" s="97">
        <v>36133</v>
      </c>
      <c r="E6" s="114">
        <f t="shared" ca="1" si="0"/>
        <v>27</v>
      </c>
      <c r="F6" s="97" t="s">
        <v>32</v>
      </c>
      <c r="G6" s="116" t="s">
        <v>512</v>
      </c>
      <c r="H6" s="116" t="s">
        <v>489</v>
      </c>
      <c r="I6" s="116" t="s">
        <v>425</v>
      </c>
      <c r="J6" s="97"/>
      <c r="K6" s="97" t="s">
        <v>34</v>
      </c>
      <c r="L6" s="97">
        <v>45809</v>
      </c>
      <c r="M6" s="97" cm="1">
        <f t="array" ref="M6">_xlfn.XLOOKUP(B6&amp;"", 'Registro EMO'!$C$13:$C$4558&amp;"", 'Registro EMO'!$F$13:$F$4558, "Sin registro", 0, -1)</f>
        <v>45966</v>
      </c>
      <c r="N6" s="11" t="str" cm="1">
        <f t="array" ref="N6">_xlfn.XLOOKUP(B6&amp;"", 'Registro EMO'!$C$13:$C$4558&amp;"", 'Registro EMO'!$E$13:$E$4558, "Sin registro", 0, -1)</f>
        <v>Periódicos</v>
      </c>
      <c r="O6" s="11" t="str">
        <f t="shared" si="4"/>
        <v>NO</v>
      </c>
      <c r="P6" s="166" t="str" cm="1">
        <f t="array" ref="P6">_xlfn.LET(
    _xlpm.resultado, _xlfn.XLOOKUP(B6&amp;"", 'Registro EMO'!$C$13:$C$4558&amp;"", 'Registro EMO'!$I$13:$I$4558, "NO", 0, -1),
    IF(_xlpm.resultado=0, "NO", _xlpm.resultado)
)</f>
        <v>NO</v>
      </c>
      <c r="Q6" s="11" t="str">
        <f t="shared" ca="1" si="1"/>
        <v>Vigente</v>
      </c>
      <c r="R6" s="97"/>
      <c r="S6" s="11"/>
      <c r="T6" s="11" t="str">
        <f t="shared" si="2"/>
        <v/>
      </c>
      <c r="U6" s="97"/>
      <c r="V6" s="100" t="s">
        <v>38</v>
      </c>
      <c r="W6" s="7" t="s">
        <v>37</v>
      </c>
      <c r="X6" s="137"/>
      <c r="Y6" s="11"/>
      <c r="Z6" s="11"/>
      <c r="AA6" s="11"/>
      <c r="AB6" s="11"/>
      <c r="AC6" s="11"/>
      <c r="AD6" s="11"/>
      <c r="AE6" s="11"/>
      <c r="AF6" s="11"/>
      <c r="AG6" s="101"/>
      <c r="AH6" s="11" t="s">
        <v>36</v>
      </c>
    </row>
    <row r="7" spans="1:34" x14ac:dyDescent="0.3">
      <c r="A7" s="7" t="str">
        <f t="shared" si="3"/>
        <v>TR-1006</v>
      </c>
      <c r="B7" s="152">
        <v>72529893</v>
      </c>
      <c r="C7" s="162" t="s">
        <v>319</v>
      </c>
      <c r="D7" s="97">
        <v>38674</v>
      </c>
      <c r="E7" s="114">
        <f t="shared" ca="1" si="0"/>
        <v>20</v>
      </c>
      <c r="F7" s="97" t="s">
        <v>32</v>
      </c>
      <c r="G7" s="116" t="s">
        <v>512</v>
      </c>
      <c r="H7" s="116" t="s">
        <v>486</v>
      </c>
      <c r="I7" s="116" t="s">
        <v>426</v>
      </c>
      <c r="J7" s="97"/>
      <c r="K7" s="97" t="s">
        <v>34</v>
      </c>
      <c r="L7" s="97">
        <v>46055</v>
      </c>
      <c r="M7" s="97" cm="1">
        <f t="array" ref="M7">_xlfn.XLOOKUP(B7&amp;"", 'Registro EMO'!$C$13:$C$4558&amp;"", 'Registro EMO'!$F$13:$F$4558, "Sin registro", 0, -1)</f>
        <v>46069</v>
      </c>
      <c r="N7" s="11" t="str" cm="1">
        <f t="array" ref="N7">_xlfn.XLOOKUP(B7&amp;"", 'Registro EMO'!$C$13:$C$4558&amp;"", 'Registro EMO'!$E$13:$E$4558, "Sin registro", 0, -1)</f>
        <v>Pre-Ocupacional</v>
      </c>
      <c r="O7" s="11" t="str">
        <f t="shared" si="4"/>
        <v>SI</v>
      </c>
      <c r="P7" s="167" cm="1">
        <f t="array" ref="P7">_xlfn.LET(
    _xlpm.resultado, _xlfn.XLOOKUP(B7&amp;"", 'Registro EMO'!$C$13:$C$4558&amp;"", 'Registro EMO'!$I$13:$I$4558, "NO", 0, -1),
    IF(_xlpm.resultado=0, "NO", _xlpm.resultado)
)</f>
        <v>46070</v>
      </c>
      <c r="Q7" s="11" t="str">
        <f t="shared" ca="1" si="1"/>
        <v>Vigente</v>
      </c>
      <c r="R7" s="97"/>
      <c r="S7" s="11"/>
      <c r="T7" s="11" t="str">
        <f t="shared" si="2"/>
        <v/>
      </c>
      <c r="U7" s="97"/>
      <c r="V7" s="100" t="s">
        <v>35</v>
      </c>
      <c r="W7" s="7" t="s">
        <v>37</v>
      </c>
      <c r="X7" s="137"/>
      <c r="Y7" s="11"/>
      <c r="Z7" s="11"/>
      <c r="AA7" s="11"/>
      <c r="AB7" s="11"/>
      <c r="AC7" s="11"/>
      <c r="AD7" s="11"/>
      <c r="AE7" s="11"/>
      <c r="AF7" s="11"/>
      <c r="AG7" s="101"/>
      <c r="AH7" s="11" t="s">
        <v>36</v>
      </c>
    </row>
    <row r="8" spans="1:34" x14ac:dyDescent="0.3">
      <c r="A8" s="7" t="str">
        <f t="shared" si="3"/>
        <v>TR-1007</v>
      </c>
      <c r="B8" s="150">
        <v>10664050</v>
      </c>
      <c r="C8" s="159" t="s">
        <v>320</v>
      </c>
      <c r="D8" s="97">
        <v>29461</v>
      </c>
      <c r="E8" s="114">
        <f t="shared" ca="1" si="0"/>
        <v>45</v>
      </c>
      <c r="F8" s="97" t="s">
        <v>32</v>
      </c>
      <c r="G8" s="116" t="s">
        <v>512</v>
      </c>
      <c r="H8" s="116" t="s">
        <v>490</v>
      </c>
      <c r="I8" s="116" t="s">
        <v>427</v>
      </c>
      <c r="J8" s="97"/>
      <c r="K8" s="97" t="s">
        <v>34</v>
      </c>
      <c r="L8" s="97">
        <v>45873</v>
      </c>
      <c r="M8" s="97" cm="1">
        <f t="array" ref="M8">_xlfn.XLOOKUP(B8&amp;"", 'Registro EMO'!$C$13:$C$4558&amp;"", 'Registro EMO'!$F$13:$F$4558, "Sin registro", 0, -1)</f>
        <v>45966</v>
      </c>
      <c r="N8" s="11" t="str" cm="1">
        <f t="array" ref="N8">_xlfn.XLOOKUP(B8&amp;"", 'Registro EMO'!$C$13:$C$4558&amp;"", 'Registro EMO'!$E$13:$E$4558, "Sin registro", 0, -1)</f>
        <v>Pre-Ocupacional</v>
      </c>
      <c r="O8" s="11" t="str">
        <f t="shared" si="4"/>
        <v>SI</v>
      </c>
      <c r="P8" s="167" cm="1">
        <f t="array" ref="P8">_xlfn.LET(
    _xlpm.resultado, _xlfn.XLOOKUP(B8&amp;"", 'Registro EMO'!$C$13:$C$4558&amp;"", 'Registro EMO'!$I$13:$I$4558, "NO", 0, -1),
    IF(_xlpm.resultado=0, "NO", _xlpm.resultado)
)</f>
        <v>45988</v>
      </c>
      <c r="Q8" s="11" t="str">
        <f t="shared" ca="1" si="1"/>
        <v>Vigente</v>
      </c>
      <c r="R8" s="97"/>
      <c r="S8" s="11"/>
      <c r="T8" s="11" t="str">
        <f t="shared" si="2"/>
        <v/>
      </c>
      <c r="U8" s="97"/>
      <c r="V8" s="100" t="s">
        <v>38</v>
      </c>
      <c r="W8" s="7" t="s">
        <v>588</v>
      </c>
      <c r="X8" s="137"/>
      <c r="Y8" s="11"/>
      <c r="Z8" s="11"/>
      <c r="AA8" s="11"/>
      <c r="AB8" s="11"/>
      <c r="AC8" s="11"/>
      <c r="AD8" s="11"/>
      <c r="AE8" s="11"/>
      <c r="AF8" s="11"/>
      <c r="AG8" s="101"/>
      <c r="AH8" s="11" t="s">
        <v>36</v>
      </c>
    </row>
    <row r="9" spans="1:34" x14ac:dyDescent="0.3">
      <c r="A9" s="7" t="str">
        <f t="shared" si="3"/>
        <v>TR-1008</v>
      </c>
      <c r="B9" s="150">
        <v>71427351</v>
      </c>
      <c r="C9" s="159" t="s">
        <v>321</v>
      </c>
      <c r="D9" s="97">
        <v>35353</v>
      </c>
      <c r="E9" s="114">
        <f t="shared" ca="1" si="0"/>
        <v>29</v>
      </c>
      <c r="F9" s="97" t="s">
        <v>32</v>
      </c>
      <c r="G9" s="116" t="s">
        <v>512</v>
      </c>
      <c r="H9" s="116" t="s">
        <v>491</v>
      </c>
      <c r="I9" s="116" t="s">
        <v>428</v>
      </c>
      <c r="J9" s="97"/>
      <c r="K9" s="97" t="s">
        <v>34</v>
      </c>
      <c r="L9" s="97">
        <v>45231</v>
      </c>
      <c r="M9" s="97" cm="1">
        <f t="array" ref="M9">_xlfn.XLOOKUP(B9&amp;"", 'Registro EMO'!$C$13:$C$4558&amp;"", 'Registro EMO'!$F$13:$F$4558, "Sin registro", 0, -1)</f>
        <v>45966</v>
      </c>
      <c r="N9" s="11" t="str" cm="1">
        <f t="array" ref="N9">_xlfn.XLOOKUP(B9&amp;"", 'Registro EMO'!$C$13:$C$4558&amp;"", 'Registro EMO'!$E$13:$E$4558, "Sin registro", 0, -1)</f>
        <v>Periódicos</v>
      </c>
      <c r="O9" s="11" t="str">
        <f t="shared" si="4"/>
        <v>SI</v>
      </c>
      <c r="P9" s="167" cm="1">
        <f t="array" ref="P9">_xlfn.LET(
    _xlpm.resultado, _xlfn.XLOOKUP(B9&amp;"", 'Registro EMO'!$C$13:$C$4558&amp;"", 'Registro EMO'!$I$13:$I$4558, "NO", 0, -1),
    IF(_xlpm.resultado=0, "NO", _xlpm.resultado)
)</f>
        <v>46002</v>
      </c>
      <c r="Q9" s="11" t="str">
        <f t="shared" ca="1" si="1"/>
        <v>Vigente</v>
      </c>
      <c r="R9" s="97"/>
      <c r="S9" s="11"/>
      <c r="T9" s="11" t="str">
        <f t="shared" si="2"/>
        <v/>
      </c>
      <c r="U9" s="97"/>
      <c r="V9" s="100" t="s">
        <v>35</v>
      </c>
      <c r="W9" s="7" t="s">
        <v>43</v>
      </c>
      <c r="X9" s="137"/>
      <c r="Y9" s="11"/>
      <c r="Z9" s="11"/>
      <c r="AA9" s="11"/>
      <c r="AB9" s="11"/>
      <c r="AC9" s="11"/>
      <c r="AD9" s="11"/>
      <c r="AE9" s="11"/>
      <c r="AF9" s="11"/>
      <c r="AG9" s="101"/>
      <c r="AH9" s="11" t="s">
        <v>36</v>
      </c>
    </row>
    <row r="10" spans="1:34" x14ac:dyDescent="0.3">
      <c r="A10" s="7" t="str">
        <f t="shared" si="3"/>
        <v>TR-1009</v>
      </c>
      <c r="B10" s="150">
        <v>71878076</v>
      </c>
      <c r="C10" s="159" t="s">
        <v>322</v>
      </c>
      <c r="D10" s="97">
        <v>34844</v>
      </c>
      <c r="E10" s="114">
        <f t="shared" ca="1" si="0"/>
        <v>30</v>
      </c>
      <c r="F10" s="97" t="s">
        <v>32</v>
      </c>
      <c r="G10" s="116" t="s">
        <v>512</v>
      </c>
      <c r="H10" s="116" t="s">
        <v>486</v>
      </c>
      <c r="I10" s="116" t="s">
        <v>429</v>
      </c>
      <c r="J10" s="97"/>
      <c r="K10" s="97" t="s">
        <v>34</v>
      </c>
      <c r="L10" s="97">
        <v>43873</v>
      </c>
      <c r="M10" s="97" cm="1">
        <f t="array" ref="M10">_xlfn.XLOOKUP(B10&amp;"", 'Registro EMO'!$C$13:$C$4558&amp;"", 'Registro EMO'!$F$13:$F$4558, "Sin registro", 0, -1)</f>
        <v>45980</v>
      </c>
      <c r="N10" s="11" t="str" cm="1">
        <f t="array" ref="N10">_xlfn.XLOOKUP(B10&amp;"", 'Registro EMO'!$C$13:$C$4558&amp;"", 'Registro EMO'!$E$13:$E$4558, "Sin registro", 0, -1)</f>
        <v>Periódicos</v>
      </c>
      <c r="O10" s="11" t="str">
        <f t="shared" si="4"/>
        <v>SI</v>
      </c>
      <c r="P10" s="167" cm="1">
        <f t="array" ref="P10">_xlfn.LET(
    _xlpm.resultado, _xlfn.XLOOKUP(B10&amp;"", 'Registro EMO'!$C$13:$C$4558&amp;"", 'Registro EMO'!$I$13:$I$4558, "NO", 0, -1),
    IF(_xlpm.resultado=0, "NO", _xlpm.resultado)
)</f>
        <v>46007</v>
      </c>
      <c r="Q10" s="11" t="str">
        <f t="shared" ca="1" si="1"/>
        <v>Vigente</v>
      </c>
      <c r="R10" s="97"/>
      <c r="S10" s="11"/>
      <c r="T10" s="11" t="str">
        <f t="shared" si="2"/>
        <v/>
      </c>
      <c r="U10" s="97"/>
      <c r="V10" s="100" t="s">
        <v>38</v>
      </c>
      <c r="W10" s="7" t="s">
        <v>526</v>
      </c>
      <c r="X10" s="137" t="s">
        <v>531</v>
      </c>
      <c r="Y10" s="11" t="s">
        <v>523</v>
      </c>
      <c r="Z10" s="11" t="s">
        <v>525</v>
      </c>
      <c r="AA10" s="11"/>
      <c r="AB10" s="11"/>
      <c r="AC10" s="11"/>
      <c r="AD10" s="11"/>
      <c r="AE10" s="11"/>
      <c r="AF10" s="11"/>
      <c r="AG10" s="101"/>
      <c r="AH10" s="11" t="s">
        <v>36</v>
      </c>
    </row>
    <row r="11" spans="1:34" x14ac:dyDescent="0.3">
      <c r="A11" s="7" t="str">
        <f t="shared" si="3"/>
        <v>TR-1010</v>
      </c>
      <c r="B11" s="150">
        <v>45503329</v>
      </c>
      <c r="C11" s="160" t="s">
        <v>323</v>
      </c>
      <c r="D11" s="97">
        <v>33433</v>
      </c>
      <c r="E11" s="114">
        <f t="shared" ca="1" si="0"/>
        <v>34</v>
      </c>
      <c r="F11" s="97" t="s">
        <v>32</v>
      </c>
      <c r="G11" s="116" t="s">
        <v>512</v>
      </c>
      <c r="H11" s="116" t="s">
        <v>492</v>
      </c>
      <c r="I11" s="116" t="s">
        <v>430</v>
      </c>
      <c r="J11" s="97"/>
      <c r="K11" s="97" t="s">
        <v>34</v>
      </c>
      <c r="L11" s="97">
        <v>45369</v>
      </c>
      <c r="M11" s="97" cm="1">
        <f t="array" ref="M11">_xlfn.XLOOKUP(B11&amp;"", 'Registro EMO'!$C$13:$C$4558&amp;"", 'Registro EMO'!$F$13:$F$4558, "Sin registro", 0, -1)</f>
        <v>46069</v>
      </c>
      <c r="N11" s="11" t="str" cm="1">
        <f t="array" ref="N11">_xlfn.XLOOKUP(B11&amp;"", 'Registro EMO'!$C$13:$C$4558&amp;"", 'Registro EMO'!$E$13:$E$4558, "Sin registro", 0, -1)</f>
        <v>Pre-Ocupacional</v>
      </c>
      <c r="O11" s="11" t="str">
        <f t="shared" si="4"/>
        <v>SI</v>
      </c>
      <c r="P11" s="167" cm="1">
        <f t="array" ref="P11">_xlfn.LET(
    _xlpm.resultado, _xlfn.XLOOKUP(B11&amp;"", 'Registro EMO'!$C$13:$C$4558&amp;"", 'Registro EMO'!$I$13:$I$4558, "NO", 0, -1),
    IF(_xlpm.resultado=0, "NO", _xlpm.resultado)
)</f>
        <v>46070</v>
      </c>
      <c r="Q11" s="11" t="str">
        <f t="shared" ca="1" si="1"/>
        <v>Vigente</v>
      </c>
      <c r="R11" s="97"/>
      <c r="S11" s="11"/>
      <c r="T11" s="11" t="str">
        <f t="shared" si="2"/>
        <v/>
      </c>
      <c r="U11" s="97"/>
      <c r="V11" s="100"/>
      <c r="W11" s="7"/>
      <c r="X11" s="137"/>
      <c r="Y11" s="11"/>
      <c r="Z11" s="11"/>
      <c r="AA11" s="11"/>
      <c r="AB11" s="11"/>
      <c r="AC11" s="11"/>
      <c r="AD11" s="11"/>
      <c r="AE11" s="11"/>
      <c r="AF11" s="11"/>
      <c r="AG11" s="101"/>
      <c r="AH11" s="11" t="s">
        <v>36</v>
      </c>
    </row>
    <row r="12" spans="1:34" x14ac:dyDescent="0.3">
      <c r="A12" s="7" t="str">
        <f t="shared" si="3"/>
        <v>TR-1011</v>
      </c>
      <c r="B12" s="150">
        <v>20901410</v>
      </c>
      <c r="C12" s="160" t="s">
        <v>575</v>
      </c>
      <c r="D12" s="97">
        <v>33301</v>
      </c>
      <c r="E12" s="114">
        <f t="shared" ca="1" si="0"/>
        <v>34</v>
      </c>
      <c r="F12" s="97" t="s">
        <v>32</v>
      </c>
      <c r="G12" s="116" t="s">
        <v>512</v>
      </c>
      <c r="H12" s="116" t="s">
        <v>493</v>
      </c>
      <c r="I12" s="116" t="s">
        <v>431</v>
      </c>
      <c r="J12" s="97"/>
      <c r="K12" s="97" t="s">
        <v>34</v>
      </c>
      <c r="L12" s="97">
        <v>45810</v>
      </c>
      <c r="M12" s="97" cm="1">
        <f t="array" ref="M12">_xlfn.XLOOKUP(B12&amp;"", 'Registro EMO'!$C$13:$C$4558&amp;"", 'Registro EMO'!$F$13:$F$4558, "Sin registro", 0, -1)</f>
        <v>45966</v>
      </c>
      <c r="N12" s="11" t="str" cm="1">
        <f t="array" ref="N12">_xlfn.XLOOKUP(B12&amp;"", 'Registro EMO'!$C$13:$C$4558&amp;"", 'Registro EMO'!$E$13:$E$4558, "Sin registro", 0, -1)</f>
        <v>Pre-Ocupacional</v>
      </c>
      <c r="O12" s="11" t="str">
        <f t="shared" si="4"/>
        <v>SI</v>
      </c>
      <c r="P12" s="97" cm="1">
        <f t="array" ref="P12">_xlfn.LET(
    _xlpm.resultado, _xlfn.XLOOKUP(B12&amp;"", 'Registro EMO'!$C$13:$C$4558&amp;"", 'Registro EMO'!$I$13:$I$4558, "NO", 0, -1),
    IF(_xlpm.resultado=0, "NO", _xlpm.resultado)
)</f>
        <v>45993</v>
      </c>
      <c r="Q12" s="11" t="str">
        <f t="shared" ca="1" si="1"/>
        <v>Vigente</v>
      </c>
      <c r="R12" s="97"/>
      <c r="S12" s="11"/>
      <c r="T12" s="11" t="str">
        <f t="shared" si="2"/>
        <v/>
      </c>
      <c r="U12" s="97"/>
      <c r="V12" s="100" t="s">
        <v>38</v>
      </c>
      <c r="W12" s="7" t="s">
        <v>45</v>
      </c>
      <c r="X12" s="137"/>
      <c r="Y12" s="11"/>
      <c r="Z12" s="11"/>
      <c r="AA12" s="11"/>
      <c r="AB12" s="11"/>
      <c r="AC12" s="11"/>
      <c r="AD12" s="11"/>
      <c r="AE12" s="11"/>
      <c r="AF12" s="11"/>
      <c r="AG12" s="101"/>
      <c r="AH12" s="11" t="s">
        <v>36</v>
      </c>
    </row>
    <row r="13" spans="1:34" x14ac:dyDescent="0.3">
      <c r="A13" s="7" t="str">
        <f t="shared" si="3"/>
        <v>TR-1012</v>
      </c>
      <c r="B13" s="150">
        <v>45977070</v>
      </c>
      <c r="C13" s="158" t="s">
        <v>324</v>
      </c>
      <c r="D13" s="97">
        <v>29856</v>
      </c>
      <c r="E13" s="114">
        <f t="shared" ca="1" si="0"/>
        <v>44</v>
      </c>
      <c r="F13" s="97" t="s">
        <v>32</v>
      </c>
      <c r="G13" s="116" t="s">
        <v>512</v>
      </c>
      <c r="H13" s="116" t="s">
        <v>494</v>
      </c>
      <c r="I13" s="116" t="s">
        <v>432</v>
      </c>
      <c r="J13" s="97"/>
      <c r="K13" s="97" t="s">
        <v>34</v>
      </c>
      <c r="L13" s="97">
        <v>44284</v>
      </c>
      <c r="M13" s="97" cm="1">
        <f t="array" ref="M13">_xlfn.XLOOKUP(B13&amp;"", 'Registro EMO'!$C$13:$C$4558&amp;"", 'Registro EMO'!$F$13:$F$4558, "Sin registro", 0, -1)</f>
        <v>45966</v>
      </c>
      <c r="N13" s="11" t="str" cm="1">
        <f t="array" ref="N13">_xlfn.XLOOKUP(B13&amp;"", 'Registro EMO'!$C$13:$C$4558&amp;"", 'Registro EMO'!$E$13:$E$4558, "Sin registro", 0, -1)</f>
        <v>Periódicos</v>
      </c>
      <c r="O13" s="11" t="str">
        <f t="shared" si="4"/>
        <v>SI</v>
      </c>
      <c r="P13" s="97" cm="1">
        <f t="array" ref="P13">_xlfn.LET(
    _xlpm.resultado, _xlfn.XLOOKUP(B13&amp;"", 'Registro EMO'!$C$13:$C$4558&amp;"", 'Registro EMO'!$I$13:$I$4558, "NO", 0, -1),
    IF(_xlpm.resultado=0, "NO", _xlpm.resultado)
)</f>
        <v>46002</v>
      </c>
      <c r="Q13" s="11" t="str">
        <f t="shared" ca="1" si="1"/>
        <v>Vigente</v>
      </c>
      <c r="R13" s="97"/>
      <c r="S13" s="11"/>
      <c r="T13" s="11" t="str">
        <f t="shared" si="2"/>
        <v/>
      </c>
      <c r="U13" s="97"/>
      <c r="V13" s="100" t="s">
        <v>38</v>
      </c>
      <c r="W13" s="7" t="s">
        <v>40</v>
      </c>
      <c r="X13" s="137"/>
      <c r="Y13" s="11"/>
      <c r="Z13" s="11"/>
      <c r="AA13" s="11"/>
      <c r="AB13" s="11"/>
      <c r="AC13" s="11"/>
      <c r="AD13" s="11"/>
      <c r="AE13" s="11"/>
      <c r="AF13" s="11"/>
      <c r="AG13" s="101"/>
      <c r="AH13" s="11" t="s">
        <v>36</v>
      </c>
    </row>
    <row r="14" spans="1:34" x14ac:dyDescent="0.3">
      <c r="A14" s="7" t="str">
        <f t="shared" si="3"/>
        <v>TR-1013</v>
      </c>
      <c r="B14" s="150">
        <v>6794299</v>
      </c>
      <c r="C14" s="145" t="s">
        <v>325</v>
      </c>
      <c r="D14" s="97">
        <v>38047</v>
      </c>
      <c r="E14" s="114">
        <f t="shared" ca="1" si="0"/>
        <v>21</v>
      </c>
      <c r="F14" s="97" t="s">
        <v>32</v>
      </c>
      <c r="G14" s="116" t="s">
        <v>512</v>
      </c>
      <c r="H14" s="116" t="s">
        <v>495</v>
      </c>
      <c r="I14" s="116" t="s">
        <v>433</v>
      </c>
      <c r="J14" s="97"/>
      <c r="K14" s="97" t="s">
        <v>34</v>
      </c>
      <c r="L14" s="97">
        <v>43831</v>
      </c>
      <c r="M14" s="97" cm="1">
        <f t="array" ref="M14">_xlfn.XLOOKUP(B14&amp;"", 'Registro EMO'!$C$13:$C$4558&amp;"", 'Registro EMO'!$F$13:$F$4558, "Sin registro", 0, -1)</f>
        <v>45966</v>
      </c>
      <c r="N14" s="11" t="str" cm="1">
        <f t="array" ref="N14">_xlfn.XLOOKUP(B14&amp;"", 'Registro EMO'!$C$13:$C$4558&amp;"", 'Registro EMO'!$E$13:$E$4558, "Sin registro", 0, -1)</f>
        <v>Periódicos</v>
      </c>
      <c r="O14" s="11" t="str">
        <f t="shared" si="4"/>
        <v>SI</v>
      </c>
      <c r="P14" s="97" cm="1">
        <f t="array" ref="P14">_xlfn.LET(
    _xlpm.resultado, _xlfn.XLOOKUP(B14&amp;"", 'Registro EMO'!$C$13:$C$4558&amp;"", 'Registro EMO'!$I$13:$I$4558, "NO", 0, -1),
    IF(_xlpm.resultado=0, "NO", _xlpm.resultado)
)</f>
        <v>45995</v>
      </c>
      <c r="Q14" s="11" t="str">
        <f t="shared" ca="1" si="1"/>
        <v>Vigente</v>
      </c>
      <c r="R14" s="97"/>
      <c r="S14" s="11"/>
      <c r="T14" s="11" t="str">
        <f t="shared" si="2"/>
        <v/>
      </c>
      <c r="U14" s="97"/>
      <c r="V14" s="100" t="s">
        <v>520</v>
      </c>
      <c r="W14" s="7" t="s">
        <v>39</v>
      </c>
      <c r="X14" s="137"/>
      <c r="Y14" s="11"/>
      <c r="Z14" s="11"/>
      <c r="AA14" s="11"/>
      <c r="AB14" s="11"/>
      <c r="AC14" s="11"/>
      <c r="AD14" s="11"/>
      <c r="AE14" s="11"/>
      <c r="AF14" s="11"/>
      <c r="AG14" s="101"/>
      <c r="AH14" s="11" t="s">
        <v>36</v>
      </c>
    </row>
    <row r="15" spans="1:34" x14ac:dyDescent="0.3">
      <c r="A15" s="7" t="str">
        <f t="shared" si="3"/>
        <v>TR-1014</v>
      </c>
      <c r="B15" s="150">
        <v>74880419</v>
      </c>
      <c r="C15" s="159" t="s">
        <v>326</v>
      </c>
      <c r="D15" s="97">
        <v>35056</v>
      </c>
      <c r="E15" s="114">
        <f t="shared" ca="1" si="0"/>
        <v>30</v>
      </c>
      <c r="F15" s="97" t="s">
        <v>32</v>
      </c>
      <c r="G15" s="116" t="s">
        <v>512</v>
      </c>
      <c r="H15" s="116" t="s">
        <v>492</v>
      </c>
      <c r="I15" s="116" t="s">
        <v>434</v>
      </c>
      <c r="J15" s="97"/>
      <c r="K15" s="97" t="s">
        <v>34</v>
      </c>
      <c r="L15" s="97">
        <v>44494</v>
      </c>
      <c r="M15" s="97" cm="1">
        <f t="array" ref="M15">_xlfn.XLOOKUP(B15&amp;"", 'Registro EMO'!$C$13:$C$4558&amp;"", 'Registro EMO'!$F$13:$F$4558, "Sin registro", 0, -1)</f>
        <v>45966</v>
      </c>
      <c r="N15" s="11" t="str" cm="1">
        <f t="array" ref="N15">_xlfn.XLOOKUP(B15&amp;"", 'Registro EMO'!$C$13:$C$4558&amp;"", 'Registro EMO'!$E$13:$E$4558, "Sin registro", 0, -1)</f>
        <v>Periódicos</v>
      </c>
      <c r="O15" s="11" t="str">
        <f t="shared" si="4"/>
        <v>SI</v>
      </c>
      <c r="P15" s="97" cm="1">
        <f t="array" ref="P15">_xlfn.LET(
    _xlpm.resultado, _xlfn.XLOOKUP(B15&amp;"", 'Registro EMO'!$C$13:$C$4558&amp;"", 'Registro EMO'!$I$13:$I$4558, "NO", 0, -1),
    IF(_xlpm.resultado=0, "NO", _xlpm.resultado)
)</f>
        <v>45988</v>
      </c>
      <c r="Q15" s="11" t="str">
        <f t="shared" ca="1" si="1"/>
        <v>Vigente</v>
      </c>
      <c r="R15" s="97"/>
      <c r="S15" s="11"/>
      <c r="T15" s="11" t="str">
        <f t="shared" si="2"/>
        <v/>
      </c>
      <c r="U15" s="97"/>
      <c r="V15" s="100" t="s">
        <v>38</v>
      </c>
      <c r="W15" s="7" t="s">
        <v>44</v>
      </c>
      <c r="X15" s="137"/>
      <c r="Y15" s="11"/>
      <c r="Z15" s="11"/>
      <c r="AA15" s="11"/>
      <c r="AB15" s="11"/>
      <c r="AC15" s="11"/>
      <c r="AD15" s="11"/>
      <c r="AE15" s="11"/>
      <c r="AF15" s="11"/>
      <c r="AG15" s="101"/>
      <c r="AH15" s="11" t="s">
        <v>36</v>
      </c>
    </row>
    <row r="16" spans="1:34" x14ac:dyDescent="0.3">
      <c r="A16" s="7" t="str">
        <f t="shared" si="3"/>
        <v>TR-1015</v>
      </c>
      <c r="B16" s="150">
        <v>42010010</v>
      </c>
      <c r="C16" s="159" t="s">
        <v>327</v>
      </c>
      <c r="D16" s="97">
        <v>32488</v>
      </c>
      <c r="E16" s="114">
        <f t="shared" ca="1" si="0"/>
        <v>37</v>
      </c>
      <c r="F16" s="97" t="s">
        <v>32</v>
      </c>
      <c r="G16" s="116" t="s">
        <v>512</v>
      </c>
      <c r="H16" s="116" t="s">
        <v>491</v>
      </c>
      <c r="I16" s="116" t="s">
        <v>436</v>
      </c>
      <c r="J16" s="97"/>
      <c r="K16" s="97" t="s">
        <v>47</v>
      </c>
      <c r="L16" s="97">
        <v>45586</v>
      </c>
      <c r="M16" s="97" cm="1">
        <f t="array" ref="M16">_xlfn.XLOOKUP(B16&amp;"", 'Registro EMO'!$C$13:$C$4558&amp;"", 'Registro EMO'!$F$13:$F$4558, "Sin registro", 0, -1)</f>
        <v>45966</v>
      </c>
      <c r="N16" s="11" t="str" cm="1">
        <f t="array" ref="N16">_xlfn.XLOOKUP(B16&amp;"", 'Registro EMO'!$C$13:$C$4558&amp;"", 'Registro EMO'!$E$13:$E$4558, "Sin registro", 0, -1)</f>
        <v>Periódicos</v>
      </c>
      <c r="O16" s="11" t="str">
        <f t="shared" si="4"/>
        <v>SI</v>
      </c>
      <c r="P16" s="97" cm="1">
        <f t="array" ref="P16">_xlfn.LET(
    _xlpm.resultado, _xlfn.XLOOKUP(B16&amp;"", 'Registro EMO'!$C$13:$C$4558&amp;"", 'Registro EMO'!$I$13:$I$4558, "NO", 0, -1),
    IF(_xlpm.resultado=0, "NO", _xlpm.resultado)
)</f>
        <v>45995</v>
      </c>
      <c r="Q16" s="11" t="str">
        <f t="shared" ca="1" si="1"/>
        <v>Vigente</v>
      </c>
      <c r="R16" s="97"/>
      <c r="S16" s="11"/>
      <c r="T16" s="11" t="str">
        <f t="shared" si="2"/>
        <v/>
      </c>
      <c r="U16" s="97"/>
      <c r="V16" s="100" t="s">
        <v>38</v>
      </c>
      <c r="W16" s="7" t="s">
        <v>44</v>
      </c>
      <c r="X16" s="137"/>
      <c r="Y16" s="11"/>
      <c r="Z16" s="11"/>
      <c r="AA16" s="11"/>
      <c r="AB16" s="11"/>
      <c r="AC16" s="11"/>
      <c r="AD16" s="11"/>
      <c r="AE16" s="11"/>
      <c r="AF16" s="11"/>
      <c r="AG16" s="101"/>
      <c r="AH16" s="11" t="s">
        <v>36</v>
      </c>
    </row>
    <row r="17" spans="1:34" x14ac:dyDescent="0.3">
      <c r="A17" s="7" t="str">
        <f t="shared" si="3"/>
        <v>TR-1016</v>
      </c>
      <c r="B17" s="150">
        <v>41284268</v>
      </c>
      <c r="C17" s="159" t="s">
        <v>576</v>
      </c>
      <c r="D17" s="97">
        <v>34653</v>
      </c>
      <c r="E17" s="114">
        <f t="shared" ca="1" si="0"/>
        <v>31</v>
      </c>
      <c r="F17" s="97" t="s">
        <v>32</v>
      </c>
      <c r="G17" s="116" t="s">
        <v>512</v>
      </c>
      <c r="H17" s="116" t="s">
        <v>486</v>
      </c>
      <c r="I17" s="116" t="s">
        <v>435</v>
      </c>
      <c r="J17" s="97"/>
      <c r="K17" s="97" t="s">
        <v>34</v>
      </c>
      <c r="L17" s="97">
        <v>43831</v>
      </c>
      <c r="M17" s="97" cm="1">
        <f t="array" ref="M17">_xlfn.XLOOKUP(B17&amp;"", 'Registro EMO'!$C$13:$C$4558&amp;"", 'Registro EMO'!$F$13:$F$4558, "Sin registro", 0, -1)</f>
        <v>45966</v>
      </c>
      <c r="N17" s="11" t="str" cm="1">
        <f t="array" ref="N17">_xlfn.XLOOKUP(B17&amp;"", 'Registro EMO'!$C$13:$C$4558&amp;"", 'Registro EMO'!$E$13:$E$4558, "Sin registro", 0, -1)</f>
        <v>Periódicos</v>
      </c>
      <c r="O17" s="11" t="str">
        <f t="shared" si="4"/>
        <v>SI</v>
      </c>
      <c r="P17" s="97" cm="1">
        <f t="array" ref="P17">_xlfn.LET(
    _xlpm.resultado, _xlfn.XLOOKUP(B17&amp;"", 'Registro EMO'!$C$13:$C$4558&amp;"", 'Registro EMO'!$I$13:$I$4558, "NO", 0, -1),
    IF(_xlpm.resultado=0, "NO", _xlpm.resultado)
)</f>
        <v>46007</v>
      </c>
      <c r="Q17" s="11" t="str">
        <f t="shared" ca="1" si="1"/>
        <v>Vigente</v>
      </c>
      <c r="R17" s="97"/>
      <c r="S17" s="11"/>
      <c r="T17" s="11" t="str">
        <f t="shared" si="2"/>
        <v/>
      </c>
      <c r="U17" s="97"/>
      <c r="V17" s="100" t="s">
        <v>38</v>
      </c>
      <c r="W17" s="7" t="s">
        <v>37</v>
      </c>
      <c r="X17" s="137"/>
      <c r="Y17" s="11"/>
      <c r="Z17" s="11"/>
      <c r="AA17" s="11"/>
      <c r="AB17" s="11"/>
      <c r="AC17" s="11"/>
      <c r="AD17" s="11"/>
      <c r="AE17" s="11"/>
      <c r="AF17" s="11"/>
      <c r="AG17" s="101"/>
      <c r="AH17" s="11" t="s">
        <v>36</v>
      </c>
    </row>
    <row r="18" spans="1:34" x14ac:dyDescent="0.3">
      <c r="A18" s="7" t="str">
        <f t="shared" si="3"/>
        <v>TR-1017</v>
      </c>
      <c r="B18" s="150">
        <v>9545053</v>
      </c>
      <c r="C18" s="159" t="s">
        <v>577</v>
      </c>
      <c r="D18" s="97">
        <v>24989</v>
      </c>
      <c r="E18" s="114">
        <f t="shared" ca="1" si="0"/>
        <v>57</v>
      </c>
      <c r="F18" s="97" t="s">
        <v>32</v>
      </c>
      <c r="G18" s="116" t="s">
        <v>512</v>
      </c>
      <c r="H18" s="116" t="s">
        <v>491</v>
      </c>
      <c r="I18" s="116" t="s">
        <v>437</v>
      </c>
      <c r="J18" s="97"/>
      <c r="K18" s="97" t="s">
        <v>34</v>
      </c>
      <c r="L18" s="97">
        <v>45992</v>
      </c>
      <c r="M18" s="97" cm="1">
        <f t="array" ref="M18">_xlfn.XLOOKUP(B18&amp;"", 'Registro EMO'!$C$13:$C$4558&amp;"", 'Registro EMO'!$F$13:$F$4558, "Sin registro", 0, -1)</f>
        <v>45966</v>
      </c>
      <c r="N18" s="11" t="str" cm="1">
        <f t="array" ref="N18">_xlfn.XLOOKUP(B18&amp;"", 'Registro EMO'!$C$13:$C$4558&amp;"", 'Registro EMO'!$E$13:$E$4558, "Sin registro", 0, -1)</f>
        <v>Pre-Ocupacional</v>
      </c>
      <c r="O18" s="11" t="str">
        <f t="shared" si="4"/>
        <v>SI</v>
      </c>
      <c r="P18" s="167" cm="1">
        <f t="array" ref="P18">_xlfn.LET(
    _xlpm.resultado, _xlfn.XLOOKUP(B18&amp;"", 'Registro EMO'!$C$13:$C$4558&amp;"", 'Registro EMO'!$I$13:$I$4558, "NO", 0, -1),
    IF(_xlpm.resultado=0, "NO", _xlpm.resultado)
)</f>
        <v>46070</v>
      </c>
      <c r="Q18" s="11" t="str">
        <f t="shared" ca="1" si="1"/>
        <v>Vigente</v>
      </c>
      <c r="R18" s="97"/>
      <c r="S18" s="11"/>
      <c r="T18" s="11" t="str">
        <f t="shared" si="2"/>
        <v/>
      </c>
      <c r="U18" s="97"/>
      <c r="V18" s="100" t="s">
        <v>35</v>
      </c>
      <c r="W18" s="7" t="s">
        <v>39</v>
      </c>
      <c r="X18" s="137"/>
      <c r="Y18" s="11"/>
      <c r="Z18" s="11"/>
      <c r="AA18" s="11"/>
      <c r="AB18" s="11"/>
      <c r="AC18" s="11"/>
      <c r="AD18" s="11"/>
      <c r="AE18" s="11"/>
      <c r="AF18" s="11"/>
      <c r="AG18" s="101"/>
      <c r="AH18" s="11" t="s">
        <v>36</v>
      </c>
    </row>
    <row r="19" spans="1:34" x14ac:dyDescent="0.3">
      <c r="A19" s="7" t="str">
        <f t="shared" si="3"/>
        <v>TR-1018</v>
      </c>
      <c r="B19" s="150">
        <v>48348234</v>
      </c>
      <c r="C19" s="159" t="s">
        <v>328</v>
      </c>
      <c r="D19" s="97">
        <v>37411</v>
      </c>
      <c r="E19" s="114">
        <f t="shared" ca="1" si="0"/>
        <v>23</v>
      </c>
      <c r="F19" s="97" t="s">
        <v>32</v>
      </c>
      <c r="G19" s="116" t="s">
        <v>512</v>
      </c>
      <c r="H19" s="116" t="s">
        <v>491</v>
      </c>
      <c r="I19" s="116" t="s">
        <v>428</v>
      </c>
      <c r="J19" s="97"/>
      <c r="K19" s="97" t="s">
        <v>34</v>
      </c>
      <c r="L19" s="97">
        <v>45870</v>
      </c>
      <c r="M19" s="97" cm="1">
        <f t="array" ref="M19">_xlfn.XLOOKUP(B19&amp;"", 'Registro EMO'!$C$13:$C$4558&amp;"", 'Registro EMO'!$F$13:$F$4558, "Sin registro", 0, -1)</f>
        <v>45966</v>
      </c>
      <c r="N19" s="11" t="str" cm="1">
        <f t="array" ref="N19">_xlfn.XLOOKUP(B19&amp;"", 'Registro EMO'!$C$13:$C$4558&amp;"", 'Registro EMO'!$E$13:$E$4558, "Sin registro", 0, -1)</f>
        <v>Pre-Ocupacional</v>
      </c>
      <c r="O19" s="11" t="str">
        <f t="shared" si="4"/>
        <v>SI</v>
      </c>
      <c r="P19" s="167" cm="1">
        <f t="array" ref="P19">_xlfn.LET(
    _xlpm.resultado, _xlfn.XLOOKUP(B19&amp;"", 'Registro EMO'!$C$13:$C$4558&amp;"", 'Registro EMO'!$I$13:$I$4558, "NO", 0, -1),
    IF(_xlpm.resultado=0, "NO", _xlpm.resultado)
)</f>
        <v>46002</v>
      </c>
      <c r="Q19" s="11" t="str">
        <f t="shared" ca="1" si="1"/>
        <v>Vigente</v>
      </c>
      <c r="R19" s="97"/>
      <c r="S19" s="11"/>
      <c r="T19" s="11" t="str">
        <f t="shared" si="2"/>
        <v/>
      </c>
      <c r="U19" s="97"/>
      <c r="V19" s="100" t="s">
        <v>35</v>
      </c>
      <c r="W19" s="7" t="s">
        <v>39</v>
      </c>
      <c r="X19" s="137"/>
      <c r="Y19" s="11"/>
      <c r="Z19" s="11"/>
      <c r="AA19" s="11"/>
      <c r="AB19" s="11"/>
      <c r="AC19" s="11"/>
      <c r="AD19" s="11"/>
      <c r="AE19" s="11"/>
      <c r="AF19" s="11"/>
      <c r="AG19" s="101"/>
      <c r="AH19" s="11" t="s">
        <v>36</v>
      </c>
    </row>
    <row r="20" spans="1:34" x14ac:dyDescent="0.3">
      <c r="A20" s="7" t="str">
        <f t="shared" si="3"/>
        <v>TR-1019</v>
      </c>
      <c r="B20" s="150">
        <v>72954104</v>
      </c>
      <c r="C20" s="159" t="s">
        <v>329</v>
      </c>
      <c r="D20" s="97">
        <v>38267</v>
      </c>
      <c r="E20" s="114">
        <f t="shared" ca="1" si="0"/>
        <v>21</v>
      </c>
      <c r="F20" s="97" t="s">
        <v>32</v>
      </c>
      <c r="G20" s="116" t="s">
        <v>512</v>
      </c>
      <c r="H20" s="116" t="s">
        <v>486</v>
      </c>
      <c r="I20" s="116" t="s">
        <v>438</v>
      </c>
      <c r="J20" s="97"/>
      <c r="K20" s="97" t="s">
        <v>34</v>
      </c>
      <c r="L20" s="97">
        <v>45915</v>
      </c>
      <c r="M20" s="97" cm="1">
        <f t="array" ref="M20">_xlfn.XLOOKUP(B20&amp;"", 'Registro EMO'!$C$13:$C$4558&amp;"", 'Registro EMO'!$F$13:$F$4558, "Sin registro", 0, -1)</f>
        <v>45966</v>
      </c>
      <c r="N20" s="11" t="str" cm="1">
        <f t="array" ref="N20">_xlfn.XLOOKUP(B20&amp;"", 'Registro EMO'!$C$13:$C$4558&amp;"", 'Registro EMO'!$E$13:$E$4558, "Sin registro", 0, -1)</f>
        <v>Pre-Ocupacional</v>
      </c>
      <c r="O20" s="11" t="str">
        <f t="shared" si="4"/>
        <v>SI</v>
      </c>
      <c r="P20" s="97" cm="1">
        <f t="array" ref="P20">_xlfn.LET(
    _xlpm.resultado, _xlfn.XLOOKUP(B20&amp;"", 'Registro EMO'!$C$13:$C$4558&amp;"", 'Registro EMO'!$I$13:$I$4558, "NO", 0, -1),
    IF(_xlpm.resultado=0, "NO", _xlpm.resultado)
)</f>
        <v>46007</v>
      </c>
      <c r="Q20" s="11" t="str">
        <f t="shared" ca="1" si="1"/>
        <v>Vigente</v>
      </c>
      <c r="R20" s="97"/>
      <c r="S20" s="11"/>
      <c r="T20" s="11" t="str">
        <f t="shared" si="2"/>
        <v/>
      </c>
      <c r="U20" s="97"/>
      <c r="V20" s="100" t="s">
        <v>38</v>
      </c>
      <c r="W20" s="7" t="s">
        <v>37</v>
      </c>
      <c r="X20" s="137"/>
      <c r="Y20" s="11"/>
      <c r="Z20" s="11"/>
      <c r="AA20" s="11"/>
      <c r="AB20" s="11"/>
      <c r="AC20" s="11"/>
      <c r="AD20" s="11"/>
      <c r="AE20" s="11"/>
      <c r="AF20" s="11"/>
      <c r="AG20" s="101"/>
      <c r="AH20" s="11" t="s">
        <v>36</v>
      </c>
    </row>
    <row r="21" spans="1:34" ht="20.25" customHeight="1" x14ac:dyDescent="0.3">
      <c r="A21" s="7" t="str">
        <f t="shared" si="3"/>
        <v>TR-1020</v>
      </c>
      <c r="B21" s="153">
        <v>9059960</v>
      </c>
      <c r="C21" s="165" t="s">
        <v>330</v>
      </c>
      <c r="D21" s="97">
        <v>24426</v>
      </c>
      <c r="E21" s="114">
        <f t="shared" ca="1" si="0"/>
        <v>59</v>
      </c>
      <c r="F21" s="97" t="s">
        <v>32</v>
      </c>
      <c r="G21" s="116" t="s">
        <v>512</v>
      </c>
      <c r="H21" s="116" t="s">
        <v>489</v>
      </c>
      <c r="I21" s="116" t="s">
        <v>425</v>
      </c>
      <c r="J21" s="97"/>
      <c r="K21" s="97" t="s">
        <v>34</v>
      </c>
      <c r="L21" s="97">
        <v>46023</v>
      </c>
      <c r="M21" s="97" cm="1">
        <f t="array" ref="M21">_xlfn.XLOOKUP(B21&amp;"", 'Registro EMO'!$C$13:$C$4558&amp;"", 'Registro EMO'!$F$13:$F$4558, "Sin registro", 0, -1)</f>
        <v>45985</v>
      </c>
      <c r="N21" s="11" t="str" cm="1">
        <f t="array" ref="N21">_xlfn.XLOOKUP(B21&amp;"", 'Registro EMO'!$C$13:$C$4558&amp;"", 'Registro EMO'!$E$13:$E$4558, "Sin registro", 0, -1)</f>
        <v>Periódicos</v>
      </c>
      <c r="O21" s="11" t="str">
        <f t="shared" si="4"/>
        <v>NO</v>
      </c>
      <c r="P21" s="166" t="str" cm="1">
        <f t="array" ref="P21">_xlfn.LET(
    _xlpm.resultado, _xlfn.XLOOKUP(B21&amp;"", 'Registro EMO'!$C$13:$C$4558&amp;"", 'Registro EMO'!$I$13:$I$4558, "NO", 0, -1),
    IF(_xlpm.resultado=0, "NO", _xlpm.resultado)
)</f>
        <v>NO</v>
      </c>
      <c r="Q21" s="11" t="str">
        <f t="shared" ca="1" si="1"/>
        <v>Vigente</v>
      </c>
      <c r="R21" s="97"/>
      <c r="S21" s="11"/>
      <c r="T21" s="11" t="str">
        <f t="shared" si="2"/>
        <v/>
      </c>
      <c r="U21" s="97"/>
      <c r="V21" s="100" t="s">
        <v>38</v>
      </c>
      <c r="W21" s="7" t="s">
        <v>589</v>
      </c>
      <c r="X21" s="137" t="s">
        <v>601</v>
      </c>
      <c r="Y21" s="11" t="s">
        <v>523</v>
      </c>
      <c r="Z21" s="11" t="s">
        <v>524</v>
      </c>
      <c r="AA21" s="11"/>
      <c r="AB21" s="11"/>
      <c r="AC21" s="11"/>
      <c r="AD21" s="11"/>
      <c r="AE21" s="11"/>
      <c r="AF21" s="11"/>
      <c r="AG21" s="101"/>
      <c r="AH21" s="11" t="s">
        <v>36</v>
      </c>
    </row>
    <row r="22" spans="1:34" x14ac:dyDescent="0.3">
      <c r="A22" s="7" t="str">
        <f t="shared" si="3"/>
        <v>TR-1021</v>
      </c>
      <c r="B22" s="150">
        <v>42021229</v>
      </c>
      <c r="C22" s="159" t="s">
        <v>331</v>
      </c>
      <c r="D22" s="97">
        <v>32629</v>
      </c>
      <c r="E22" s="114">
        <f t="shared" ca="1" si="0"/>
        <v>36</v>
      </c>
      <c r="F22" s="97" t="s">
        <v>32</v>
      </c>
      <c r="G22" s="116" t="s">
        <v>512</v>
      </c>
      <c r="H22" s="116" t="s">
        <v>490</v>
      </c>
      <c r="I22" s="116" t="s">
        <v>439</v>
      </c>
      <c r="J22" s="97"/>
      <c r="K22" s="97" t="s">
        <v>34</v>
      </c>
      <c r="L22" s="97">
        <v>45972</v>
      </c>
      <c r="M22" s="97" cm="1">
        <f t="array" ref="M22">_xlfn.XLOOKUP(B22&amp;"", 'Registro EMO'!$C$13:$C$4558&amp;"", 'Registro EMO'!$F$13:$F$4558, "Sin registro", 0, -1)</f>
        <v>46069</v>
      </c>
      <c r="N22" s="11" t="str" cm="1">
        <f t="array" ref="N22">_xlfn.XLOOKUP(B22&amp;"", 'Registro EMO'!$C$13:$C$4558&amp;"", 'Registro EMO'!$E$13:$E$4558, "Sin registro", 0, -1)</f>
        <v>Pre-Ocupacional</v>
      </c>
      <c r="O22" s="11" t="str">
        <f t="shared" si="4"/>
        <v>SI</v>
      </c>
      <c r="P22" s="97" cm="1">
        <f t="array" ref="P22">_xlfn.LET(
    _xlpm.resultado, _xlfn.XLOOKUP(B22&amp;"", 'Registro EMO'!$C$13:$C$4558&amp;"", 'Registro EMO'!$I$13:$I$4558, "NO", 0, -1),
    IF(_xlpm.resultado=0, "NO", _xlpm.resultado)
)</f>
        <v>46070</v>
      </c>
      <c r="Q22" s="11" t="str">
        <f t="shared" ca="1" si="1"/>
        <v>Vigente</v>
      </c>
      <c r="R22" s="97"/>
      <c r="S22" s="11"/>
      <c r="T22" s="11" t="str">
        <f t="shared" si="2"/>
        <v/>
      </c>
      <c r="U22" s="97"/>
      <c r="V22" s="100"/>
      <c r="W22" s="7"/>
      <c r="X22" s="137"/>
      <c r="Y22" s="11"/>
      <c r="Z22" s="11"/>
      <c r="AA22" s="11"/>
      <c r="AB22" s="11"/>
      <c r="AC22" s="11"/>
      <c r="AD22" s="11"/>
      <c r="AE22" s="11"/>
      <c r="AF22" s="11"/>
      <c r="AG22" s="101"/>
      <c r="AH22" s="11" t="s">
        <v>36</v>
      </c>
    </row>
    <row r="23" spans="1:34" x14ac:dyDescent="0.3">
      <c r="A23" s="7" t="str">
        <f t="shared" si="3"/>
        <v>TR-1022</v>
      </c>
      <c r="B23" s="152">
        <v>75854632</v>
      </c>
      <c r="C23" s="159" t="s">
        <v>332</v>
      </c>
      <c r="D23" s="97">
        <v>37257</v>
      </c>
      <c r="E23" s="114">
        <f t="shared" ca="1" si="0"/>
        <v>24</v>
      </c>
      <c r="F23" s="97" t="s">
        <v>32</v>
      </c>
      <c r="G23" s="116" t="s">
        <v>512</v>
      </c>
      <c r="H23" s="116" t="s">
        <v>486</v>
      </c>
      <c r="I23" s="116" t="s">
        <v>438</v>
      </c>
      <c r="J23" s="97"/>
      <c r="K23" s="97" t="s">
        <v>34</v>
      </c>
      <c r="L23" s="97">
        <v>45833</v>
      </c>
      <c r="M23" s="97" cm="1">
        <f t="array" ref="M23">_xlfn.XLOOKUP(B23&amp;"", 'Registro EMO'!$C$13:$C$4558&amp;"", 'Registro EMO'!$F$13:$F$4558, "Sin registro", 0, -1)</f>
        <v>45966</v>
      </c>
      <c r="N23" s="11" t="str" cm="1">
        <f t="array" ref="N23">_xlfn.XLOOKUP(B23&amp;"", 'Registro EMO'!$C$13:$C$4558&amp;"", 'Registro EMO'!$E$13:$E$4558, "Sin registro", 0, -1)</f>
        <v>Pre-Ocupacional</v>
      </c>
      <c r="O23" s="11" t="str">
        <f t="shared" si="4"/>
        <v>SI</v>
      </c>
      <c r="P23" s="97" cm="1">
        <f t="array" ref="P23">_xlfn.LET(
    _xlpm.resultado, _xlfn.XLOOKUP(B23&amp;"", 'Registro EMO'!$C$13:$C$4558&amp;"", 'Registro EMO'!$I$13:$I$4558, "NO", 0, -1),
    IF(_xlpm.resultado=0, "NO", _xlpm.resultado)
)</f>
        <v>46007</v>
      </c>
      <c r="Q23" s="11" t="str">
        <f t="shared" ca="1" si="1"/>
        <v>Vigente</v>
      </c>
      <c r="R23" s="97"/>
      <c r="S23" s="11"/>
      <c r="T23" s="11" t="str">
        <f t="shared" si="2"/>
        <v/>
      </c>
      <c r="U23" s="97"/>
      <c r="V23" s="100" t="s">
        <v>35</v>
      </c>
      <c r="W23" s="7" t="s">
        <v>39</v>
      </c>
      <c r="X23" s="137"/>
      <c r="Y23" s="11"/>
      <c r="Z23" s="11"/>
      <c r="AA23" s="11"/>
      <c r="AB23" s="11"/>
      <c r="AC23" s="11"/>
      <c r="AD23" s="11"/>
      <c r="AE23" s="11"/>
      <c r="AF23" s="11"/>
      <c r="AG23" s="101"/>
      <c r="AH23" s="11" t="s">
        <v>36</v>
      </c>
    </row>
    <row r="24" spans="1:34" x14ac:dyDescent="0.3">
      <c r="A24" s="7" t="str">
        <f t="shared" si="3"/>
        <v>TR-1023</v>
      </c>
      <c r="B24" s="150">
        <v>47876235</v>
      </c>
      <c r="C24" s="159" t="s">
        <v>333</v>
      </c>
      <c r="D24" s="97">
        <v>34799</v>
      </c>
      <c r="E24" s="114">
        <f t="shared" ca="1" si="0"/>
        <v>30</v>
      </c>
      <c r="F24" s="97" t="s">
        <v>32</v>
      </c>
      <c r="G24" s="116" t="s">
        <v>512</v>
      </c>
      <c r="H24" s="116" t="s">
        <v>490</v>
      </c>
      <c r="I24" s="116" t="s">
        <v>440</v>
      </c>
      <c r="J24" s="97"/>
      <c r="K24" s="97" t="s">
        <v>34</v>
      </c>
      <c r="L24" s="97">
        <v>45306</v>
      </c>
      <c r="M24" s="97" cm="1">
        <f t="array" ref="M24">_xlfn.XLOOKUP(B24&amp;"", 'Registro EMO'!$C$13:$C$4558&amp;"", 'Registro EMO'!$F$13:$F$4558, "Sin registro", 0, -1)</f>
        <v>45966</v>
      </c>
      <c r="N24" s="11" t="str" cm="1">
        <f t="array" ref="N24">_xlfn.XLOOKUP(B24&amp;"", 'Registro EMO'!$C$13:$C$4558&amp;"", 'Registro EMO'!$E$13:$E$4558, "Sin registro", 0, -1)</f>
        <v>Periódicos</v>
      </c>
      <c r="O24" s="11" t="str">
        <f t="shared" si="4"/>
        <v>SI</v>
      </c>
      <c r="P24" s="97" cm="1">
        <f t="array" ref="P24">_xlfn.LET(
    _xlpm.resultado, _xlfn.XLOOKUP(B24&amp;"", 'Registro EMO'!$C$13:$C$4558&amp;"", 'Registro EMO'!$I$13:$I$4558, "NO", 0, -1),
    IF(_xlpm.resultado=0, "NO", _xlpm.resultado)
)</f>
        <v>45995</v>
      </c>
      <c r="Q24" s="11" t="str">
        <f t="shared" ca="1" si="1"/>
        <v>Vigente</v>
      </c>
      <c r="R24" s="97"/>
      <c r="S24" s="11"/>
      <c r="T24" s="11" t="str">
        <f t="shared" si="2"/>
        <v/>
      </c>
      <c r="U24" s="97"/>
      <c r="V24" s="100" t="s">
        <v>38</v>
      </c>
      <c r="W24" s="7" t="s">
        <v>49</v>
      </c>
      <c r="X24" s="137"/>
      <c r="Y24" s="11"/>
      <c r="Z24" s="11"/>
      <c r="AA24" s="11"/>
      <c r="AB24" s="11"/>
      <c r="AC24" s="11"/>
      <c r="AD24" s="11"/>
      <c r="AE24" s="11"/>
      <c r="AF24" s="11"/>
      <c r="AG24" s="101"/>
      <c r="AH24" s="11" t="s">
        <v>36</v>
      </c>
    </row>
    <row r="25" spans="1:34" x14ac:dyDescent="0.3">
      <c r="A25" s="7" t="str">
        <f t="shared" si="3"/>
        <v>TR-1024</v>
      </c>
      <c r="B25" s="150">
        <v>45798528</v>
      </c>
      <c r="C25" s="159" t="s">
        <v>334</v>
      </c>
      <c r="D25" s="97">
        <v>38333</v>
      </c>
      <c r="E25" s="114">
        <f t="shared" ca="1" si="0"/>
        <v>21</v>
      </c>
      <c r="F25" s="97" t="s">
        <v>32</v>
      </c>
      <c r="G25" s="116" t="s">
        <v>512</v>
      </c>
      <c r="H25" s="116" t="s">
        <v>491</v>
      </c>
      <c r="I25" s="116" t="s">
        <v>428</v>
      </c>
      <c r="J25" s="97"/>
      <c r="K25" s="97" t="s">
        <v>34</v>
      </c>
      <c r="L25" s="97">
        <v>45231</v>
      </c>
      <c r="M25" s="97" cm="1">
        <f t="array" ref="M25">_xlfn.XLOOKUP(B25&amp;"", 'Registro EMO'!$C$13:$C$4558&amp;"", 'Registro EMO'!$F$13:$F$4558, "Sin registro", 0, -1)</f>
        <v>45966</v>
      </c>
      <c r="N25" s="11" t="str" cm="1">
        <f t="array" ref="N25">_xlfn.XLOOKUP(B25&amp;"", 'Registro EMO'!$C$13:$C$4558&amp;"", 'Registro EMO'!$E$13:$E$4558, "Sin registro", 0, -1)</f>
        <v>Periódicos</v>
      </c>
      <c r="O25" s="11" t="str">
        <f t="shared" si="4"/>
        <v>SI</v>
      </c>
      <c r="P25" s="97" cm="1">
        <f t="array" ref="P25">_xlfn.LET(
    _xlpm.resultado, _xlfn.XLOOKUP(B25&amp;"", 'Registro EMO'!$C$13:$C$4558&amp;"", 'Registro EMO'!$I$13:$I$4558, "NO", 0, -1),
    IF(_xlpm.resultado=0, "NO", _xlpm.resultado)
)</f>
        <v>46002</v>
      </c>
      <c r="Q25" s="11" t="str">
        <f t="shared" ca="1" si="1"/>
        <v>Vigente</v>
      </c>
      <c r="R25" s="97"/>
      <c r="S25" s="11"/>
      <c r="T25" s="11" t="str">
        <f t="shared" si="2"/>
        <v/>
      </c>
      <c r="U25" s="97"/>
      <c r="V25" s="100" t="s">
        <v>35</v>
      </c>
      <c r="W25" s="7" t="s">
        <v>50</v>
      </c>
      <c r="X25" s="137"/>
      <c r="Y25" s="11"/>
      <c r="Z25" s="11"/>
      <c r="AA25" s="11"/>
      <c r="AB25" s="11"/>
      <c r="AC25" s="11"/>
      <c r="AD25" s="11"/>
      <c r="AE25" s="11"/>
      <c r="AF25" s="11"/>
      <c r="AG25" s="101"/>
      <c r="AH25" s="11" t="s">
        <v>36</v>
      </c>
    </row>
    <row r="26" spans="1:34" x14ac:dyDescent="0.3">
      <c r="A26" s="7" t="str">
        <f t="shared" si="3"/>
        <v>TR-1025</v>
      </c>
      <c r="B26" s="150">
        <v>9943578</v>
      </c>
      <c r="C26" s="159" t="s">
        <v>335</v>
      </c>
      <c r="D26" s="97">
        <v>30345</v>
      </c>
      <c r="E26" s="114">
        <f t="shared" ca="1" si="0"/>
        <v>43</v>
      </c>
      <c r="F26" s="97" t="s">
        <v>32</v>
      </c>
      <c r="G26" s="116" t="s">
        <v>512</v>
      </c>
      <c r="H26" s="116" t="s">
        <v>491</v>
      </c>
      <c r="I26" s="116" t="s">
        <v>441</v>
      </c>
      <c r="J26" s="97"/>
      <c r="K26" s="97" t="s">
        <v>34</v>
      </c>
      <c r="L26" s="97">
        <v>45601</v>
      </c>
      <c r="M26" s="97" cm="1">
        <f t="array" ref="M26">_xlfn.XLOOKUP(B26&amp;"", 'Registro EMO'!$C$13:$C$4558&amp;"", 'Registro EMO'!$F$13:$F$4558, "Sin registro", 0, -1)</f>
        <v>45966</v>
      </c>
      <c r="N26" s="11" t="str" cm="1">
        <f t="array" ref="N26">_xlfn.XLOOKUP(B26&amp;"", 'Registro EMO'!$C$13:$C$4558&amp;"", 'Registro EMO'!$E$13:$E$4558, "Sin registro", 0, -1)</f>
        <v>Periódicos</v>
      </c>
      <c r="O26" s="11" t="str">
        <f t="shared" si="4"/>
        <v>SI</v>
      </c>
      <c r="P26" s="97" cm="1">
        <f t="array" ref="P26">_xlfn.LET(
    _xlpm.resultado, _xlfn.XLOOKUP(B26&amp;"", 'Registro EMO'!$C$13:$C$4558&amp;"", 'Registro EMO'!$I$13:$I$4558, "NO", 0, -1),
    IF(_xlpm.resultado=0, "NO", _xlpm.resultado)
)</f>
        <v>45995</v>
      </c>
      <c r="Q26" s="11" t="str">
        <f t="shared" ca="1" si="1"/>
        <v>Vigente</v>
      </c>
      <c r="R26" s="97"/>
      <c r="S26" s="11"/>
      <c r="T26" s="11" t="str">
        <f t="shared" si="2"/>
        <v/>
      </c>
      <c r="U26" s="97"/>
      <c r="V26" s="100" t="s">
        <v>38</v>
      </c>
      <c r="W26" s="7" t="s">
        <v>51</v>
      </c>
      <c r="X26" s="137"/>
      <c r="Y26" s="11"/>
      <c r="Z26" s="11"/>
      <c r="AA26" s="11"/>
      <c r="AB26" s="11"/>
      <c r="AC26" s="11"/>
      <c r="AD26" s="11"/>
      <c r="AE26" s="11"/>
      <c r="AF26" s="11"/>
      <c r="AG26" s="101"/>
      <c r="AH26" s="11" t="s">
        <v>36</v>
      </c>
    </row>
    <row r="27" spans="1:34" x14ac:dyDescent="0.3">
      <c r="A27" s="7" t="str">
        <f t="shared" si="3"/>
        <v>TR-1026</v>
      </c>
      <c r="B27" s="150">
        <v>43119608</v>
      </c>
      <c r="C27" s="159" t="s">
        <v>336</v>
      </c>
      <c r="D27" s="97">
        <v>27952</v>
      </c>
      <c r="E27" s="114">
        <f t="shared" ca="1" si="0"/>
        <v>49</v>
      </c>
      <c r="F27" s="97" t="s">
        <v>32</v>
      </c>
      <c r="G27" s="116" t="s">
        <v>512</v>
      </c>
      <c r="H27" s="116" t="s">
        <v>496</v>
      </c>
      <c r="I27" s="116" t="s">
        <v>442</v>
      </c>
      <c r="J27" s="97"/>
      <c r="K27" s="97" t="s">
        <v>34</v>
      </c>
      <c r="L27" s="97">
        <v>45470</v>
      </c>
      <c r="M27" s="97" cm="1">
        <f t="array" ref="M27">_xlfn.XLOOKUP(B27&amp;"", 'Registro EMO'!$C$13:$C$4558&amp;"", 'Registro EMO'!$F$13:$F$4558, "Sin registro", 0, -1)</f>
        <v>46069</v>
      </c>
      <c r="N27" s="11" t="str" cm="1">
        <f t="array" ref="N27">_xlfn.XLOOKUP(B27&amp;"", 'Registro EMO'!$C$13:$C$4558&amp;"", 'Registro EMO'!$E$13:$E$4558, "Sin registro", 0, -1)</f>
        <v>Pre-Ocupacional</v>
      </c>
      <c r="O27" s="11" t="str">
        <f t="shared" si="4"/>
        <v>SI</v>
      </c>
      <c r="P27" s="97" cm="1">
        <f t="array" ref="P27">_xlfn.LET(
    _xlpm.resultado, _xlfn.XLOOKUP(B27&amp;"", 'Registro EMO'!$C$13:$C$4558&amp;"", 'Registro EMO'!$I$13:$I$4558, "NO", 0, -1),
    IF(_xlpm.resultado=0, "NO", _xlpm.resultado)
)</f>
        <v>46070</v>
      </c>
      <c r="Q27" s="11" t="str">
        <f t="shared" ca="1" si="1"/>
        <v>Vigente</v>
      </c>
      <c r="R27" s="97"/>
      <c r="S27" s="11"/>
      <c r="T27" s="11" t="str">
        <f t="shared" si="2"/>
        <v/>
      </c>
      <c r="U27" s="97"/>
      <c r="V27" s="100" t="s">
        <v>38</v>
      </c>
      <c r="W27" s="7" t="s">
        <v>53</v>
      </c>
      <c r="X27" s="137"/>
      <c r="Y27" s="11"/>
      <c r="Z27" s="11"/>
      <c r="AA27" s="11"/>
      <c r="AB27" s="11"/>
      <c r="AC27" s="11"/>
      <c r="AD27" s="11"/>
      <c r="AE27" s="11"/>
      <c r="AF27" s="11"/>
      <c r="AG27" s="101"/>
      <c r="AH27" s="11" t="s">
        <v>36</v>
      </c>
    </row>
    <row r="28" spans="1:34" x14ac:dyDescent="0.3">
      <c r="A28" s="7" t="str">
        <f t="shared" si="3"/>
        <v>TR-1027</v>
      </c>
      <c r="B28" s="150">
        <v>46201268</v>
      </c>
      <c r="C28" s="159" t="s">
        <v>337</v>
      </c>
      <c r="D28" s="97">
        <v>31680</v>
      </c>
      <c r="E28" s="114">
        <f t="shared" ca="1" si="0"/>
        <v>39</v>
      </c>
      <c r="F28" s="97" t="s">
        <v>32</v>
      </c>
      <c r="G28" s="116" t="s">
        <v>512</v>
      </c>
      <c r="H28" s="116" t="s">
        <v>491</v>
      </c>
      <c r="I28" s="116" t="s">
        <v>428</v>
      </c>
      <c r="J28" s="97"/>
      <c r="K28" s="97" t="s">
        <v>34</v>
      </c>
      <c r="L28" s="97">
        <v>45950</v>
      </c>
      <c r="M28" s="97" cm="1">
        <f t="array" ref="M28">_xlfn.XLOOKUP(B28&amp;"", 'Registro EMO'!$C$13:$C$4558&amp;"", 'Registro EMO'!$F$13:$F$4558, "Sin registro", 0, -1)</f>
        <v>45966</v>
      </c>
      <c r="N28" s="11" t="str" cm="1">
        <f t="array" ref="N28">_xlfn.XLOOKUP(B28&amp;"", 'Registro EMO'!$C$13:$C$4558&amp;"", 'Registro EMO'!$E$13:$E$4558, "Sin registro", 0, -1)</f>
        <v>Pre-Ocupacional</v>
      </c>
      <c r="O28" s="11" t="str">
        <f t="shared" si="4"/>
        <v>SI</v>
      </c>
      <c r="P28" s="97" cm="1">
        <f t="array" ref="P28">_xlfn.LET(
    _xlpm.resultado, _xlfn.XLOOKUP(B28&amp;"", 'Registro EMO'!$C$13:$C$4558&amp;"", 'Registro EMO'!$I$13:$I$4558, "NO", 0, -1),
    IF(_xlpm.resultado=0, "NO", _xlpm.resultado)
)</f>
        <v>46002</v>
      </c>
      <c r="Q28" s="11" t="str">
        <f t="shared" ca="1" si="1"/>
        <v>Vigente</v>
      </c>
      <c r="R28" s="97"/>
      <c r="S28" s="11"/>
      <c r="T28" s="11" t="str">
        <f t="shared" si="2"/>
        <v/>
      </c>
      <c r="U28" s="97"/>
      <c r="V28" s="100" t="s">
        <v>35</v>
      </c>
      <c r="W28" s="7" t="s">
        <v>55</v>
      </c>
      <c r="X28" s="137"/>
      <c r="Y28" s="11"/>
      <c r="Z28" s="11"/>
      <c r="AA28" s="11"/>
      <c r="AB28" s="11"/>
      <c r="AC28" s="11"/>
      <c r="AD28" s="11"/>
      <c r="AE28" s="11"/>
      <c r="AF28" s="11"/>
      <c r="AG28" s="101"/>
      <c r="AH28" s="11" t="s">
        <v>36</v>
      </c>
    </row>
    <row r="29" spans="1:34" x14ac:dyDescent="0.3">
      <c r="A29" s="7" t="str">
        <f t="shared" si="3"/>
        <v>TR-1028</v>
      </c>
      <c r="B29" s="150">
        <v>44848085</v>
      </c>
      <c r="C29" s="159" t="s">
        <v>338</v>
      </c>
      <c r="D29" s="97">
        <v>29671</v>
      </c>
      <c r="E29" s="114">
        <f t="shared" ca="1" si="0"/>
        <v>44</v>
      </c>
      <c r="F29" s="97" t="s">
        <v>32</v>
      </c>
      <c r="G29" s="116" t="s">
        <v>512</v>
      </c>
      <c r="H29" s="116" t="s">
        <v>497</v>
      </c>
      <c r="I29" s="116" t="s">
        <v>443</v>
      </c>
      <c r="J29" s="97"/>
      <c r="K29" s="97" t="s">
        <v>34</v>
      </c>
      <c r="L29" s="97">
        <v>43831</v>
      </c>
      <c r="M29" s="97" cm="1">
        <f t="array" ref="M29">_xlfn.XLOOKUP(B29&amp;"", 'Registro EMO'!$C$13:$C$4558&amp;"", 'Registro EMO'!$F$13:$F$4558, "Sin registro", 0, -1)</f>
        <v>45966</v>
      </c>
      <c r="N29" s="11" t="str" cm="1">
        <f t="array" ref="N29">_xlfn.XLOOKUP(B29&amp;"", 'Registro EMO'!$C$13:$C$4558&amp;"", 'Registro EMO'!$E$13:$E$4558, "Sin registro", 0, -1)</f>
        <v>Periódicos</v>
      </c>
      <c r="O29" s="11" t="str">
        <f t="shared" si="4"/>
        <v>SI</v>
      </c>
      <c r="P29" s="97" cm="1">
        <f t="array" ref="P29">_xlfn.LET(
    _xlpm.resultado, _xlfn.XLOOKUP(B29&amp;"", 'Registro EMO'!$C$13:$C$4558&amp;"", 'Registro EMO'!$I$13:$I$4558, "NO", 0, -1),
    IF(_xlpm.resultado=0, "NO", _xlpm.resultado)
)</f>
        <v>45995</v>
      </c>
      <c r="Q29" s="11" t="str">
        <f t="shared" ca="1" si="1"/>
        <v>Vigente</v>
      </c>
      <c r="R29" s="97"/>
      <c r="S29" s="11"/>
      <c r="T29" s="11" t="str">
        <f t="shared" si="2"/>
        <v/>
      </c>
      <c r="U29" s="97"/>
      <c r="V29" s="100" t="s">
        <v>35</v>
      </c>
      <c r="W29" s="7" t="s">
        <v>56</v>
      </c>
      <c r="X29" s="137"/>
      <c r="Y29" s="11"/>
      <c r="Z29" s="11"/>
      <c r="AA29" s="11"/>
      <c r="AB29" s="11"/>
      <c r="AC29" s="11"/>
      <c r="AD29" s="11"/>
      <c r="AE29" s="11"/>
      <c r="AF29" s="11"/>
      <c r="AG29" s="101"/>
      <c r="AH29" s="11" t="s">
        <v>36</v>
      </c>
    </row>
    <row r="30" spans="1:34" x14ac:dyDescent="0.3">
      <c r="A30" s="7" t="str">
        <f t="shared" si="3"/>
        <v>TR-1029</v>
      </c>
      <c r="B30" s="150">
        <v>76126043</v>
      </c>
      <c r="C30" s="159" t="s">
        <v>339</v>
      </c>
      <c r="D30" s="97">
        <v>32205</v>
      </c>
      <c r="E30" s="114">
        <f t="shared" ca="1" si="0"/>
        <v>37</v>
      </c>
      <c r="F30" s="97" t="s">
        <v>32</v>
      </c>
      <c r="G30" s="116" t="s">
        <v>512</v>
      </c>
      <c r="H30" s="116" t="s">
        <v>487</v>
      </c>
      <c r="I30" s="116" t="s">
        <v>444</v>
      </c>
      <c r="J30" s="97"/>
      <c r="K30" s="97" t="s">
        <v>34</v>
      </c>
      <c r="L30" s="97">
        <v>43831</v>
      </c>
      <c r="M30" s="97" cm="1">
        <f t="array" ref="M30">_xlfn.XLOOKUP(B30&amp;"", 'Registro EMO'!$C$13:$C$4558&amp;"", 'Registro EMO'!$F$13:$F$4558, "Sin registro", 0, -1)</f>
        <v>45966</v>
      </c>
      <c r="N30" s="11" t="str" cm="1">
        <f t="array" ref="N30">_xlfn.XLOOKUP(B30&amp;"", 'Registro EMO'!$C$13:$C$4558&amp;"", 'Registro EMO'!$E$13:$E$4558, "Sin registro", 0, -1)</f>
        <v>Periódicos</v>
      </c>
      <c r="O30" s="11" t="str">
        <f t="shared" si="4"/>
        <v>SI</v>
      </c>
      <c r="P30" s="97" cm="1">
        <f t="array" ref="P30">_xlfn.LET(
    _xlpm.resultado, _xlfn.XLOOKUP(B30&amp;"", 'Registro EMO'!$C$13:$C$4558&amp;"", 'Registro EMO'!$I$13:$I$4558, "NO", 0, -1),
    IF(_xlpm.resultado=0, "NO", _xlpm.resultado)
)</f>
        <v>46007</v>
      </c>
      <c r="Q30" s="11" t="str">
        <f t="shared" ca="1" si="1"/>
        <v>Vigente</v>
      </c>
      <c r="R30" s="97"/>
      <c r="S30" s="11"/>
      <c r="T30" s="11" t="str">
        <f t="shared" si="2"/>
        <v/>
      </c>
      <c r="U30" s="97"/>
      <c r="V30" s="100" t="s">
        <v>35</v>
      </c>
      <c r="W30" s="7" t="s">
        <v>44</v>
      </c>
      <c r="X30" s="137"/>
      <c r="Y30" s="11"/>
      <c r="Z30" s="11"/>
      <c r="AA30" s="11"/>
      <c r="AB30" s="11"/>
      <c r="AC30" s="11"/>
      <c r="AD30" s="11"/>
      <c r="AE30" s="11"/>
      <c r="AF30" s="11"/>
      <c r="AG30" s="101"/>
      <c r="AH30" s="11" t="s">
        <v>36</v>
      </c>
    </row>
    <row r="31" spans="1:34" x14ac:dyDescent="0.3">
      <c r="A31" s="7" t="str">
        <f t="shared" si="3"/>
        <v>TR-1030</v>
      </c>
      <c r="B31" s="150">
        <v>7499832</v>
      </c>
      <c r="C31" s="158" t="s">
        <v>340</v>
      </c>
      <c r="D31" s="97">
        <v>29856</v>
      </c>
      <c r="E31" s="114">
        <f t="shared" ca="1" si="0"/>
        <v>44</v>
      </c>
      <c r="F31" s="97" t="s">
        <v>32</v>
      </c>
      <c r="G31" s="116" t="s">
        <v>512</v>
      </c>
      <c r="H31" s="116" t="s">
        <v>488</v>
      </c>
      <c r="I31" s="116" t="s">
        <v>445</v>
      </c>
      <c r="J31" s="97"/>
      <c r="K31" s="97" t="s">
        <v>34</v>
      </c>
      <c r="L31" s="97">
        <v>45782</v>
      </c>
      <c r="M31" s="97" cm="1">
        <f t="array" ref="M31">_xlfn.XLOOKUP(B31&amp;"", 'Registro EMO'!$C$13:$C$4558&amp;"", 'Registro EMO'!$F$13:$F$4558, "Sin registro", 0, -1)</f>
        <v>45966</v>
      </c>
      <c r="N31" s="11" t="str" cm="1">
        <f t="array" ref="N31">_xlfn.XLOOKUP(B31&amp;"", 'Registro EMO'!$C$13:$C$4558&amp;"", 'Registro EMO'!$E$13:$E$4558, "Sin registro", 0, -1)</f>
        <v>Pre-Ocupacional</v>
      </c>
      <c r="O31" s="11" t="str">
        <f t="shared" si="4"/>
        <v>SI</v>
      </c>
      <c r="P31" s="97" cm="1">
        <f t="array" ref="P31">_xlfn.LET(
    _xlpm.resultado, _xlfn.XLOOKUP(B31&amp;"", 'Registro EMO'!$C$13:$C$4558&amp;"", 'Registro EMO'!$I$13:$I$4558, "NO", 0, -1),
    IF(_xlpm.resultado=0, "NO", _xlpm.resultado)
)</f>
        <v>45988</v>
      </c>
      <c r="Q31" s="11" t="str">
        <f t="shared" ca="1" si="1"/>
        <v>Vigente</v>
      </c>
      <c r="R31" s="97"/>
      <c r="S31" s="11"/>
      <c r="T31" s="11" t="str">
        <f t="shared" si="2"/>
        <v/>
      </c>
      <c r="U31" s="97"/>
      <c r="V31" s="100" t="s">
        <v>35</v>
      </c>
      <c r="W31" s="7" t="s">
        <v>39</v>
      </c>
      <c r="X31" s="137"/>
      <c r="Y31" s="11"/>
      <c r="Z31" s="11"/>
      <c r="AA31" s="11"/>
      <c r="AB31" s="11"/>
      <c r="AC31" s="11"/>
      <c r="AD31" s="11"/>
      <c r="AE31" s="11"/>
      <c r="AF31" s="11"/>
      <c r="AG31" s="101"/>
      <c r="AH31" s="11" t="s">
        <v>36</v>
      </c>
    </row>
    <row r="32" spans="1:34" x14ac:dyDescent="0.3">
      <c r="A32" s="7" t="str">
        <f t="shared" si="3"/>
        <v>TR-1031</v>
      </c>
      <c r="B32" s="150">
        <v>76502350</v>
      </c>
      <c r="C32" s="158" t="s">
        <v>341</v>
      </c>
      <c r="D32" s="97">
        <v>27411</v>
      </c>
      <c r="E32" s="114">
        <f t="shared" ca="1" si="0"/>
        <v>51</v>
      </c>
      <c r="F32" s="97" t="s">
        <v>32</v>
      </c>
      <c r="G32" s="116" t="s">
        <v>512</v>
      </c>
      <c r="H32" s="116" t="s">
        <v>492</v>
      </c>
      <c r="I32" s="116" t="s">
        <v>430</v>
      </c>
      <c r="J32" s="97"/>
      <c r="K32" s="97" t="s">
        <v>34</v>
      </c>
      <c r="L32" s="97">
        <v>46055</v>
      </c>
      <c r="M32" s="97" cm="1">
        <f t="array" ref="M32">_xlfn.XLOOKUP(B32&amp;"", 'Registro EMO'!$C$13:$C$4558&amp;"", 'Registro EMO'!$F$13:$F$4558, "Sin registro", 0, -1)</f>
        <v>46069</v>
      </c>
      <c r="N32" s="11" t="str" cm="1">
        <f t="array" ref="N32">_xlfn.XLOOKUP(B32&amp;"", 'Registro EMO'!$C$13:$C$4558&amp;"", 'Registro EMO'!$E$13:$E$4558, "Sin registro", 0, -1)</f>
        <v>Pre-Ocupacional</v>
      </c>
      <c r="O32" s="11" t="str">
        <f t="shared" si="4"/>
        <v>SI</v>
      </c>
      <c r="P32" s="97" cm="1">
        <f t="array" ref="P32">_xlfn.LET(
    _xlpm.resultado, _xlfn.XLOOKUP(B32&amp;"", 'Registro EMO'!$C$13:$C$4558&amp;"", 'Registro EMO'!$I$13:$I$4558, "NO", 0, -1),
    IF(_xlpm.resultado=0, "NO", _xlpm.resultado)
)</f>
        <v>46070</v>
      </c>
      <c r="Q32" s="11" t="str">
        <f t="shared" ca="1" si="1"/>
        <v>Vigente</v>
      </c>
      <c r="R32" s="97"/>
      <c r="S32" s="11"/>
      <c r="T32" s="11" t="str">
        <f t="shared" si="2"/>
        <v/>
      </c>
      <c r="U32" s="97"/>
      <c r="V32" s="100"/>
      <c r="W32" s="7"/>
      <c r="X32" s="137"/>
      <c r="Y32" s="11"/>
      <c r="Z32" s="11"/>
      <c r="AA32" s="11"/>
      <c r="AB32" s="11"/>
      <c r="AC32" s="11"/>
      <c r="AD32" s="11"/>
      <c r="AE32" s="11"/>
      <c r="AF32" s="11"/>
      <c r="AG32" s="101"/>
      <c r="AH32" s="11" t="s">
        <v>36</v>
      </c>
    </row>
    <row r="33" spans="1:34" x14ac:dyDescent="0.3">
      <c r="A33" s="7" t="str">
        <f t="shared" si="3"/>
        <v>TR-1032</v>
      </c>
      <c r="B33" s="150">
        <v>48162112</v>
      </c>
      <c r="C33" s="158" t="s">
        <v>342</v>
      </c>
      <c r="D33" s="97">
        <v>35158</v>
      </c>
      <c r="E33" s="114">
        <f t="shared" ca="1" si="0"/>
        <v>29</v>
      </c>
      <c r="F33" s="97" t="s">
        <v>32</v>
      </c>
      <c r="G33" s="116" t="s">
        <v>512</v>
      </c>
      <c r="H33" s="116" t="s">
        <v>498</v>
      </c>
      <c r="I33" s="116" t="s">
        <v>446</v>
      </c>
      <c r="J33" s="97"/>
      <c r="K33" s="97" t="s">
        <v>34</v>
      </c>
      <c r="L33" s="97">
        <v>45526</v>
      </c>
      <c r="M33" s="97" cm="1">
        <f t="array" ref="M33">_xlfn.XLOOKUP(B33&amp;"", 'Registro EMO'!$C$13:$C$4558&amp;"", 'Registro EMO'!$F$13:$F$4558, "Sin registro", 0, -1)</f>
        <v>46069</v>
      </c>
      <c r="N33" s="11" t="str" cm="1">
        <f t="array" ref="N33">_xlfn.XLOOKUP(B33&amp;"", 'Registro EMO'!$C$13:$C$4558&amp;"", 'Registro EMO'!$E$13:$E$4558, "Sin registro", 0, -1)</f>
        <v>Pre-Ocupacional</v>
      </c>
      <c r="O33" s="11" t="str">
        <f t="shared" si="4"/>
        <v>SI</v>
      </c>
      <c r="P33" s="97" cm="1">
        <f t="array" ref="P33">_xlfn.LET(
    _xlpm.resultado, _xlfn.XLOOKUP(B33&amp;"", 'Registro EMO'!$C$13:$C$4558&amp;"", 'Registro EMO'!$I$13:$I$4558, "NO", 0, -1),
    IF(_xlpm.resultado=0, "NO", _xlpm.resultado)
)</f>
        <v>46070</v>
      </c>
      <c r="Q33" s="11" t="str">
        <f t="shared" ca="1" si="1"/>
        <v>Vigente</v>
      </c>
      <c r="R33" s="97"/>
      <c r="S33" s="11"/>
      <c r="T33" s="11" t="str">
        <f t="shared" si="2"/>
        <v/>
      </c>
      <c r="U33" s="97"/>
      <c r="V33" s="100"/>
      <c r="W33" s="7"/>
      <c r="X33" s="137"/>
      <c r="Y33" s="11"/>
      <c r="Z33" s="11"/>
      <c r="AA33" s="11"/>
      <c r="AB33" s="11"/>
      <c r="AC33" s="11"/>
      <c r="AD33" s="11"/>
      <c r="AE33" s="11"/>
      <c r="AF33" s="11"/>
      <c r="AG33" s="101"/>
      <c r="AH33" s="11" t="s">
        <v>36</v>
      </c>
    </row>
    <row r="34" spans="1:34" x14ac:dyDescent="0.3">
      <c r="A34" s="7" t="str">
        <f t="shared" ref="A34:A65" si="5">IF(B34&lt;&gt;"", "TR-" &amp; TEXT(1000 + ROW(A34) - 1, "0000"), "")</f>
        <v>TR-1033</v>
      </c>
      <c r="B34" s="152">
        <v>8754584</v>
      </c>
      <c r="C34" s="158" t="s">
        <v>343</v>
      </c>
      <c r="D34" s="97">
        <v>32403</v>
      </c>
      <c r="E34" s="114">
        <f t="shared" ref="E34:E65" ca="1" si="6">DATEDIF(D34, TODAY(), "y")</f>
        <v>37</v>
      </c>
      <c r="F34" s="97" t="s">
        <v>32</v>
      </c>
      <c r="G34" s="116" t="s">
        <v>512</v>
      </c>
      <c r="H34" s="116" t="s">
        <v>499</v>
      </c>
      <c r="I34" s="116" t="s">
        <v>447</v>
      </c>
      <c r="J34" s="97"/>
      <c r="K34" s="97" t="s">
        <v>34</v>
      </c>
      <c r="L34" s="97">
        <v>38586</v>
      </c>
      <c r="M34" s="97" cm="1">
        <f t="array" ref="M34">_xlfn.XLOOKUP(B34&amp;"", 'Registro EMO'!$C$13:$C$4558&amp;"", 'Registro EMO'!$F$13:$F$4558, "Sin registro", 0, -1)</f>
        <v>45966</v>
      </c>
      <c r="N34" s="11" t="str" cm="1">
        <f t="array" ref="N34">_xlfn.XLOOKUP(B34&amp;"", 'Registro EMO'!$C$13:$C$4558&amp;"", 'Registro EMO'!$E$13:$E$4558, "Sin registro", 0, -1)</f>
        <v>Periódicos</v>
      </c>
      <c r="O34" s="11" t="str">
        <f t="shared" ref="O34:O65" si="7">IF(P34="NO", "NO", "SI")</f>
        <v>SI</v>
      </c>
      <c r="P34" s="97" cm="1">
        <f t="array" ref="P34">_xlfn.LET(
    _xlpm.resultado, _xlfn.XLOOKUP(B34&amp;"", 'Registro EMO'!$C$13:$C$4558&amp;"", 'Registro EMO'!$I$13:$I$4558, "NO", 0, -1),
    IF(_xlpm.resultado=0, "NO", _xlpm.resultado)
)</f>
        <v>46002</v>
      </c>
      <c r="Q34" s="11" t="str">
        <f t="shared" ref="Q34:Q65" ca="1" si="8">IF(M34="Sin registro", "Pendiente", IF(EDATE(M34, IF(K34="Oficina", 24, 12)) &gt;= TODAY(), "Vigente", "Vencido"))</f>
        <v>Vigente</v>
      </c>
      <c r="R34" s="97"/>
      <c r="S34" s="11"/>
      <c r="T34" s="11" t="str">
        <f t="shared" ref="T34:T65" si="9">IF(R34="", "", IF(U34="", "NO", "SI"))</f>
        <v/>
      </c>
      <c r="U34" s="97"/>
      <c r="V34" s="100" t="s">
        <v>38</v>
      </c>
      <c r="W34" s="7" t="s">
        <v>58</v>
      </c>
      <c r="X34" s="137"/>
      <c r="Y34" s="11"/>
      <c r="Z34" s="11"/>
      <c r="AA34" s="11"/>
      <c r="AB34" s="11"/>
      <c r="AC34" s="11"/>
      <c r="AD34" s="11"/>
      <c r="AE34" s="11"/>
      <c r="AF34" s="11"/>
      <c r="AG34" s="101"/>
      <c r="AH34" s="11" t="s">
        <v>36</v>
      </c>
    </row>
    <row r="35" spans="1:34" x14ac:dyDescent="0.3">
      <c r="A35" s="7" t="str">
        <f t="shared" si="5"/>
        <v>TR-1034</v>
      </c>
      <c r="B35" s="150">
        <v>44125562</v>
      </c>
      <c r="C35" s="158" t="s">
        <v>344</v>
      </c>
      <c r="D35" s="97">
        <v>24717</v>
      </c>
      <c r="E35" s="114">
        <f t="shared" ca="1" si="6"/>
        <v>58</v>
      </c>
      <c r="F35" s="97" t="s">
        <v>59</v>
      </c>
      <c r="G35" s="116" t="s">
        <v>512</v>
      </c>
      <c r="H35" s="116" t="s">
        <v>490</v>
      </c>
      <c r="I35" s="116" t="s">
        <v>448</v>
      </c>
      <c r="J35" s="97"/>
      <c r="K35" s="97" t="s">
        <v>34</v>
      </c>
      <c r="L35" s="97">
        <v>43831</v>
      </c>
      <c r="M35" s="97" cm="1">
        <f t="array" ref="M35">_xlfn.XLOOKUP(B35&amp;"", 'Registro EMO'!$C$13:$C$4558&amp;"", 'Registro EMO'!$F$13:$F$4558, "Sin registro", 0, -1)</f>
        <v>45966</v>
      </c>
      <c r="N35" s="11" t="str" cm="1">
        <f t="array" ref="N35">_xlfn.XLOOKUP(B35&amp;"", 'Registro EMO'!$C$13:$C$4558&amp;"", 'Registro EMO'!$E$13:$E$4558, "Sin registro", 0, -1)</f>
        <v>Periódicos</v>
      </c>
      <c r="O35" s="11" t="str">
        <f t="shared" si="7"/>
        <v>SI</v>
      </c>
      <c r="P35" s="97" cm="1">
        <f t="array" ref="P35">_xlfn.LET(
    _xlpm.resultado, _xlfn.XLOOKUP(B35&amp;"", 'Registro EMO'!$C$13:$C$4558&amp;"", 'Registro EMO'!$I$13:$I$4558, "NO", 0, -1),
    IF(_xlpm.resultado=0, "NO", _xlpm.resultado)
)</f>
        <v>46057</v>
      </c>
      <c r="Q35" s="11" t="str">
        <f t="shared" ca="1" si="8"/>
        <v>Vigente</v>
      </c>
      <c r="R35" s="97"/>
      <c r="S35" s="11"/>
      <c r="T35" s="11" t="str">
        <f t="shared" si="9"/>
        <v/>
      </c>
      <c r="U35" s="97"/>
      <c r="V35" s="100" t="s">
        <v>38</v>
      </c>
      <c r="W35" s="7" t="s">
        <v>39</v>
      </c>
      <c r="X35" s="137"/>
      <c r="Y35" s="11"/>
      <c r="Z35" s="11"/>
      <c r="AA35" s="11"/>
      <c r="AB35" s="11"/>
      <c r="AC35" s="11"/>
      <c r="AD35" s="11"/>
      <c r="AE35" s="11"/>
      <c r="AF35" s="11"/>
      <c r="AG35" s="101"/>
      <c r="AH35" s="11" t="s">
        <v>36</v>
      </c>
    </row>
    <row r="36" spans="1:34" x14ac:dyDescent="0.3">
      <c r="A36" s="7" t="str">
        <f t="shared" si="5"/>
        <v>TR-1035</v>
      </c>
      <c r="B36" s="150">
        <v>73340067</v>
      </c>
      <c r="C36" s="158" t="s">
        <v>345</v>
      </c>
      <c r="D36" s="97">
        <v>32894</v>
      </c>
      <c r="E36" s="114">
        <f t="shared" ca="1" si="6"/>
        <v>36</v>
      </c>
      <c r="F36" s="97" t="s">
        <v>32</v>
      </c>
      <c r="G36" s="116" t="s">
        <v>512</v>
      </c>
      <c r="H36" s="116" t="s">
        <v>490</v>
      </c>
      <c r="I36" s="116" t="s">
        <v>449</v>
      </c>
      <c r="J36" s="97"/>
      <c r="K36" s="97" t="s">
        <v>34</v>
      </c>
      <c r="L36" s="97">
        <v>45574</v>
      </c>
      <c r="M36" s="97" cm="1">
        <f t="array" ref="M36">_xlfn.XLOOKUP(B36&amp;"", 'Registro EMO'!$C$13:$C$4558&amp;"", 'Registro EMO'!$F$13:$F$4558, "Sin registro", 0, -1)</f>
        <v>45966</v>
      </c>
      <c r="N36" s="11" t="str" cm="1">
        <f t="array" ref="N36">_xlfn.XLOOKUP(B36&amp;"", 'Registro EMO'!$C$13:$C$4558&amp;"", 'Registro EMO'!$E$13:$E$4558, "Sin registro", 0, -1)</f>
        <v>Periódicos</v>
      </c>
      <c r="O36" s="11" t="str">
        <f t="shared" si="7"/>
        <v>SI</v>
      </c>
      <c r="P36" s="97" cm="1">
        <f t="array" ref="P36">_xlfn.LET(
    _xlpm.resultado, _xlfn.XLOOKUP(B36&amp;"", 'Registro EMO'!$C$13:$C$4558&amp;"", 'Registro EMO'!$I$13:$I$4558, "NO", 0, -1),
    IF(_xlpm.resultado=0, "NO", _xlpm.resultado)
)</f>
        <v>46002</v>
      </c>
      <c r="Q36" s="11" t="str">
        <f t="shared" ca="1" si="8"/>
        <v>Vigente</v>
      </c>
      <c r="R36" s="97"/>
      <c r="S36" s="11"/>
      <c r="T36" s="11" t="str">
        <f t="shared" si="9"/>
        <v/>
      </c>
      <c r="U36" s="97"/>
      <c r="V36" s="100" t="s">
        <v>38</v>
      </c>
      <c r="W36" s="7" t="s">
        <v>60</v>
      </c>
      <c r="X36" s="137"/>
      <c r="Y36" s="11"/>
      <c r="Z36" s="11"/>
      <c r="AA36" s="11"/>
      <c r="AB36" s="11"/>
      <c r="AC36" s="11"/>
      <c r="AD36" s="11"/>
      <c r="AE36" s="11"/>
      <c r="AF36" s="11"/>
      <c r="AG36" s="101"/>
      <c r="AH36" s="11" t="s">
        <v>36</v>
      </c>
    </row>
    <row r="37" spans="1:34" x14ac:dyDescent="0.3">
      <c r="A37" s="7" t="str">
        <f t="shared" si="5"/>
        <v>TR-1036</v>
      </c>
      <c r="B37" s="152">
        <v>3496246</v>
      </c>
      <c r="C37" s="159" t="s">
        <v>346</v>
      </c>
      <c r="D37" s="97">
        <v>29762</v>
      </c>
      <c r="E37" s="114">
        <f t="shared" ca="1" si="6"/>
        <v>44</v>
      </c>
      <c r="F37" s="97" t="s">
        <v>32</v>
      </c>
      <c r="G37" s="116" t="s">
        <v>512</v>
      </c>
      <c r="H37" s="116" t="s">
        <v>500</v>
      </c>
      <c r="I37" s="116" t="s">
        <v>450</v>
      </c>
      <c r="J37" s="97"/>
      <c r="K37" s="97" t="s">
        <v>34</v>
      </c>
      <c r="L37" s="97">
        <v>43831</v>
      </c>
      <c r="M37" s="97" cm="1">
        <f t="array" ref="M37">_xlfn.XLOOKUP(B37&amp;"", 'Registro EMO'!$C$13:$C$4558&amp;"", 'Registro EMO'!$F$13:$F$4558, "Sin registro", 0, -1)</f>
        <v>45966</v>
      </c>
      <c r="N37" s="11" t="str" cm="1">
        <f t="array" ref="N37">_xlfn.XLOOKUP(B37&amp;"", 'Registro EMO'!$C$13:$C$4558&amp;"", 'Registro EMO'!$E$13:$E$4558, "Sin registro", 0, -1)</f>
        <v>Periódicos</v>
      </c>
      <c r="O37" s="11" t="str">
        <f t="shared" si="7"/>
        <v>SI</v>
      </c>
      <c r="P37" s="97" cm="1">
        <f t="array" ref="P37">_xlfn.LET(
    _xlpm.resultado, _xlfn.XLOOKUP(B37&amp;"", 'Registro EMO'!$C$13:$C$4558&amp;"", 'Registro EMO'!$I$13:$I$4558, "NO", 0, -1),
    IF(_xlpm.resultado=0, "NO", _xlpm.resultado)
)</f>
        <v>46057</v>
      </c>
      <c r="Q37" s="11" t="str">
        <f t="shared" ca="1" si="8"/>
        <v>Vigente</v>
      </c>
      <c r="R37" s="97"/>
      <c r="S37" s="11"/>
      <c r="T37" s="11" t="str">
        <f t="shared" si="9"/>
        <v/>
      </c>
      <c r="U37" s="97"/>
      <c r="V37" s="100" t="s">
        <v>38</v>
      </c>
      <c r="W37" s="7" t="s">
        <v>39</v>
      </c>
      <c r="X37" s="137"/>
      <c r="Y37" s="11"/>
      <c r="Z37" s="11"/>
      <c r="AA37" s="11"/>
      <c r="AB37" s="11"/>
      <c r="AC37" s="11"/>
      <c r="AD37" s="11"/>
      <c r="AE37" s="11"/>
      <c r="AF37" s="11"/>
      <c r="AG37" s="101"/>
      <c r="AH37" s="11" t="s">
        <v>36</v>
      </c>
    </row>
    <row r="38" spans="1:34" x14ac:dyDescent="0.3">
      <c r="A38" s="7" t="str">
        <f t="shared" si="5"/>
        <v>TR-1037</v>
      </c>
      <c r="B38" s="152">
        <v>70346273</v>
      </c>
      <c r="C38" s="159" t="s">
        <v>578</v>
      </c>
      <c r="D38" s="97">
        <v>33279</v>
      </c>
      <c r="E38" s="114">
        <f t="shared" ca="1" si="6"/>
        <v>35</v>
      </c>
      <c r="F38" s="97" t="s">
        <v>32</v>
      </c>
      <c r="G38" s="116" t="s">
        <v>512</v>
      </c>
      <c r="H38" s="116" t="s">
        <v>491</v>
      </c>
      <c r="I38" s="116" t="s">
        <v>451</v>
      </c>
      <c r="J38" s="97"/>
      <c r="K38" s="97" t="s">
        <v>34</v>
      </c>
      <c r="L38" s="97">
        <v>45070</v>
      </c>
      <c r="M38" s="97" cm="1">
        <f t="array" ref="M38">_xlfn.XLOOKUP(B38&amp;"", 'Registro EMO'!$C$13:$C$4558&amp;"", 'Registro EMO'!$F$13:$F$4558, "Sin registro", 0, -1)</f>
        <v>45966</v>
      </c>
      <c r="N38" s="11" t="str" cm="1">
        <f t="array" ref="N38">_xlfn.XLOOKUP(B38&amp;"", 'Registro EMO'!$C$13:$C$4558&amp;"", 'Registro EMO'!$E$13:$E$4558, "Sin registro", 0, -1)</f>
        <v>Periódicos</v>
      </c>
      <c r="O38" s="11" t="str">
        <f t="shared" si="7"/>
        <v>SI</v>
      </c>
      <c r="P38" s="167" cm="1">
        <f t="array" ref="P38">_xlfn.LET(
    _xlpm.resultado, _xlfn.XLOOKUP(B38&amp;"", 'Registro EMO'!$C$13:$C$4558&amp;"", 'Registro EMO'!$I$13:$I$4558, "NO", 0, -1),
    IF(_xlpm.resultado=0, "NO", _xlpm.resultado)
)</f>
        <v>46007</v>
      </c>
      <c r="Q38" s="11" t="str">
        <f t="shared" ca="1" si="8"/>
        <v>Vigente</v>
      </c>
      <c r="R38" s="97"/>
      <c r="S38" s="11"/>
      <c r="T38" s="11" t="str">
        <f t="shared" si="9"/>
        <v/>
      </c>
      <c r="U38" s="97"/>
      <c r="V38" s="100" t="s">
        <v>35</v>
      </c>
      <c r="W38" s="7" t="s">
        <v>44</v>
      </c>
      <c r="X38" s="137"/>
      <c r="Y38" s="11"/>
      <c r="Z38" s="11"/>
      <c r="AA38" s="11"/>
      <c r="AB38" s="11"/>
      <c r="AC38" s="11"/>
      <c r="AD38" s="11"/>
      <c r="AE38" s="11"/>
      <c r="AF38" s="11"/>
      <c r="AG38" s="101"/>
      <c r="AH38" s="11" t="s">
        <v>36</v>
      </c>
    </row>
    <row r="39" spans="1:34" x14ac:dyDescent="0.3">
      <c r="A39" s="7" t="str">
        <f t="shared" si="5"/>
        <v>TR-1038</v>
      </c>
      <c r="B39" s="152">
        <v>70346272</v>
      </c>
      <c r="C39" s="159" t="s">
        <v>347</v>
      </c>
      <c r="D39" s="97">
        <v>29344</v>
      </c>
      <c r="E39" s="114">
        <f t="shared" ca="1" si="6"/>
        <v>45</v>
      </c>
      <c r="F39" s="97" t="s">
        <v>32</v>
      </c>
      <c r="G39" s="116" t="s">
        <v>512</v>
      </c>
      <c r="H39" s="116" t="s">
        <v>491</v>
      </c>
      <c r="I39" s="116" t="s">
        <v>436</v>
      </c>
      <c r="J39" s="97"/>
      <c r="K39" s="97" t="s">
        <v>34</v>
      </c>
      <c r="L39" s="97">
        <v>45644</v>
      </c>
      <c r="M39" s="97" cm="1">
        <f t="array" ref="M39">_xlfn.XLOOKUP(B39&amp;"", 'Registro EMO'!$C$13:$C$4558&amp;"", 'Registro EMO'!$F$13:$F$4558, "Sin registro", 0, -1)</f>
        <v>45966</v>
      </c>
      <c r="N39" s="11" t="str" cm="1">
        <f t="array" ref="N39">_xlfn.XLOOKUP(B39&amp;"", 'Registro EMO'!$C$13:$C$4558&amp;"", 'Registro EMO'!$E$13:$E$4558, "Sin registro", 0, -1)</f>
        <v>Pre-Ocupacional</v>
      </c>
      <c r="O39" s="11" t="str">
        <f t="shared" si="7"/>
        <v>SI</v>
      </c>
      <c r="P39" s="97" cm="1">
        <f t="array" ref="P39">_xlfn.LET(
    _xlpm.resultado, _xlfn.XLOOKUP(B39&amp;"", 'Registro EMO'!$C$13:$C$4558&amp;"", 'Registro EMO'!$I$13:$I$4558, "NO", 0, -1),
    IF(_xlpm.resultado=0, "NO", _xlpm.resultado)
)</f>
        <v>45995</v>
      </c>
      <c r="Q39" s="11" t="str">
        <f t="shared" ca="1" si="8"/>
        <v>Vigente</v>
      </c>
      <c r="R39" s="97"/>
      <c r="S39" s="11"/>
      <c r="T39" s="11" t="str">
        <f t="shared" si="9"/>
        <v/>
      </c>
      <c r="U39" s="97"/>
      <c r="V39" s="100" t="s">
        <v>35</v>
      </c>
      <c r="W39" s="7" t="s">
        <v>39</v>
      </c>
      <c r="X39" s="137"/>
      <c r="Y39" s="11"/>
      <c r="Z39" s="11"/>
      <c r="AA39" s="11"/>
      <c r="AB39" s="11"/>
      <c r="AC39" s="11"/>
      <c r="AD39" s="11"/>
      <c r="AE39" s="11"/>
      <c r="AF39" s="11"/>
      <c r="AG39" s="101"/>
      <c r="AH39" s="11" t="s">
        <v>36</v>
      </c>
    </row>
    <row r="40" spans="1:34" x14ac:dyDescent="0.3">
      <c r="A40" s="7" t="str">
        <f t="shared" si="5"/>
        <v>TR-1039</v>
      </c>
      <c r="B40" s="150">
        <v>73671729</v>
      </c>
      <c r="C40" s="159" t="s">
        <v>348</v>
      </c>
      <c r="D40" s="97">
        <v>32472</v>
      </c>
      <c r="E40" s="114">
        <f t="shared" ca="1" si="6"/>
        <v>37</v>
      </c>
      <c r="F40" s="97" t="s">
        <v>32</v>
      </c>
      <c r="G40" s="116" t="s">
        <v>512</v>
      </c>
      <c r="H40" s="116" t="s">
        <v>501</v>
      </c>
      <c r="I40" s="116" t="s">
        <v>452</v>
      </c>
      <c r="J40" s="97"/>
      <c r="K40" s="97" t="s">
        <v>34</v>
      </c>
      <c r="L40" s="97">
        <v>43831</v>
      </c>
      <c r="M40" s="97" cm="1">
        <f t="array" ref="M40">_xlfn.XLOOKUP(B40&amp;"", 'Registro EMO'!$C$13:$C$4558&amp;"", 'Registro EMO'!$F$13:$F$4558, "Sin registro", 0, -1)</f>
        <v>45966</v>
      </c>
      <c r="N40" s="11" t="str" cm="1">
        <f t="array" ref="N40">_xlfn.XLOOKUP(B40&amp;"", 'Registro EMO'!$C$13:$C$4558&amp;"", 'Registro EMO'!$E$13:$E$4558, "Sin registro", 0, -1)</f>
        <v>Periódicos</v>
      </c>
      <c r="O40" s="11" t="str">
        <f t="shared" si="7"/>
        <v>SI</v>
      </c>
      <c r="P40" s="97" cm="1">
        <f t="array" ref="P40">_xlfn.LET(
    _xlpm.resultado, _xlfn.XLOOKUP(B40&amp;"", 'Registro EMO'!$C$13:$C$4558&amp;"", 'Registro EMO'!$I$13:$I$4558, "NO", 0, -1),
    IF(_xlpm.resultado=0, "NO", _xlpm.resultado)
)</f>
        <v>45995</v>
      </c>
      <c r="Q40" s="11" t="str">
        <f t="shared" ca="1" si="8"/>
        <v>Vigente</v>
      </c>
      <c r="R40" s="97"/>
      <c r="S40" s="11"/>
      <c r="T40" s="11" t="str">
        <f t="shared" si="9"/>
        <v/>
      </c>
      <c r="U40" s="97"/>
      <c r="V40" s="100" t="s">
        <v>35</v>
      </c>
      <c r="W40" s="7" t="s">
        <v>44</v>
      </c>
      <c r="X40" s="137"/>
      <c r="Y40" s="11"/>
      <c r="Z40" s="11"/>
      <c r="AA40" s="11"/>
      <c r="AB40" s="11"/>
      <c r="AC40" s="11"/>
      <c r="AD40" s="11"/>
      <c r="AE40" s="11"/>
      <c r="AF40" s="11"/>
      <c r="AG40" s="101"/>
      <c r="AH40" s="11" t="s">
        <v>36</v>
      </c>
    </row>
    <row r="41" spans="1:34" x14ac:dyDescent="0.3">
      <c r="A41" s="7" t="str">
        <f t="shared" si="5"/>
        <v>TR-1040</v>
      </c>
      <c r="B41" s="152">
        <v>6772102</v>
      </c>
      <c r="C41" s="159" t="s">
        <v>349</v>
      </c>
      <c r="D41" s="97">
        <v>20729</v>
      </c>
      <c r="E41" s="114">
        <f t="shared" ca="1" si="6"/>
        <v>69</v>
      </c>
      <c r="F41" s="97" t="s">
        <v>32</v>
      </c>
      <c r="G41" s="116" t="s">
        <v>512</v>
      </c>
      <c r="H41" s="116" t="s">
        <v>491</v>
      </c>
      <c r="I41" s="116" t="s">
        <v>453</v>
      </c>
      <c r="J41" s="97"/>
      <c r="K41" s="97" t="s">
        <v>34</v>
      </c>
      <c r="L41" s="97">
        <v>37834</v>
      </c>
      <c r="M41" s="97" cm="1">
        <f t="array" ref="M41">_xlfn.XLOOKUP(B41&amp;"", 'Registro EMO'!$C$13:$C$4558&amp;"", 'Registro EMO'!$F$13:$F$4558, "Sin registro", 0, -1)</f>
        <v>45966</v>
      </c>
      <c r="N41" s="11" t="str" cm="1">
        <f t="array" ref="N41">_xlfn.XLOOKUP(B41&amp;"", 'Registro EMO'!$C$13:$C$4558&amp;"", 'Registro EMO'!$E$13:$E$4558, "Sin registro", 0, -1)</f>
        <v>Periódicos</v>
      </c>
      <c r="O41" s="11" t="str">
        <f t="shared" si="7"/>
        <v>SI</v>
      </c>
      <c r="P41" s="97" cm="1">
        <f t="array" ref="P41">_xlfn.LET(
    _xlpm.resultado, _xlfn.XLOOKUP(B41&amp;"", 'Registro EMO'!$C$13:$C$4558&amp;"", 'Registro EMO'!$I$13:$I$4558, "NO", 0, -1),
    IF(_xlpm.resultado=0, "NO", _xlpm.resultado)
)</f>
        <v>45995</v>
      </c>
      <c r="Q41" s="11" t="str">
        <f t="shared" ca="1" si="8"/>
        <v>Vigente</v>
      </c>
      <c r="R41" s="97"/>
      <c r="S41" s="11"/>
      <c r="T41" s="11" t="str">
        <f t="shared" si="9"/>
        <v/>
      </c>
      <c r="U41" s="97"/>
      <c r="V41" s="100" t="s">
        <v>38</v>
      </c>
      <c r="W41" s="7" t="s">
        <v>39</v>
      </c>
      <c r="X41" s="137"/>
      <c r="Y41" s="11"/>
      <c r="Z41" s="11"/>
      <c r="AA41" s="11"/>
      <c r="AB41" s="11"/>
      <c r="AC41" s="11"/>
      <c r="AD41" s="11"/>
      <c r="AE41" s="11"/>
      <c r="AF41" s="11"/>
      <c r="AG41" s="101"/>
      <c r="AH41" s="11" t="s">
        <v>36</v>
      </c>
    </row>
    <row r="42" spans="1:34" x14ac:dyDescent="0.3">
      <c r="A42" s="7" t="str">
        <f t="shared" si="5"/>
        <v>TR-1041</v>
      </c>
      <c r="B42" s="150">
        <v>60918518</v>
      </c>
      <c r="C42" s="159" t="s">
        <v>350</v>
      </c>
      <c r="D42" s="97">
        <v>36311</v>
      </c>
      <c r="E42" s="114">
        <f t="shared" ca="1" si="6"/>
        <v>26</v>
      </c>
      <c r="F42" s="97" t="s">
        <v>32</v>
      </c>
      <c r="G42" s="116" t="s">
        <v>512</v>
      </c>
      <c r="H42" s="116" t="s">
        <v>491</v>
      </c>
      <c r="I42" s="116" t="s">
        <v>454</v>
      </c>
      <c r="J42" s="97"/>
      <c r="K42" s="97" t="s">
        <v>34</v>
      </c>
      <c r="L42" s="97">
        <v>45903</v>
      </c>
      <c r="M42" s="97" cm="1">
        <f t="array" ref="M42">_xlfn.XLOOKUP(B42&amp;"", 'Registro EMO'!$C$13:$C$4558&amp;"", 'Registro EMO'!$F$13:$F$4558, "Sin registro", 0, -1)</f>
        <v>45966</v>
      </c>
      <c r="N42" s="11" t="str" cm="1">
        <f t="array" ref="N42">_xlfn.XLOOKUP(B42&amp;"", 'Registro EMO'!$C$13:$C$4558&amp;"", 'Registro EMO'!$E$13:$E$4558, "Sin registro", 0, -1)</f>
        <v>Pre-Ocupacional</v>
      </c>
      <c r="O42" s="11" t="str">
        <f t="shared" si="7"/>
        <v>SI</v>
      </c>
      <c r="P42" s="97" cm="1">
        <f t="array" ref="P42">_xlfn.LET(
    _xlpm.resultado, _xlfn.XLOOKUP(B42&amp;"", 'Registro EMO'!$C$13:$C$4558&amp;"", 'Registro EMO'!$I$13:$I$4558, "NO", 0, -1),
    IF(_xlpm.resultado=0, "NO", _xlpm.resultado)
)</f>
        <v>46002</v>
      </c>
      <c r="Q42" s="11" t="str">
        <f t="shared" ca="1" si="8"/>
        <v>Vigente</v>
      </c>
      <c r="R42" s="97"/>
      <c r="S42" s="11"/>
      <c r="T42" s="11" t="str">
        <f t="shared" si="9"/>
        <v/>
      </c>
      <c r="U42" s="97"/>
      <c r="V42" s="100" t="s">
        <v>35</v>
      </c>
      <c r="W42" s="7" t="s">
        <v>39</v>
      </c>
      <c r="X42" s="137"/>
      <c r="Y42" s="11"/>
      <c r="Z42" s="11"/>
      <c r="AA42" s="11"/>
      <c r="AB42" s="11"/>
      <c r="AC42" s="11"/>
      <c r="AD42" s="11"/>
      <c r="AE42" s="11"/>
      <c r="AF42" s="11"/>
      <c r="AG42" s="101"/>
      <c r="AH42" s="11" t="s">
        <v>36</v>
      </c>
    </row>
    <row r="43" spans="1:34" x14ac:dyDescent="0.3">
      <c r="A43" s="7" t="str">
        <f t="shared" si="5"/>
        <v>TR-1042</v>
      </c>
      <c r="B43" s="150">
        <v>10738339</v>
      </c>
      <c r="C43" s="159" t="s">
        <v>351</v>
      </c>
      <c r="D43" s="97">
        <v>36032</v>
      </c>
      <c r="E43" s="114">
        <f t="shared" ca="1" si="6"/>
        <v>27</v>
      </c>
      <c r="F43" s="97" t="s">
        <v>32</v>
      </c>
      <c r="G43" s="116" t="s">
        <v>512</v>
      </c>
      <c r="H43" s="116" t="s">
        <v>490</v>
      </c>
      <c r="I43" s="116" t="s">
        <v>449</v>
      </c>
      <c r="J43" s="97"/>
      <c r="K43" s="97" t="s">
        <v>34</v>
      </c>
      <c r="L43" s="97">
        <v>45931</v>
      </c>
      <c r="M43" s="97" cm="1">
        <f t="array" ref="M43">_xlfn.XLOOKUP(B43&amp;"", 'Registro EMO'!$C$13:$C$4558&amp;"", 'Registro EMO'!$F$13:$F$4558, "Sin registro", 0, -1)</f>
        <v>45966</v>
      </c>
      <c r="N43" s="11" t="str" cm="1">
        <f t="array" ref="N43">_xlfn.XLOOKUP(B43&amp;"", 'Registro EMO'!$C$13:$C$4558&amp;"", 'Registro EMO'!$E$13:$E$4558, "Sin registro", 0, -1)</f>
        <v>Periódicos</v>
      </c>
      <c r="O43" s="11" t="str">
        <f t="shared" si="7"/>
        <v>SI</v>
      </c>
      <c r="P43" s="97" cm="1">
        <f t="array" ref="P43">_xlfn.LET(
    _xlpm.resultado, _xlfn.XLOOKUP(B43&amp;"", 'Registro EMO'!$C$13:$C$4558&amp;"", 'Registro EMO'!$I$13:$I$4558, "NO", 0, -1),
    IF(_xlpm.resultado=0, "NO", _xlpm.resultado)
)</f>
        <v>46007</v>
      </c>
      <c r="Q43" s="11" t="str">
        <f t="shared" ca="1" si="8"/>
        <v>Vigente</v>
      </c>
      <c r="R43" s="97"/>
      <c r="S43" s="11"/>
      <c r="T43" s="11" t="str">
        <f t="shared" si="9"/>
        <v/>
      </c>
      <c r="U43" s="97"/>
      <c r="V43" s="100" t="s">
        <v>38</v>
      </c>
      <c r="W43" s="7" t="s">
        <v>39</v>
      </c>
      <c r="X43" s="137"/>
      <c r="Y43" s="11"/>
      <c r="Z43" s="11"/>
      <c r="AA43" s="11"/>
      <c r="AB43" s="11"/>
      <c r="AC43" s="11"/>
      <c r="AD43" s="11"/>
      <c r="AE43" s="11"/>
      <c r="AF43" s="11"/>
      <c r="AG43" s="101"/>
      <c r="AH43" s="11" t="s">
        <v>36</v>
      </c>
    </row>
    <row r="44" spans="1:34" x14ac:dyDescent="0.3">
      <c r="A44" s="7" t="str">
        <f t="shared" si="5"/>
        <v>TR-1043</v>
      </c>
      <c r="B44" s="150">
        <v>76638656</v>
      </c>
      <c r="C44" s="159" t="s">
        <v>352</v>
      </c>
      <c r="D44" s="97">
        <v>30771</v>
      </c>
      <c r="E44" s="114">
        <f t="shared" ca="1" si="6"/>
        <v>41</v>
      </c>
      <c r="F44" s="97" t="s">
        <v>32</v>
      </c>
      <c r="G44" s="116" t="s">
        <v>512</v>
      </c>
      <c r="H44" s="116" t="s">
        <v>497</v>
      </c>
      <c r="I44" s="116" t="s">
        <v>455</v>
      </c>
      <c r="J44" s="97"/>
      <c r="K44" s="97" t="s">
        <v>34</v>
      </c>
      <c r="L44" s="97">
        <v>45124</v>
      </c>
      <c r="M44" s="97" cm="1">
        <f t="array" ref="M44">_xlfn.XLOOKUP(B44&amp;"", 'Registro EMO'!$C$13:$C$4558&amp;"", 'Registro EMO'!$F$13:$F$4558, "Sin registro", 0, -1)</f>
        <v>45966</v>
      </c>
      <c r="N44" s="11" t="str" cm="1">
        <f t="array" ref="N44">_xlfn.XLOOKUP(B44&amp;"", 'Registro EMO'!$C$13:$C$4558&amp;"", 'Registro EMO'!$E$13:$E$4558, "Sin registro", 0, -1)</f>
        <v>Periódicos</v>
      </c>
      <c r="O44" s="11" t="str">
        <f t="shared" si="7"/>
        <v>SI</v>
      </c>
      <c r="P44" s="97" cm="1">
        <f t="array" ref="P44">_xlfn.LET(
    _xlpm.resultado, _xlfn.XLOOKUP(B44&amp;"", 'Registro EMO'!$C$13:$C$4558&amp;"", 'Registro EMO'!$I$13:$I$4558, "NO", 0, -1),
    IF(_xlpm.resultado=0, "NO", _xlpm.resultado)
)</f>
        <v>45995</v>
      </c>
      <c r="Q44" s="11" t="str">
        <f t="shared" ca="1" si="8"/>
        <v>Vigente</v>
      </c>
      <c r="R44" s="97"/>
      <c r="S44" s="11"/>
      <c r="T44" s="11" t="str">
        <f t="shared" si="9"/>
        <v/>
      </c>
      <c r="U44" s="97"/>
      <c r="V44" s="100" t="s">
        <v>35</v>
      </c>
      <c r="W44" s="7" t="s">
        <v>48</v>
      </c>
      <c r="X44" s="137"/>
      <c r="Y44" s="11"/>
      <c r="Z44" s="11"/>
      <c r="AA44" s="11"/>
      <c r="AB44" s="11"/>
      <c r="AC44" s="11"/>
      <c r="AD44" s="11"/>
      <c r="AE44" s="11"/>
      <c r="AF44" s="11"/>
      <c r="AG44" s="101"/>
      <c r="AH44" s="11" t="s">
        <v>36</v>
      </c>
    </row>
    <row r="45" spans="1:34" x14ac:dyDescent="0.3">
      <c r="A45" s="7" t="str">
        <f t="shared" si="5"/>
        <v>TR-1044</v>
      </c>
      <c r="B45" s="150">
        <v>43193757</v>
      </c>
      <c r="C45" s="159" t="s">
        <v>579</v>
      </c>
      <c r="D45" s="97">
        <v>31255</v>
      </c>
      <c r="E45" s="114">
        <f t="shared" ca="1" si="6"/>
        <v>40</v>
      </c>
      <c r="F45" s="97" t="s">
        <v>32</v>
      </c>
      <c r="G45" s="116" t="s">
        <v>512</v>
      </c>
      <c r="H45" s="116" t="s">
        <v>486</v>
      </c>
      <c r="I45" s="116" t="s">
        <v>456</v>
      </c>
      <c r="J45" s="97"/>
      <c r="K45" s="97" t="s">
        <v>34</v>
      </c>
      <c r="L45" s="97">
        <v>43843</v>
      </c>
      <c r="M45" s="97" cm="1">
        <f t="array" ref="M45">_xlfn.XLOOKUP(B45&amp;"", 'Registro EMO'!$C$13:$C$4558&amp;"", 'Registro EMO'!$F$13:$F$4558, "Sin registro", 0, -1)</f>
        <v>45969</v>
      </c>
      <c r="N45" s="11" t="str" cm="1">
        <f t="array" ref="N45">_xlfn.XLOOKUP(B45&amp;"", 'Registro EMO'!$C$13:$C$4558&amp;"", 'Registro EMO'!$E$13:$E$4558, "Sin registro", 0, -1)</f>
        <v>Periódicos</v>
      </c>
      <c r="O45" s="11" t="str">
        <f t="shared" si="7"/>
        <v>SI</v>
      </c>
      <c r="P45" s="97" cm="1">
        <f t="array" ref="P45">_xlfn.LET(
    _xlpm.resultado, _xlfn.XLOOKUP(B45&amp;"", 'Registro EMO'!$C$13:$C$4558&amp;"", 'Registro EMO'!$I$13:$I$4558, "NO", 0, -1),
    IF(_xlpm.resultado=0, "NO", _xlpm.resultado)
)</f>
        <v>46007</v>
      </c>
      <c r="Q45" s="11" t="str">
        <f t="shared" ca="1" si="8"/>
        <v>Vigente</v>
      </c>
      <c r="R45" s="97"/>
      <c r="S45" s="11"/>
      <c r="T45" s="11" t="str">
        <f t="shared" si="9"/>
        <v/>
      </c>
      <c r="U45" s="97"/>
      <c r="V45" s="100" t="s">
        <v>38</v>
      </c>
      <c r="W45" s="7" t="s">
        <v>532</v>
      </c>
      <c r="X45" s="137" t="s">
        <v>528</v>
      </c>
      <c r="Y45" s="11" t="s">
        <v>529</v>
      </c>
      <c r="Z45" s="11" t="s">
        <v>530</v>
      </c>
      <c r="AA45" s="11"/>
      <c r="AB45" s="11"/>
      <c r="AC45" s="11"/>
      <c r="AD45" s="11"/>
      <c r="AE45" s="11"/>
      <c r="AF45" s="11"/>
      <c r="AG45" s="101"/>
      <c r="AH45" s="11" t="s">
        <v>36</v>
      </c>
    </row>
    <row r="46" spans="1:34" x14ac:dyDescent="0.3">
      <c r="A46" s="7" t="str">
        <f t="shared" si="5"/>
        <v>TR-1045</v>
      </c>
      <c r="B46" s="150">
        <v>43975693</v>
      </c>
      <c r="C46" s="145" t="s">
        <v>353</v>
      </c>
      <c r="D46" s="97">
        <v>37582</v>
      </c>
      <c r="E46" s="114">
        <f t="shared" ca="1" si="6"/>
        <v>23</v>
      </c>
      <c r="F46" s="97" t="s">
        <v>32</v>
      </c>
      <c r="G46" s="116" t="s">
        <v>512</v>
      </c>
      <c r="H46" s="116" t="s">
        <v>487</v>
      </c>
      <c r="I46" s="116" t="s">
        <v>457</v>
      </c>
      <c r="J46" s="97"/>
      <c r="K46" s="97" t="s">
        <v>34</v>
      </c>
      <c r="L46" s="97">
        <v>40695</v>
      </c>
      <c r="M46" s="97" cm="1">
        <f t="array" ref="M46">_xlfn.XLOOKUP(B46&amp;"", 'Registro EMO'!$C$13:$C$4558&amp;"", 'Registro EMO'!$F$13:$F$4558, "Sin registro", 0, -1)</f>
        <v>45966</v>
      </c>
      <c r="N46" s="11" t="str" cm="1">
        <f t="array" ref="N46">_xlfn.XLOOKUP(B46&amp;"", 'Registro EMO'!$C$13:$C$4558&amp;"", 'Registro EMO'!$E$13:$E$4558, "Sin registro", 0, -1)</f>
        <v>Periódicos</v>
      </c>
      <c r="O46" s="11" t="str">
        <f t="shared" si="7"/>
        <v>SI</v>
      </c>
      <c r="P46" s="97" cm="1">
        <f t="array" ref="P46">_xlfn.LET(
    _xlpm.resultado, _xlfn.XLOOKUP(B46&amp;"", 'Registro EMO'!$C$13:$C$4558&amp;"", 'Registro EMO'!$I$13:$I$4558, "NO", 0, -1),
    IF(_xlpm.resultado=0, "NO", _xlpm.resultado)
)</f>
        <v>46007</v>
      </c>
      <c r="Q46" s="11" t="str">
        <f t="shared" ca="1" si="8"/>
        <v>Vigente</v>
      </c>
      <c r="R46" s="97"/>
      <c r="S46" s="11"/>
      <c r="T46" s="11" t="str">
        <f t="shared" si="9"/>
        <v/>
      </c>
      <c r="U46" s="97"/>
      <c r="V46" s="100" t="s">
        <v>520</v>
      </c>
      <c r="W46" s="7" t="s">
        <v>39</v>
      </c>
      <c r="X46" s="137"/>
      <c r="Y46" s="11"/>
      <c r="Z46" s="11"/>
      <c r="AA46" s="11"/>
      <c r="AB46" s="11"/>
      <c r="AC46" s="11"/>
      <c r="AD46" s="11"/>
      <c r="AE46" s="11"/>
      <c r="AF46" s="11"/>
      <c r="AG46" s="101"/>
      <c r="AH46" s="11" t="s">
        <v>36</v>
      </c>
    </row>
    <row r="47" spans="1:34" x14ac:dyDescent="0.3">
      <c r="A47" s="7" t="str">
        <f t="shared" si="5"/>
        <v>TR-1046</v>
      </c>
      <c r="B47" s="150">
        <v>60418300</v>
      </c>
      <c r="C47" s="159" t="s">
        <v>354</v>
      </c>
      <c r="D47" s="97">
        <v>30711</v>
      </c>
      <c r="E47" s="114">
        <f t="shared" ca="1" si="6"/>
        <v>42</v>
      </c>
      <c r="F47" s="97" t="s">
        <v>32</v>
      </c>
      <c r="G47" s="116" t="s">
        <v>512</v>
      </c>
      <c r="H47" s="116" t="s">
        <v>486</v>
      </c>
      <c r="I47" s="116" t="s">
        <v>438</v>
      </c>
      <c r="J47" s="97"/>
      <c r="K47" s="97" t="s">
        <v>34</v>
      </c>
      <c r="L47" s="97">
        <v>45362</v>
      </c>
      <c r="M47" s="97" cm="1">
        <f t="array" ref="M47">_xlfn.XLOOKUP(B47&amp;"", 'Registro EMO'!$C$13:$C$4558&amp;"", 'Registro EMO'!$F$13:$F$4558, "Sin registro", 0, -1)</f>
        <v>45966</v>
      </c>
      <c r="N47" s="11" t="str" cm="1">
        <f t="array" ref="N47">_xlfn.XLOOKUP(B47&amp;"", 'Registro EMO'!$C$13:$C$4558&amp;"", 'Registro EMO'!$E$13:$E$4558, "Sin registro", 0, -1)</f>
        <v>Periódicos</v>
      </c>
      <c r="O47" s="11" t="str">
        <f t="shared" si="7"/>
        <v>SI</v>
      </c>
      <c r="P47" s="97" cm="1">
        <f t="array" ref="P47">_xlfn.LET(
    _xlpm.resultado, _xlfn.XLOOKUP(B47&amp;"", 'Registro EMO'!$C$13:$C$4558&amp;"", 'Registro EMO'!$I$13:$I$4558, "NO", 0, -1),
    IF(_xlpm.resultado=0, "NO", _xlpm.resultado)
)</f>
        <v>46002</v>
      </c>
      <c r="Q47" s="11" t="str">
        <f t="shared" ca="1" si="8"/>
        <v>Vigente</v>
      </c>
      <c r="R47" s="97"/>
      <c r="S47" s="11"/>
      <c r="T47" s="11" t="str">
        <f t="shared" si="9"/>
        <v/>
      </c>
      <c r="U47" s="97"/>
      <c r="V47" s="100" t="s">
        <v>35</v>
      </c>
      <c r="W47" s="7" t="s">
        <v>40</v>
      </c>
      <c r="X47" s="137"/>
      <c r="Y47" s="11"/>
      <c r="Z47" s="11"/>
      <c r="AA47" s="11"/>
      <c r="AB47" s="11"/>
      <c r="AC47" s="11"/>
      <c r="AD47" s="11"/>
      <c r="AE47" s="11"/>
      <c r="AF47" s="11"/>
      <c r="AG47" s="101"/>
      <c r="AH47" s="11" t="s">
        <v>36</v>
      </c>
    </row>
    <row r="48" spans="1:34" x14ac:dyDescent="0.3">
      <c r="A48" s="7" t="str">
        <f t="shared" si="5"/>
        <v>TR-1047</v>
      </c>
      <c r="B48" s="150">
        <v>45957426</v>
      </c>
      <c r="C48" s="159" t="s">
        <v>355</v>
      </c>
      <c r="D48" s="97">
        <v>28462</v>
      </c>
      <c r="E48" s="114">
        <f t="shared" ca="1" si="6"/>
        <v>48</v>
      </c>
      <c r="F48" s="97" t="s">
        <v>32</v>
      </c>
      <c r="G48" s="116" t="s">
        <v>512</v>
      </c>
      <c r="H48" s="116" t="s">
        <v>500</v>
      </c>
      <c r="I48" s="116" t="s">
        <v>458</v>
      </c>
      <c r="J48" s="97"/>
      <c r="K48" s="97" t="s">
        <v>34</v>
      </c>
      <c r="L48" s="97">
        <v>43831</v>
      </c>
      <c r="M48" s="97" cm="1">
        <f t="array" ref="M48">_xlfn.XLOOKUP(B48&amp;"", 'Registro EMO'!$C$13:$C$4558&amp;"", 'Registro EMO'!$F$13:$F$4558, "Sin registro", 0, -1)</f>
        <v>45966</v>
      </c>
      <c r="N48" s="11" t="str" cm="1">
        <f t="array" ref="N48">_xlfn.XLOOKUP(B48&amp;"", 'Registro EMO'!$C$13:$C$4558&amp;"", 'Registro EMO'!$E$13:$E$4558, "Sin registro", 0, -1)</f>
        <v>Periódicos</v>
      </c>
      <c r="O48" s="11" t="str">
        <f t="shared" si="7"/>
        <v>SI</v>
      </c>
      <c r="P48" s="167" cm="1">
        <f t="array" ref="P48">_xlfn.LET(
    _xlpm.resultado, _xlfn.XLOOKUP(B48&amp;"", 'Registro EMO'!$C$13:$C$4558&amp;"", 'Registro EMO'!$I$13:$I$4558, "NO", 0, -1),
    IF(_xlpm.resultado=0, "NO", _xlpm.resultado)
)</f>
        <v>45993</v>
      </c>
      <c r="Q48" s="11" t="str">
        <f t="shared" ca="1" si="8"/>
        <v>Vigente</v>
      </c>
      <c r="R48" s="97"/>
      <c r="S48" s="11"/>
      <c r="T48" s="11" t="str">
        <f t="shared" si="9"/>
        <v/>
      </c>
      <c r="U48" s="97"/>
      <c r="V48" s="100" t="s">
        <v>38</v>
      </c>
      <c r="W48" s="7" t="s">
        <v>44</v>
      </c>
      <c r="X48" s="137"/>
      <c r="Y48" s="11"/>
      <c r="Z48" s="11"/>
      <c r="AA48" s="11"/>
      <c r="AB48" s="11"/>
      <c r="AC48" s="11"/>
      <c r="AD48" s="11"/>
      <c r="AE48" s="11"/>
      <c r="AF48" s="11"/>
      <c r="AG48" s="101"/>
      <c r="AH48" s="11" t="s">
        <v>36</v>
      </c>
    </row>
    <row r="49" spans="1:34" x14ac:dyDescent="0.3">
      <c r="A49" s="7" t="str">
        <f t="shared" si="5"/>
        <v>TR-1048</v>
      </c>
      <c r="B49" s="150">
        <v>10060532</v>
      </c>
      <c r="C49" s="159" t="s">
        <v>356</v>
      </c>
      <c r="D49" s="97">
        <v>21600</v>
      </c>
      <c r="E49" s="114">
        <f t="shared" ca="1" si="6"/>
        <v>67</v>
      </c>
      <c r="F49" s="97" t="s">
        <v>32</v>
      </c>
      <c r="G49" s="116" t="s">
        <v>512</v>
      </c>
      <c r="H49" s="116" t="s">
        <v>499</v>
      </c>
      <c r="I49" s="116" t="s">
        <v>459</v>
      </c>
      <c r="J49" s="97"/>
      <c r="K49" s="97" t="s">
        <v>34</v>
      </c>
      <c r="L49" s="97">
        <v>38108</v>
      </c>
      <c r="M49" s="97" cm="1">
        <f t="array" ref="M49">_xlfn.XLOOKUP(B49&amp;"", 'Registro EMO'!$C$13:$C$4558&amp;"", 'Registro EMO'!$F$13:$F$4558, "Sin registro", 0, -1)</f>
        <v>46069</v>
      </c>
      <c r="N49" s="11" t="str" cm="1">
        <f t="array" ref="N49">_xlfn.XLOOKUP(B49&amp;"", 'Registro EMO'!$C$13:$C$4558&amp;"", 'Registro EMO'!$E$13:$E$4558, "Sin registro", 0, -1)</f>
        <v>Pre-Ocupacional</v>
      </c>
      <c r="O49" s="11" t="str">
        <f t="shared" si="7"/>
        <v>SI</v>
      </c>
      <c r="P49" s="97" cm="1">
        <f t="array" ref="P49">_xlfn.LET(
    _xlpm.resultado, _xlfn.XLOOKUP(B49&amp;"", 'Registro EMO'!$C$13:$C$4558&amp;"", 'Registro EMO'!$I$13:$I$4558, "NO", 0, -1),
    IF(_xlpm.resultado=0, "NO", _xlpm.resultado)
)</f>
        <v>46070</v>
      </c>
      <c r="Q49" s="11" t="str">
        <f t="shared" ca="1" si="8"/>
        <v>Vigente</v>
      </c>
      <c r="R49" s="97"/>
      <c r="S49" s="11" t="s">
        <v>611</v>
      </c>
      <c r="T49" s="11" t="str">
        <f t="shared" si="9"/>
        <v/>
      </c>
      <c r="U49" s="97"/>
      <c r="V49" s="100"/>
      <c r="W49" s="7" t="s">
        <v>62</v>
      </c>
      <c r="X49" s="137"/>
      <c r="Y49" s="11"/>
      <c r="Z49" s="11"/>
      <c r="AA49" s="11"/>
      <c r="AB49" s="11"/>
      <c r="AC49" s="11"/>
      <c r="AD49" s="11"/>
      <c r="AE49" s="11"/>
      <c r="AF49" s="11"/>
      <c r="AG49" s="101"/>
      <c r="AH49" s="11" t="s">
        <v>36</v>
      </c>
    </row>
    <row r="50" spans="1:34" x14ac:dyDescent="0.3">
      <c r="A50" s="7" t="str">
        <f t="shared" si="5"/>
        <v>TR-1049</v>
      </c>
      <c r="B50" s="150">
        <v>73808813</v>
      </c>
      <c r="C50" s="158" t="s">
        <v>357</v>
      </c>
      <c r="D50" s="97">
        <v>33222</v>
      </c>
      <c r="E50" s="114">
        <f t="shared" ca="1" si="6"/>
        <v>35</v>
      </c>
      <c r="F50" s="97" t="s">
        <v>32</v>
      </c>
      <c r="G50" s="116" t="s">
        <v>512</v>
      </c>
      <c r="H50" s="116" t="s">
        <v>498</v>
      </c>
      <c r="I50" s="116" t="s">
        <v>460</v>
      </c>
      <c r="J50" s="97"/>
      <c r="K50" s="97" t="s">
        <v>34</v>
      </c>
      <c r="L50" s="97">
        <v>45446</v>
      </c>
      <c r="M50" s="97" cm="1">
        <f t="array" ref="M50">_xlfn.XLOOKUP(B50&amp;"", 'Registro EMO'!$C$13:$C$4558&amp;"", 'Registro EMO'!$F$13:$F$4558, "Sin registro", 0, -1)</f>
        <v>45966</v>
      </c>
      <c r="N50" s="11" t="str" cm="1">
        <f t="array" ref="N50">_xlfn.XLOOKUP(B50&amp;"", 'Registro EMO'!$C$13:$C$4558&amp;"", 'Registro EMO'!$E$13:$E$4558, "Sin registro", 0, -1)</f>
        <v>Periódicos</v>
      </c>
      <c r="O50" s="11" t="str">
        <f t="shared" si="7"/>
        <v>SI</v>
      </c>
      <c r="P50" s="97" cm="1">
        <f t="array" ref="P50">_xlfn.LET(
    _xlpm.resultado, _xlfn.XLOOKUP(B50&amp;"", 'Registro EMO'!$C$13:$C$4558&amp;"", 'Registro EMO'!$I$13:$I$4558, "NO", 0, -1),
    IF(_xlpm.resultado=0, "NO", _xlpm.resultado)
)</f>
        <v>46002</v>
      </c>
      <c r="Q50" s="11" t="str">
        <f t="shared" ca="1" si="8"/>
        <v>Vigente</v>
      </c>
      <c r="R50" s="97"/>
      <c r="S50" s="11"/>
      <c r="T50" s="11" t="str">
        <f t="shared" si="9"/>
        <v/>
      </c>
      <c r="U50" s="97"/>
      <c r="V50" s="100" t="s">
        <v>35</v>
      </c>
      <c r="W50" s="7" t="s">
        <v>39</v>
      </c>
      <c r="X50" s="137"/>
      <c r="Y50" s="11"/>
      <c r="Z50" s="11"/>
      <c r="AA50" s="11"/>
      <c r="AB50" s="11"/>
      <c r="AC50" s="11"/>
      <c r="AD50" s="11"/>
      <c r="AE50" s="11"/>
      <c r="AF50" s="11"/>
      <c r="AG50" s="101"/>
      <c r="AH50" s="11" t="s">
        <v>36</v>
      </c>
    </row>
    <row r="51" spans="1:34" x14ac:dyDescent="0.3">
      <c r="A51" s="7" t="str">
        <f t="shared" si="5"/>
        <v>TR-1050</v>
      </c>
      <c r="B51" s="150">
        <v>46276514</v>
      </c>
      <c r="C51" s="158" t="s">
        <v>358</v>
      </c>
      <c r="D51" s="97">
        <v>32781</v>
      </c>
      <c r="E51" s="114">
        <f t="shared" ca="1" si="6"/>
        <v>36</v>
      </c>
      <c r="F51" s="97" t="s">
        <v>32</v>
      </c>
      <c r="G51" s="116" t="s">
        <v>512</v>
      </c>
      <c r="H51" s="116" t="s">
        <v>502</v>
      </c>
      <c r="I51" s="116" t="s">
        <v>461</v>
      </c>
      <c r="J51" s="97"/>
      <c r="K51" s="97" t="s">
        <v>34</v>
      </c>
      <c r="L51" s="97">
        <v>45908</v>
      </c>
      <c r="M51" s="97" cm="1">
        <f t="array" ref="M51">_xlfn.XLOOKUP(B51&amp;"", 'Registro EMO'!$C$13:$C$4558&amp;"", 'Registro EMO'!$F$13:$F$4558, "Sin registro", 0, -1)</f>
        <v>45966</v>
      </c>
      <c r="N51" s="11" t="str" cm="1">
        <f t="array" ref="N51">_xlfn.XLOOKUP(B51&amp;"", 'Registro EMO'!$C$13:$C$4558&amp;"", 'Registro EMO'!$E$13:$E$4558, "Sin registro", 0, -1)</f>
        <v>Pre-Ocupacional</v>
      </c>
      <c r="O51" s="11" t="str">
        <f t="shared" si="7"/>
        <v>SI</v>
      </c>
      <c r="P51" s="97" cm="1">
        <f t="array" ref="P51">_xlfn.LET(
    _xlpm.resultado, _xlfn.XLOOKUP(B51&amp;"", 'Registro EMO'!$C$13:$C$4558&amp;"", 'Registro EMO'!$I$13:$I$4558, "NO", 0, -1),
    IF(_xlpm.resultado=0, "NO", _xlpm.resultado)
)</f>
        <v>46002</v>
      </c>
      <c r="Q51" s="11" t="str">
        <f t="shared" ca="1" si="8"/>
        <v>Vigente</v>
      </c>
      <c r="R51" s="97"/>
      <c r="S51" s="11"/>
      <c r="T51" s="11" t="str">
        <f t="shared" si="9"/>
        <v/>
      </c>
      <c r="U51" s="97"/>
      <c r="V51" s="100" t="s">
        <v>38</v>
      </c>
      <c r="W51" s="7" t="s">
        <v>48</v>
      </c>
      <c r="X51" s="137"/>
      <c r="Y51" s="11"/>
      <c r="Z51" s="11"/>
      <c r="AA51" s="11"/>
      <c r="AB51" s="11"/>
      <c r="AC51" s="11"/>
      <c r="AD51" s="11"/>
      <c r="AE51" s="11"/>
      <c r="AF51" s="11"/>
      <c r="AG51" s="101"/>
      <c r="AH51" s="11" t="s">
        <v>36</v>
      </c>
    </row>
    <row r="52" spans="1:34" x14ac:dyDescent="0.3">
      <c r="A52" s="7" t="str">
        <f t="shared" si="5"/>
        <v>TR-1051</v>
      </c>
      <c r="B52" s="150">
        <v>44839341</v>
      </c>
      <c r="C52" s="144" t="s">
        <v>359</v>
      </c>
      <c r="D52" s="97">
        <v>32063</v>
      </c>
      <c r="E52" s="114">
        <f t="shared" ca="1" si="6"/>
        <v>38</v>
      </c>
      <c r="F52" s="97" t="s">
        <v>32</v>
      </c>
      <c r="G52" s="116" t="s">
        <v>512</v>
      </c>
      <c r="H52" s="116" t="s">
        <v>494</v>
      </c>
      <c r="I52" s="116" t="s">
        <v>432</v>
      </c>
      <c r="J52" s="97"/>
      <c r="K52" s="97" t="s">
        <v>34</v>
      </c>
      <c r="L52" s="97">
        <v>45915</v>
      </c>
      <c r="M52" s="97" cm="1">
        <f t="array" ref="M52">_xlfn.XLOOKUP(B52&amp;"", 'Registro EMO'!$C$13:$C$4558&amp;"", 'Registro EMO'!$F$13:$F$4558, "Sin registro", 0, -1)</f>
        <v>45971</v>
      </c>
      <c r="N52" s="11" t="str" cm="1">
        <f t="array" ref="N52">_xlfn.XLOOKUP(B52&amp;"", 'Registro EMO'!$C$13:$C$4558&amp;"", 'Registro EMO'!$E$13:$E$4558, "Sin registro", 0, -1)</f>
        <v>Pre-Ocupacional</v>
      </c>
      <c r="O52" s="11" t="str">
        <f t="shared" si="7"/>
        <v>SI</v>
      </c>
      <c r="P52" s="97" cm="1">
        <f t="array" ref="P52">_xlfn.LET(
    _xlpm.resultado, _xlfn.XLOOKUP(B52&amp;"", 'Registro EMO'!$C$13:$C$4558&amp;"", 'Registro EMO'!$I$13:$I$4558, "NO", 0, -1),
    IF(_xlpm.resultado=0, "NO", _xlpm.resultado)
)</f>
        <v>45995</v>
      </c>
      <c r="Q52" s="11" t="str">
        <f t="shared" ca="1" si="8"/>
        <v>Vigente</v>
      </c>
      <c r="R52" s="97"/>
      <c r="S52" s="11"/>
      <c r="T52" s="11" t="str">
        <f t="shared" si="9"/>
        <v/>
      </c>
      <c r="U52" s="97"/>
      <c r="V52" s="100" t="s">
        <v>520</v>
      </c>
      <c r="W52" s="7" t="s">
        <v>527</v>
      </c>
      <c r="X52" s="137" t="s">
        <v>528</v>
      </c>
      <c r="Y52" s="11" t="s">
        <v>529</v>
      </c>
      <c r="Z52" s="11" t="s">
        <v>530</v>
      </c>
      <c r="AA52" s="11" t="s">
        <v>39</v>
      </c>
      <c r="AB52" s="11" t="s">
        <v>574</v>
      </c>
      <c r="AC52" s="11"/>
      <c r="AD52" s="11"/>
      <c r="AE52" s="11"/>
      <c r="AF52" s="11"/>
      <c r="AG52" s="101"/>
      <c r="AH52" s="11" t="s">
        <v>36</v>
      </c>
    </row>
    <row r="53" spans="1:34" x14ac:dyDescent="0.3">
      <c r="A53" s="7" t="str">
        <f t="shared" si="5"/>
        <v>TR-1052</v>
      </c>
      <c r="B53" s="150">
        <v>70794375</v>
      </c>
      <c r="C53" s="160" t="s">
        <v>360</v>
      </c>
      <c r="D53" s="97">
        <v>32252</v>
      </c>
      <c r="E53" s="114">
        <f t="shared" ca="1" si="6"/>
        <v>37</v>
      </c>
      <c r="F53" s="97" t="s">
        <v>32</v>
      </c>
      <c r="G53" s="116" t="s">
        <v>512</v>
      </c>
      <c r="H53" s="116" t="s">
        <v>503</v>
      </c>
      <c r="I53" s="116" t="s">
        <v>462</v>
      </c>
      <c r="J53" s="97"/>
      <c r="K53" s="97" t="s">
        <v>34</v>
      </c>
      <c r="L53" s="97">
        <v>43831</v>
      </c>
      <c r="M53" s="97" cm="1">
        <f t="array" ref="M53">_xlfn.XLOOKUP(B53&amp;"", 'Registro EMO'!$C$13:$C$4558&amp;"", 'Registro EMO'!$F$13:$F$4558, "Sin registro", 0, -1)</f>
        <v>45966</v>
      </c>
      <c r="N53" s="11" t="str" cm="1">
        <f t="array" ref="N53">_xlfn.XLOOKUP(B53&amp;"", 'Registro EMO'!$C$13:$C$4558&amp;"", 'Registro EMO'!$E$13:$E$4558, "Sin registro", 0, -1)</f>
        <v>Periódicos</v>
      </c>
      <c r="O53" s="11" t="str">
        <f t="shared" si="7"/>
        <v>SI</v>
      </c>
      <c r="P53" s="97" cm="1">
        <f t="array" ref="P53">_xlfn.LET(
    _xlpm.resultado, _xlfn.XLOOKUP(B53&amp;"", 'Registro EMO'!$C$13:$C$4558&amp;"", 'Registro EMO'!$I$13:$I$4558, "NO", 0, -1),
    IF(_xlpm.resultado=0, "NO", _xlpm.resultado)
)</f>
        <v>45995</v>
      </c>
      <c r="Q53" s="11" t="str">
        <f t="shared" ca="1" si="8"/>
        <v>Vigente</v>
      </c>
      <c r="R53" s="97"/>
      <c r="S53" s="11"/>
      <c r="T53" s="11" t="str">
        <f t="shared" si="9"/>
        <v/>
      </c>
      <c r="U53" s="97"/>
      <c r="V53" s="100" t="s">
        <v>35</v>
      </c>
      <c r="W53" s="7" t="s">
        <v>39</v>
      </c>
      <c r="X53" s="137"/>
      <c r="Y53" s="11"/>
      <c r="Z53" s="11"/>
      <c r="AA53" s="11"/>
      <c r="AB53" s="11"/>
      <c r="AC53" s="11"/>
      <c r="AD53" s="11"/>
      <c r="AE53" s="11"/>
      <c r="AF53" s="11"/>
      <c r="AG53" s="101"/>
      <c r="AH53" s="11" t="s">
        <v>36</v>
      </c>
    </row>
    <row r="54" spans="1:34" x14ac:dyDescent="0.3">
      <c r="A54" s="7" t="str">
        <f t="shared" si="5"/>
        <v>TR-1053</v>
      </c>
      <c r="B54" s="154">
        <v>4306995</v>
      </c>
      <c r="C54" s="140" t="s">
        <v>518</v>
      </c>
      <c r="D54" s="97"/>
      <c r="E54" s="114">
        <f t="shared" ca="1" si="6"/>
        <v>126</v>
      </c>
      <c r="F54" s="97" t="s">
        <v>32</v>
      </c>
      <c r="G54" s="116" t="s">
        <v>513</v>
      </c>
      <c r="H54" s="117"/>
      <c r="I54" s="116" t="s">
        <v>519</v>
      </c>
      <c r="J54" s="97"/>
      <c r="K54" s="97" t="s">
        <v>34</v>
      </c>
      <c r="L54" s="97"/>
      <c r="M54" s="97" cm="1">
        <f t="array" ref="M54">_xlfn.XLOOKUP(B54&amp;"", 'Registro EMO'!$C$13:$C$4558&amp;"", 'Registro EMO'!$F$13:$F$4558, "Sin registro", 0, -1)</f>
        <v>45966</v>
      </c>
      <c r="N54" s="11" t="str" cm="1">
        <f t="array" ref="N54">_xlfn.XLOOKUP(B54&amp;"", 'Registro EMO'!$C$13:$C$4558&amp;"", 'Registro EMO'!$E$13:$E$4558, "Sin registro", 0, -1)</f>
        <v>Periódicos</v>
      </c>
      <c r="O54" s="11" t="str">
        <f t="shared" si="7"/>
        <v>NO</v>
      </c>
      <c r="P54" s="166" t="str" cm="1">
        <f t="array" ref="P54">_xlfn.LET(
    _xlpm.resultado, _xlfn.XLOOKUP(B54&amp;"", 'Registro EMO'!$C$13:$C$4558&amp;"", 'Registro EMO'!$I$13:$I$4558, "NO", 0, -1),
    IF(_xlpm.resultado=0, "NO", _xlpm.resultado)
)</f>
        <v>NO</v>
      </c>
      <c r="Q54" s="11" t="str">
        <f t="shared" ca="1" si="8"/>
        <v>Vigente</v>
      </c>
      <c r="R54" s="97"/>
      <c r="S54" s="11"/>
      <c r="T54" s="11" t="str">
        <f t="shared" si="9"/>
        <v/>
      </c>
      <c r="U54" s="97"/>
      <c r="V54" s="133" t="s">
        <v>38</v>
      </c>
      <c r="W54" s="7"/>
      <c r="X54" s="137"/>
      <c r="Y54" s="11"/>
      <c r="Z54" s="11"/>
      <c r="AA54" s="11"/>
      <c r="AB54" s="11"/>
      <c r="AC54" s="11"/>
      <c r="AD54" s="11"/>
      <c r="AE54" s="11"/>
      <c r="AF54" s="11"/>
      <c r="AG54" s="101"/>
      <c r="AH54" s="11" t="s">
        <v>36</v>
      </c>
    </row>
    <row r="55" spans="1:34" x14ac:dyDescent="0.3">
      <c r="A55" s="7" t="str">
        <f t="shared" si="5"/>
        <v>TR-1054</v>
      </c>
      <c r="B55" s="150">
        <v>73099801</v>
      </c>
      <c r="C55" s="160" t="s">
        <v>361</v>
      </c>
      <c r="D55" s="97">
        <v>35728</v>
      </c>
      <c r="E55" s="114">
        <f t="shared" ca="1" si="6"/>
        <v>28</v>
      </c>
      <c r="F55" s="97" t="s">
        <v>32</v>
      </c>
      <c r="G55" s="116" t="s">
        <v>512</v>
      </c>
      <c r="H55" s="116" t="s">
        <v>491</v>
      </c>
      <c r="I55" s="116" t="s">
        <v>428</v>
      </c>
      <c r="J55" s="97"/>
      <c r="K55" s="97" t="s">
        <v>34</v>
      </c>
      <c r="L55" s="97">
        <v>45992</v>
      </c>
      <c r="M55" s="97" cm="1">
        <f t="array" ref="M55">_xlfn.XLOOKUP(B55&amp;"", 'Registro EMO'!$C$13:$C$4558&amp;"", 'Registro EMO'!$F$13:$F$4558, "Sin registro", 0, -1)</f>
        <v>46069</v>
      </c>
      <c r="N55" s="11" t="str" cm="1">
        <f t="array" ref="N55">_xlfn.XLOOKUP(B55&amp;"", 'Registro EMO'!$C$13:$C$4558&amp;"", 'Registro EMO'!$E$13:$E$4558, "Sin registro", 0, -1)</f>
        <v>Pre-Ocupacional</v>
      </c>
      <c r="O55" s="11" t="str">
        <f t="shared" si="7"/>
        <v>SI</v>
      </c>
      <c r="P55" s="97" cm="1">
        <f t="array" ref="P55">_xlfn.LET(
    _xlpm.resultado, _xlfn.XLOOKUP(B55&amp;"", 'Registro EMO'!$C$13:$C$4558&amp;"", 'Registro EMO'!$I$13:$I$4558, "NO", 0, -1),
    IF(_xlpm.resultado=0, "NO", _xlpm.resultado)
)</f>
        <v>46070</v>
      </c>
      <c r="Q55" s="11" t="str">
        <f t="shared" ca="1" si="8"/>
        <v>Vigente</v>
      </c>
      <c r="R55" s="97"/>
      <c r="S55" s="11"/>
      <c r="T55" s="11" t="str">
        <f t="shared" si="9"/>
        <v/>
      </c>
      <c r="U55" s="97"/>
      <c r="V55" s="100"/>
      <c r="W55" s="7"/>
      <c r="X55" s="137"/>
      <c r="Y55" s="11"/>
      <c r="Z55" s="11"/>
      <c r="AA55" s="11"/>
      <c r="AB55" s="11"/>
      <c r="AC55" s="11"/>
      <c r="AD55" s="11"/>
      <c r="AE55" s="11"/>
      <c r="AF55" s="11"/>
      <c r="AG55" s="101"/>
      <c r="AH55" s="11" t="s">
        <v>36</v>
      </c>
    </row>
    <row r="56" spans="1:34" x14ac:dyDescent="0.3">
      <c r="A56" s="7" t="str">
        <f t="shared" si="5"/>
        <v>TR-1055</v>
      </c>
      <c r="B56" s="150">
        <v>70346267</v>
      </c>
      <c r="C56" s="141" t="s">
        <v>362</v>
      </c>
      <c r="D56" s="97">
        <v>28202</v>
      </c>
      <c r="E56" s="114">
        <f t="shared" ca="1" si="6"/>
        <v>48</v>
      </c>
      <c r="F56" s="97" t="s">
        <v>32</v>
      </c>
      <c r="G56" s="116" t="s">
        <v>512</v>
      </c>
      <c r="H56" s="116" t="s">
        <v>498</v>
      </c>
      <c r="I56" s="116" t="s">
        <v>463</v>
      </c>
      <c r="J56" s="97"/>
      <c r="K56" s="97" t="s">
        <v>34</v>
      </c>
      <c r="L56" s="97">
        <v>45789</v>
      </c>
      <c r="M56" s="97" cm="1">
        <f t="array" ref="M56">_xlfn.XLOOKUP(B56&amp;"", 'Registro EMO'!$C$13:$C$4558&amp;"", 'Registro EMO'!$F$13:$F$4558, "Sin registro", 0, -1)</f>
        <v>45966</v>
      </c>
      <c r="N56" s="11" t="str" cm="1">
        <f t="array" ref="N56">_xlfn.XLOOKUP(B56&amp;"", 'Registro EMO'!$C$13:$C$4558&amp;"", 'Registro EMO'!$E$13:$E$4558, "Sin registro", 0, -1)</f>
        <v>Pre-Ocupacional</v>
      </c>
      <c r="O56" s="11" t="str">
        <f t="shared" si="7"/>
        <v>SI</v>
      </c>
      <c r="P56" s="97" cm="1">
        <f t="array" ref="P56">_xlfn.LET(
    _xlpm.resultado, _xlfn.XLOOKUP(B56&amp;"", 'Registro EMO'!$C$13:$C$4558&amp;"", 'Registro EMO'!$I$13:$I$4558, "NO", 0, -1),
    IF(_xlpm.resultado=0, "NO", _xlpm.resultado)
)</f>
        <v>45995</v>
      </c>
      <c r="Q56" s="11" t="str">
        <f t="shared" ca="1" si="8"/>
        <v>Vigente</v>
      </c>
      <c r="R56" s="97"/>
      <c r="S56" s="11"/>
      <c r="T56" s="11" t="str">
        <f t="shared" si="9"/>
        <v/>
      </c>
      <c r="U56" s="97"/>
      <c r="V56" s="100" t="s">
        <v>520</v>
      </c>
      <c r="W56" s="7" t="s">
        <v>590</v>
      </c>
      <c r="X56" s="137"/>
      <c r="Y56" s="11"/>
      <c r="Z56" s="11"/>
      <c r="AA56" s="11"/>
      <c r="AB56" s="11"/>
      <c r="AC56" s="11"/>
      <c r="AD56" s="11"/>
      <c r="AE56" s="11"/>
      <c r="AF56" s="11"/>
      <c r="AG56" s="101"/>
      <c r="AH56" s="11" t="s">
        <v>36</v>
      </c>
    </row>
    <row r="57" spans="1:34" x14ac:dyDescent="0.3">
      <c r="A57" s="7" t="str">
        <f t="shared" si="5"/>
        <v>TR-1056</v>
      </c>
      <c r="B57" s="150">
        <v>47695766</v>
      </c>
      <c r="C57" s="160" t="s">
        <v>363</v>
      </c>
      <c r="D57" s="97">
        <v>28763</v>
      </c>
      <c r="E57" s="114">
        <f t="shared" ca="1" si="6"/>
        <v>47</v>
      </c>
      <c r="F57" s="97" t="s">
        <v>32</v>
      </c>
      <c r="G57" s="116" t="s">
        <v>512</v>
      </c>
      <c r="H57" s="116" t="s">
        <v>498</v>
      </c>
      <c r="I57" s="116" t="s">
        <v>464</v>
      </c>
      <c r="J57" s="97"/>
      <c r="K57" s="97" t="s">
        <v>34</v>
      </c>
      <c r="L57" s="97">
        <v>45749</v>
      </c>
      <c r="M57" s="97" cm="1">
        <f t="array" ref="M57">_xlfn.XLOOKUP(B57&amp;"", 'Registro EMO'!$C$13:$C$4558&amp;"", 'Registro EMO'!$F$13:$F$4558, "Sin registro", 0, -1)</f>
        <v>45966</v>
      </c>
      <c r="N57" s="11" t="str" cm="1">
        <f t="array" ref="N57">_xlfn.XLOOKUP(B57&amp;"", 'Registro EMO'!$C$13:$C$4558&amp;"", 'Registro EMO'!$E$13:$E$4558, "Sin registro", 0, -1)</f>
        <v>Pre-Ocupacional</v>
      </c>
      <c r="O57" s="11" t="str">
        <f t="shared" si="7"/>
        <v>SI</v>
      </c>
      <c r="P57" s="97" cm="1">
        <f t="array" ref="P57">_xlfn.LET(
    _xlpm.resultado, _xlfn.XLOOKUP(B57&amp;"", 'Registro EMO'!$C$13:$C$4558&amp;"", 'Registro EMO'!$I$13:$I$4558, "NO", 0, -1),
    IF(_xlpm.resultado=0, "NO", _xlpm.resultado)
)</f>
        <v>45993</v>
      </c>
      <c r="Q57" s="11" t="str">
        <f t="shared" ca="1" si="8"/>
        <v>Vigente</v>
      </c>
      <c r="R57" s="97"/>
      <c r="S57" s="11"/>
      <c r="T57" s="11" t="str">
        <f t="shared" si="9"/>
        <v/>
      </c>
      <c r="U57" s="97"/>
      <c r="V57" s="100" t="s">
        <v>35</v>
      </c>
      <c r="W57" s="7" t="s">
        <v>44</v>
      </c>
      <c r="X57" s="137"/>
      <c r="Y57" s="11"/>
      <c r="Z57" s="11"/>
      <c r="AA57" s="11"/>
      <c r="AB57" s="11"/>
      <c r="AC57" s="11"/>
      <c r="AD57" s="11"/>
      <c r="AE57" s="11"/>
      <c r="AF57" s="11"/>
      <c r="AG57" s="101"/>
      <c r="AH57" s="11" t="s">
        <v>36</v>
      </c>
    </row>
    <row r="58" spans="1:34" x14ac:dyDescent="0.3">
      <c r="A58" s="7" t="str">
        <f t="shared" si="5"/>
        <v>TR-1057</v>
      </c>
      <c r="B58" s="150">
        <v>75620055</v>
      </c>
      <c r="C58" s="161" t="s">
        <v>364</v>
      </c>
      <c r="D58" s="97">
        <v>37854</v>
      </c>
      <c r="E58" s="114">
        <f t="shared" ca="1" si="6"/>
        <v>22</v>
      </c>
      <c r="F58" s="97" t="s">
        <v>32</v>
      </c>
      <c r="G58" s="116" t="s">
        <v>512</v>
      </c>
      <c r="H58" s="116" t="s">
        <v>491</v>
      </c>
      <c r="I58" s="116" t="s">
        <v>436</v>
      </c>
      <c r="J58" s="97"/>
      <c r="K58" s="97" t="s">
        <v>34</v>
      </c>
      <c r="L58" s="97">
        <v>45901</v>
      </c>
      <c r="M58" s="97" cm="1">
        <f t="array" ref="M58">_xlfn.XLOOKUP(B58&amp;"", 'Registro EMO'!$C$13:$C$4558&amp;"", 'Registro EMO'!$F$13:$F$4558, "Sin registro", 0, -1)</f>
        <v>45966</v>
      </c>
      <c r="N58" s="11" t="str" cm="1">
        <f t="array" ref="N58">_xlfn.XLOOKUP(B58&amp;"", 'Registro EMO'!$C$13:$C$4558&amp;"", 'Registro EMO'!$E$13:$E$4558, "Sin registro", 0, -1)</f>
        <v>Pre-Ocupacional</v>
      </c>
      <c r="O58" s="11" t="str">
        <f t="shared" si="7"/>
        <v>SI</v>
      </c>
      <c r="P58" s="97" cm="1">
        <f t="array" ref="P58">_xlfn.LET(
    _xlpm.resultado, _xlfn.XLOOKUP(B58&amp;"", 'Registro EMO'!$C$13:$C$4558&amp;"", 'Registro EMO'!$I$13:$I$4558, "NO", 0, -1),
    IF(_xlpm.resultado=0, "NO", _xlpm.resultado)
)</f>
        <v>45995</v>
      </c>
      <c r="Q58" s="11" t="str">
        <f t="shared" ca="1" si="8"/>
        <v>Vigente</v>
      </c>
      <c r="R58" s="97"/>
      <c r="S58" s="11"/>
      <c r="T58" s="11" t="str">
        <f t="shared" si="9"/>
        <v/>
      </c>
      <c r="U58" s="97"/>
      <c r="V58" s="100" t="s">
        <v>35</v>
      </c>
      <c r="W58" s="7" t="s">
        <v>64</v>
      </c>
      <c r="X58" s="137"/>
      <c r="Y58" s="11"/>
      <c r="Z58" s="11"/>
      <c r="AA58" s="11"/>
      <c r="AB58" s="11"/>
      <c r="AC58" s="11"/>
      <c r="AD58" s="11"/>
      <c r="AE58" s="11"/>
      <c r="AF58" s="11"/>
      <c r="AG58" s="101"/>
      <c r="AH58" s="11" t="s">
        <v>36</v>
      </c>
    </row>
    <row r="59" spans="1:34" x14ac:dyDescent="0.3">
      <c r="A59" s="7" t="str">
        <f t="shared" si="5"/>
        <v>TR-1058</v>
      </c>
      <c r="B59" s="150">
        <v>42083682</v>
      </c>
      <c r="C59" s="159" t="s">
        <v>365</v>
      </c>
      <c r="D59" s="97">
        <v>31857</v>
      </c>
      <c r="E59" s="114">
        <f t="shared" ca="1" si="6"/>
        <v>38</v>
      </c>
      <c r="F59" s="97" t="s">
        <v>32</v>
      </c>
      <c r="G59" s="116" t="s">
        <v>512</v>
      </c>
      <c r="H59" s="116" t="s">
        <v>491</v>
      </c>
      <c r="I59" s="116" t="s">
        <v>441</v>
      </c>
      <c r="J59" s="97"/>
      <c r="K59" s="97" t="s">
        <v>34</v>
      </c>
      <c r="L59" s="97">
        <v>43831</v>
      </c>
      <c r="M59" s="97" cm="1">
        <f t="array" ref="M59">_xlfn.XLOOKUP(B59&amp;"", 'Registro EMO'!$C$13:$C$4558&amp;"", 'Registro EMO'!$F$13:$F$4558, "Sin registro", 0, -1)</f>
        <v>45966</v>
      </c>
      <c r="N59" s="11" t="str" cm="1">
        <f t="array" ref="N59">_xlfn.XLOOKUP(B59&amp;"", 'Registro EMO'!$C$13:$C$4558&amp;"", 'Registro EMO'!$E$13:$E$4558, "Sin registro", 0, -1)</f>
        <v>Periódicos</v>
      </c>
      <c r="O59" s="11" t="str">
        <f t="shared" si="7"/>
        <v>SI</v>
      </c>
      <c r="P59" s="97" cm="1">
        <f t="array" ref="P59">_xlfn.LET(
    _xlpm.resultado, _xlfn.XLOOKUP(B59&amp;"", 'Registro EMO'!$C$13:$C$4558&amp;"", 'Registro EMO'!$I$13:$I$4558, "NO", 0, -1),
    IF(_xlpm.resultado=0, "NO", _xlpm.resultado)
)</f>
        <v>45995</v>
      </c>
      <c r="Q59" s="11" t="str">
        <f t="shared" ca="1" si="8"/>
        <v>Vigente</v>
      </c>
      <c r="R59" s="97"/>
      <c r="S59" s="11"/>
      <c r="T59" s="11" t="str">
        <f t="shared" si="9"/>
        <v/>
      </c>
      <c r="U59" s="97"/>
      <c r="V59" s="100" t="s">
        <v>38</v>
      </c>
      <c r="W59" s="7" t="s">
        <v>48</v>
      </c>
      <c r="X59" s="137"/>
      <c r="Y59" s="11"/>
      <c r="Z59" s="11"/>
      <c r="AA59" s="11"/>
      <c r="AB59" s="11"/>
      <c r="AC59" s="11"/>
      <c r="AD59" s="11"/>
      <c r="AE59" s="11"/>
      <c r="AF59" s="11"/>
      <c r="AG59" s="101"/>
      <c r="AH59" s="11" t="s">
        <v>36</v>
      </c>
    </row>
    <row r="60" spans="1:34" x14ac:dyDescent="0.3">
      <c r="A60" s="7" t="str">
        <f t="shared" si="5"/>
        <v>TR-1059</v>
      </c>
      <c r="B60" s="152">
        <v>9655714</v>
      </c>
      <c r="C60" s="159" t="s">
        <v>366</v>
      </c>
      <c r="D60" s="97">
        <v>25812</v>
      </c>
      <c r="E60" s="114">
        <f t="shared" ca="1" si="6"/>
        <v>55</v>
      </c>
      <c r="F60" s="97" t="s">
        <v>32</v>
      </c>
      <c r="G60" s="116" t="s">
        <v>512</v>
      </c>
      <c r="H60" s="116" t="s">
        <v>489</v>
      </c>
      <c r="I60" s="116" t="s">
        <v>425</v>
      </c>
      <c r="J60" s="97"/>
      <c r="K60" s="97" t="s">
        <v>34</v>
      </c>
      <c r="L60" s="97">
        <v>43831</v>
      </c>
      <c r="M60" s="97" cm="1">
        <f t="array" ref="M60">_xlfn.XLOOKUP(B60&amp;"", 'Registro EMO'!$C$13:$C$4558&amp;"", 'Registro EMO'!$F$13:$F$4558, "Sin registro", 0, -1)</f>
        <v>45969</v>
      </c>
      <c r="N60" s="11" t="str" cm="1">
        <f t="array" ref="N60">_xlfn.XLOOKUP(B60&amp;"", 'Registro EMO'!$C$13:$C$4558&amp;"", 'Registro EMO'!$E$13:$E$4558, "Sin registro", 0, -1)</f>
        <v>Periódicos</v>
      </c>
      <c r="O60" s="11" t="str">
        <f t="shared" si="7"/>
        <v>NO</v>
      </c>
      <c r="P60" s="166" t="str" cm="1">
        <f t="array" ref="P60">_xlfn.LET(
    _xlpm.resultado, _xlfn.XLOOKUP(B60&amp;"", 'Registro EMO'!$C$13:$C$4558&amp;"", 'Registro EMO'!$I$13:$I$4558, "NO", 0, -1),
    IF(_xlpm.resultado=0, "NO", _xlpm.resultado)
)</f>
        <v>NO</v>
      </c>
      <c r="Q60" s="11" t="str">
        <f t="shared" ca="1" si="8"/>
        <v>Vigente</v>
      </c>
      <c r="R60" s="97"/>
      <c r="S60" s="11"/>
      <c r="T60" s="11" t="str">
        <f t="shared" si="9"/>
        <v/>
      </c>
      <c r="U60" s="97"/>
      <c r="V60" s="100" t="s">
        <v>38</v>
      </c>
      <c r="W60" s="7" t="s">
        <v>533</v>
      </c>
      <c r="X60" s="137" t="s">
        <v>534</v>
      </c>
      <c r="Y60" s="11" t="s">
        <v>529</v>
      </c>
      <c r="Z60" s="11" t="s">
        <v>530</v>
      </c>
      <c r="AA60" s="11"/>
      <c r="AB60" s="11"/>
      <c r="AC60" s="11"/>
      <c r="AD60" s="11"/>
      <c r="AE60" s="11"/>
      <c r="AF60" s="11"/>
      <c r="AG60" s="101"/>
      <c r="AH60" s="11" t="s">
        <v>36</v>
      </c>
    </row>
    <row r="61" spans="1:34" x14ac:dyDescent="0.3">
      <c r="A61" s="7" t="str">
        <f t="shared" si="5"/>
        <v>TR-1060</v>
      </c>
      <c r="B61" s="152">
        <v>47652437</v>
      </c>
      <c r="C61" s="159" t="s">
        <v>367</v>
      </c>
      <c r="D61" s="97">
        <v>30550</v>
      </c>
      <c r="E61" s="114">
        <f t="shared" ca="1" si="6"/>
        <v>42</v>
      </c>
      <c r="F61" s="97" t="s">
        <v>32</v>
      </c>
      <c r="G61" s="116" t="s">
        <v>512</v>
      </c>
      <c r="H61" s="116" t="s">
        <v>504</v>
      </c>
      <c r="I61" s="116" t="s">
        <v>465</v>
      </c>
      <c r="J61" s="97"/>
      <c r="K61" s="97" t="s">
        <v>34</v>
      </c>
      <c r="L61" s="97">
        <v>45536</v>
      </c>
      <c r="M61" s="97" cm="1">
        <f t="array" ref="M61">_xlfn.XLOOKUP(B61&amp;"", 'Registro EMO'!$C$13:$C$4558&amp;"", 'Registro EMO'!$F$13:$F$4558, "Sin registro", 0, -1)</f>
        <v>45966</v>
      </c>
      <c r="N61" s="11" t="str" cm="1">
        <f t="array" ref="N61">_xlfn.XLOOKUP(B61&amp;"", 'Registro EMO'!$C$13:$C$4558&amp;"", 'Registro EMO'!$E$13:$E$4558, "Sin registro", 0, -1)</f>
        <v>Periódicos</v>
      </c>
      <c r="O61" s="11" t="str">
        <f t="shared" si="7"/>
        <v>SI</v>
      </c>
      <c r="P61" s="97" cm="1">
        <f t="array" ref="P61">_xlfn.LET(
    _xlpm.resultado, _xlfn.XLOOKUP(B61&amp;"", 'Registro EMO'!$C$13:$C$4558&amp;"", 'Registro EMO'!$I$13:$I$4558, "NO", 0, -1),
    IF(_xlpm.resultado=0, "NO", _xlpm.resultado)
)</f>
        <v>46007</v>
      </c>
      <c r="Q61" s="11" t="str">
        <f t="shared" ca="1" si="8"/>
        <v>Vigente</v>
      </c>
      <c r="R61" s="97"/>
      <c r="S61" s="11"/>
      <c r="T61" s="11" t="str">
        <f t="shared" si="9"/>
        <v/>
      </c>
      <c r="U61" s="97"/>
      <c r="V61" s="100" t="s">
        <v>38</v>
      </c>
      <c r="W61" s="7" t="s">
        <v>591</v>
      </c>
      <c r="X61" s="137" t="s">
        <v>528</v>
      </c>
      <c r="Y61" s="11" t="s">
        <v>529</v>
      </c>
      <c r="Z61" s="11" t="s">
        <v>530</v>
      </c>
      <c r="AA61" s="11"/>
      <c r="AB61" s="11"/>
      <c r="AC61" s="11"/>
      <c r="AD61" s="11"/>
      <c r="AE61" s="11"/>
      <c r="AF61" s="11"/>
      <c r="AG61" s="101"/>
      <c r="AH61" s="11" t="s">
        <v>36</v>
      </c>
    </row>
    <row r="62" spans="1:34" x14ac:dyDescent="0.3">
      <c r="A62" s="7" t="str">
        <f t="shared" si="5"/>
        <v>TR-1061</v>
      </c>
      <c r="B62" s="150">
        <v>73481775</v>
      </c>
      <c r="C62" s="145" t="s">
        <v>368</v>
      </c>
      <c r="D62" s="97">
        <v>29854</v>
      </c>
      <c r="E62" s="114">
        <f t="shared" ca="1" si="6"/>
        <v>44</v>
      </c>
      <c r="F62" s="97" t="s">
        <v>32</v>
      </c>
      <c r="G62" s="116" t="s">
        <v>512</v>
      </c>
      <c r="H62" s="116" t="s">
        <v>491</v>
      </c>
      <c r="I62" s="116" t="s">
        <v>466</v>
      </c>
      <c r="J62" s="97"/>
      <c r="K62" s="97" t="s">
        <v>34</v>
      </c>
      <c r="L62" s="97">
        <v>45231</v>
      </c>
      <c r="M62" s="97" cm="1">
        <f t="array" ref="M62">_xlfn.XLOOKUP(B62&amp;"", 'Registro EMO'!$C$13:$C$4558&amp;"", 'Registro EMO'!$F$13:$F$4558, "Sin registro", 0, -1)</f>
        <v>45966</v>
      </c>
      <c r="N62" s="11" t="str" cm="1">
        <f t="array" ref="N62">_xlfn.XLOOKUP(B62&amp;"", 'Registro EMO'!$C$13:$C$4558&amp;"", 'Registro EMO'!$E$13:$E$4558, "Sin registro", 0, -1)</f>
        <v>Periódicos</v>
      </c>
      <c r="O62" s="11" t="str">
        <f t="shared" si="7"/>
        <v>SI</v>
      </c>
      <c r="P62" s="97" cm="1">
        <f t="array" ref="P62">_xlfn.LET(
    _xlpm.resultado, _xlfn.XLOOKUP(B62&amp;"", 'Registro EMO'!$C$13:$C$4558&amp;"", 'Registro EMO'!$I$13:$I$4558, "NO", 0, -1),
    IF(_xlpm.resultado=0, "NO", _xlpm.resultado)
)</f>
        <v>46007</v>
      </c>
      <c r="Q62" s="11" t="str">
        <f t="shared" ca="1" si="8"/>
        <v>Vigente</v>
      </c>
      <c r="R62" s="97"/>
      <c r="S62" s="11"/>
      <c r="T62" s="11" t="str">
        <f t="shared" si="9"/>
        <v/>
      </c>
      <c r="U62" s="97"/>
      <c r="V62" s="100" t="s">
        <v>520</v>
      </c>
      <c r="W62" s="7" t="s">
        <v>556</v>
      </c>
      <c r="X62" s="137" t="s">
        <v>539</v>
      </c>
      <c r="Y62" s="11" t="s">
        <v>523</v>
      </c>
      <c r="Z62" s="11" t="s">
        <v>524</v>
      </c>
      <c r="AA62" s="11"/>
      <c r="AB62" s="11"/>
      <c r="AC62" s="11"/>
      <c r="AD62" s="11"/>
      <c r="AE62" s="11"/>
      <c r="AF62" s="11"/>
      <c r="AG62" s="101"/>
      <c r="AH62" s="11" t="s">
        <v>36</v>
      </c>
    </row>
    <row r="63" spans="1:34" x14ac:dyDescent="0.3">
      <c r="A63" s="7" t="str">
        <f t="shared" si="5"/>
        <v>TR-1062</v>
      </c>
      <c r="B63" s="150">
        <v>48144866</v>
      </c>
      <c r="C63" s="159" t="s">
        <v>369</v>
      </c>
      <c r="D63" s="97">
        <v>35805</v>
      </c>
      <c r="E63" s="114">
        <f t="shared" ca="1" si="6"/>
        <v>28</v>
      </c>
      <c r="F63" s="97" t="s">
        <v>32</v>
      </c>
      <c r="G63" s="116" t="s">
        <v>512</v>
      </c>
      <c r="H63" s="116" t="s">
        <v>491</v>
      </c>
      <c r="I63" s="116" t="s">
        <v>428</v>
      </c>
      <c r="J63" s="97"/>
      <c r="K63" s="97" t="s">
        <v>34</v>
      </c>
      <c r="L63" s="97">
        <v>45870</v>
      </c>
      <c r="M63" s="97" cm="1">
        <f t="array" ref="M63">_xlfn.XLOOKUP(B63&amp;"", 'Registro EMO'!$C$13:$C$4558&amp;"", 'Registro EMO'!$F$13:$F$4558, "Sin registro", 0, -1)</f>
        <v>45966</v>
      </c>
      <c r="N63" s="11" t="str" cm="1">
        <f t="array" ref="N63">_xlfn.XLOOKUP(B63&amp;"", 'Registro EMO'!$C$13:$C$4558&amp;"", 'Registro EMO'!$E$13:$E$4558, "Sin registro", 0, -1)</f>
        <v>Pre-Ocupacional</v>
      </c>
      <c r="O63" s="11" t="str">
        <f t="shared" si="7"/>
        <v>SI</v>
      </c>
      <c r="P63" s="97" cm="1">
        <f t="array" ref="P63">_xlfn.LET(
    _xlpm.resultado, _xlfn.XLOOKUP(B63&amp;"", 'Registro EMO'!$C$13:$C$4558&amp;"", 'Registro EMO'!$I$13:$I$4558, "NO", 0, -1),
    IF(_xlpm.resultado=0, "NO", _xlpm.resultado)
)</f>
        <v>46002</v>
      </c>
      <c r="Q63" s="11" t="str">
        <f t="shared" ca="1" si="8"/>
        <v>Vigente</v>
      </c>
      <c r="R63" s="97"/>
      <c r="S63" s="11"/>
      <c r="T63" s="11" t="str">
        <f t="shared" si="9"/>
        <v/>
      </c>
      <c r="U63" s="97"/>
      <c r="V63" s="100" t="s">
        <v>35</v>
      </c>
      <c r="W63" s="7" t="s">
        <v>48</v>
      </c>
      <c r="X63" s="137" t="s">
        <v>557</v>
      </c>
      <c r="Y63" s="11"/>
      <c r="Z63" s="11"/>
      <c r="AA63" s="11"/>
      <c r="AB63" s="11"/>
      <c r="AC63" s="11"/>
      <c r="AD63" s="11"/>
      <c r="AE63" s="11"/>
      <c r="AF63" s="11"/>
      <c r="AG63" s="101"/>
      <c r="AH63" s="11" t="s">
        <v>36</v>
      </c>
    </row>
    <row r="64" spans="1:34" x14ac:dyDescent="0.3">
      <c r="A64" s="7" t="str">
        <f t="shared" si="5"/>
        <v>TR-1063</v>
      </c>
      <c r="B64" s="152">
        <v>9073506</v>
      </c>
      <c r="C64" s="158" t="s">
        <v>510</v>
      </c>
      <c r="D64" s="97"/>
      <c r="E64" s="114">
        <f t="shared" ca="1" si="6"/>
        <v>126</v>
      </c>
      <c r="F64" s="97" t="s">
        <v>32</v>
      </c>
      <c r="G64" s="116" t="s">
        <v>511</v>
      </c>
      <c r="H64" s="116" t="s">
        <v>491</v>
      </c>
      <c r="I64" s="116" t="s">
        <v>517</v>
      </c>
      <c r="J64" s="97"/>
      <c r="K64" s="97" t="s">
        <v>34</v>
      </c>
      <c r="L64" s="97">
        <v>45536</v>
      </c>
      <c r="M64" s="97" cm="1">
        <f t="array" ref="M64">_xlfn.XLOOKUP(B64&amp;"", 'Registro EMO'!$C$13:$C$4558&amp;"", 'Registro EMO'!$F$13:$F$4558, "Sin registro", 0, -1)</f>
        <v>45966</v>
      </c>
      <c r="N64" s="11" t="str" cm="1">
        <f t="array" ref="N64">_xlfn.XLOOKUP(B64&amp;"", 'Registro EMO'!$C$13:$C$4558&amp;"", 'Registro EMO'!$E$13:$E$4558, "Sin registro", 0, -1)</f>
        <v>Periódicos</v>
      </c>
      <c r="O64" s="11" t="str">
        <f t="shared" si="7"/>
        <v>NO</v>
      </c>
      <c r="P64" s="166" t="str" cm="1">
        <f t="array" ref="P64">_xlfn.LET(
    _xlpm.resultado, _xlfn.XLOOKUP(B64&amp;"", 'Registro EMO'!$C$13:$C$4558&amp;"", 'Registro EMO'!$I$13:$I$4558, "NO", 0, -1),
    IF(_xlpm.resultado=0, "NO", _xlpm.resultado)
)</f>
        <v>NO</v>
      </c>
      <c r="Q64" s="11" t="str">
        <f t="shared" ca="1" si="8"/>
        <v>Vigente</v>
      </c>
      <c r="R64" s="97"/>
      <c r="S64" s="11"/>
      <c r="T64" s="11" t="str">
        <f t="shared" si="9"/>
        <v/>
      </c>
      <c r="U64" s="97"/>
      <c r="V64" s="133" t="s">
        <v>38</v>
      </c>
      <c r="W64" s="7"/>
      <c r="X64" s="137"/>
      <c r="Y64" s="11"/>
      <c r="Z64" s="11"/>
      <c r="AA64" s="11"/>
      <c r="AB64" s="11"/>
      <c r="AC64" s="11"/>
      <c r="AD64" s="11"/>
      <c r="AE64" s="11"/>
      <c r="AF64" s="11"/>
      <c r="AG64" s="101"/>
      <c r="AH64" s="11" t="s">
        <v>36</v>
      </c>
    </row>
    <row r="65" spans="1:34" x14ac:dyDescent="0.3">
      <c r="A65" s="7" t="str">
        <f t="shared" si="5"/>
        <v>TR-1064</v>
      </c>
      <c r="B65" s="152">
        <v>433686</v>
      </c>
      <c r="C65" s="159" t="s">
        <v>370</v>
      </c>
      <c r="D65" s="97">
        <v>26983</v>
      </c>
      <c r="E65" s="114">
        <f t="shared" ca="1" si="6"/>
        <v>52</v>
      </c>
      <c r="F65" s="97" t="s">
        <v>32</v>
      </c>
      <c r="G65" s="116" t="s">
        <v>512</v>
      </c>
      <c r="H65" s="116" t="s">
        <v>494</v>
      </c>
      <c r="I65" s="116" t="s">
        <v>467</v>
      </c>
      <c r="J65" s="97"/>
      <c r="K65" s="97" t="s">
        <v>34</v>
      </c>
      <c r="L65" s="97">
        <v>40238</v>
      </c>
      <c r="M65" s="97" cm="1">
        <f t="array" ref="M65">_xlfn.XLOOKUP(B65&amp;"", 'Registro EMO'!$C$13:$C$4558&amp;"", 'Registro EMO'!$F$13:$F$4558, "Sin registro", 0, -1)</f>
        <v>46069</v>
      </c>
      <c r="N65" s="11" t="str" cm="1">
        <f t="array" ref="N65">_xlfn.XLOOKUP(B65&amp;"", 'Registro EMO'!$C$13:$C$4558&amp;"", 'Registro EMO'!$E$13:$E$4558, "Sin registro", 0, -1)</f>
        <v>Pre-Ocupacional</v>
      </c>
      <c r="O65" s="11" t="str">
        <f t="shared" si="7"/>
        <v>SI</v>
      </c>
      <c r="P65" s="97" cm="1">
        <f t="array" ref="P65">_xlfn.LET(
    _xlpm.resultado, _xlfn.XLOOKUP(B65&amp;"", 'Registro EMO'!$C$13:$C$4558&amp;"", 'Registro EMO'!$I$13:$I$4558, "NO", 0, -1),
    IF(_xlpm.resultado=0, "NO", _xlpm.resultado)
)</f>
        <v>46070</v>
      </c>
      <c r="Q65" s="11" t="str">
        <f t="shared" ca="1" si="8"/>
        <v>Vigente</v>
      </c>
      <c r="R65" s="97"/>
      <c r="S65" s="11"/>
      <c r="T65" s="11" t="str">
        <f t="shared" si="9"/>
        <v/>
      </c>
      <c r="U65" s="97"/>
      <c r="V65" s="100"/>
      <c r="W65" s="7"/>
      <c r="X65" s="137"/>
      <c r="Y65" s="11"/>
      <c r="Z65" s="11"/>
      <c r="AA65" s="11"/>
      <c r="AB65" s="11"/>
      <c r="AC65" s="11"/>
      <c r="AD65" s="11"/>
      <c r="AE65" s="11"/>
      <c r="AF65" s="11"/>
      <c r="AG65" s="101"/>
      <c r="AH65" s="11" t="s">
        <v>36</v>
      </c>
    </row>
    <row r="66" spans="1:34" x14ac:dyDescent="0.3">
      <c r="A66" s="7" t="str">
        <f t="shared" ref="A66:A97" si="10">IF(B66&lt;&gt;"", "TR-" &amp; TEXT(1000 + ROW(A66) - 1, "0000"), "")</f>
        <v>TR-1065</v>
      </c>
      <c r="B66" s="152">
        <v>72759604</v>
      </c>
      <c r="C66" s="161" t="s">
        <v>371</v>
      </c>
      <c r="D66" s="97">
        <v>27030</v>
      </c>
      <c r="E66" s="114">
        <f t="shared" ref="E66:E97" ca="1" si="11">DATEDIF(D66, TODAY(), "y")</f>
        <v>52</v>
      </c>
      <c r="F66" s="97" t="s">
        <v>32</v>
      </c>
      <c r="G66" s="116" t="s">
        <v>512</v>
      </c>
      <c r="H66" s="116" t="s">
        <v>488</v>
      </c>
      <c r="I66" s="116" t="s">
        <v>582</v>
      </c>
      <c r="J66" s="97"/>
      <c r="K66" s="97" t="s">
        <v>34</v>
      </c>
      <c r="L66" s="97">
        <v>45048</v>
      </c>
      <c r="M66" s="97" cm="1">
        <f t="array" ref="M66">_xlfn.XLOOKUP(B66&amp;"", 'Registro EMO'!$C$13:$C$4558&amp;"", 'Registro EMO'!$F$13:$F$4558, "Sin registro", 0, -1)</f>
        <v>45966</v>
      </c>
      <c r="N66" s="11" t="str" cm="1">
        <f t="array" ref="N66">_xlfn.XLOOKUP(B66&amp;"", 'Registro EMO'!$C$13:$C$4558&amp;"", 'Registro EMO'!$E$13:$E$4558, "Sin registro", 0, -1)</f>
        <v>Periódicos</v>
      </c>
      <c r="O66" s="11" t="str">
        <f t="shared" ref="O66:O97" si="12">IF(P66="NO", "NO", "SI")</f>
        <v>SI</v>
      </c>
      <c r="P66" s="97" cm="1">
        <f t="array" ref="P66">_xlfn.LET(
    _xlpm.resultado, _xlfn.XLOOKUP(B66&amp;"", 'Registro EMO'!$C$13:$C$4558&amp;"", 'Registro EMO'!$I$13:$I$4558, "NO", 0, -1),
    IF(_xlpm.resultado=0, "NO", _xlpm.resultado)
)</f>
        <v>45988</v>
      </c>
      <c r="Q66" s="11" t="str">
        <f t="shared" ref="Q66:Q97" ca="1" si="13">IF(M66="Sin registro", "Pendiente", IF(EDATE(M66, IF(K66="Oficina", 24, 12)) &gt;= TODAY(), "Vigente", "Vencido"))</f>
        <v>Vigente</v>
      </c>
      <c r="R66" s="97"/>
      <c r="S66" s="11"/>
      <c r="T66" s="11" t="str">
        <f t="shared" ref="T66:T97" si="14">IF(R66="", "", IF(U66="", "NO", "SI"))</f>
        <v/>
      </c>
      <c r="U66" s="97"/>
      <c r="V66" s="100" t="s">
        <v>35</v>
      </c>
      <c r="W66" s="7" t="s">
        <v>558</v>
      </c>
      <c r="X66" s="137"/>
      <c r="Y66" s="11"/>
      <c r="Z66" s="11"/>
      <c r="AA66" s="11"/>
      <c r="AB66" s="11"/>
      <c r="AC66" s="11"/>
      <c r="AD66" s="11"/>
      <c r="AE66" s="11"/>
      <c r="AF66" s="11"/>
      <c r="AG66" s="101"/>
      <c r="AH66" s="11" t="s">
        <v>36</v>
      </c>
    </row>
    <row r="67" spans="1:34" x14ac:dyDescent="0.3">
      <c r="A67" s="7" t="str">
        <f t="shared" si="10"/>
        <v>TR-1066</v>
      </c>
      <c r="B67" s="150">
        <v>45310288</v>
      </c>
      <c r="C67" s="145" t="s">
        <v>372</v>
      </c>
      <c r="D67" s="97">
        <v>28626</v>
      </c>
      <c r="E67" s="114">
        <f t="shared" ca="1" si="11"/>
        <v>47</v>
      </c>
      <c r="F67" s="97" t="s">
        <v>32</v>
      </c>
      <c r="G67" s="116" t="s">
        <v>512</v>
      </c>
      <c r="H67" s="116" t="s">
        <v>486</v>
      </c>
      <c r="I67" s="116" t="s">
        <v>435</v>
      </c>
      <c r="J67" s="97"/>
      <c r="K67" s="97" t="s">
        <v>34</v>
      </c>
      <c r="L67" s="97">
        <v>43831</v>
      </c>
      <c r="M67" s="97" cm="1">
        <f t="array" ref="M67">_xlfn.XLOOKUP(B67&amp;"", 'Registro EMO'!$C$13:$C$4558&amp;"", 'Registro EMO'!$F$13:$F$4558, "Sin registro", 0, -1)</f>
        <v>45966</v>
      </c>
      <c r="N67" s="11" t="str" cm="1">
        <f t="array" ref="N67">_xlfn.XLOOKUP(B67&amp;"", 'Registro EMO'!$C$13:$C$4558&amp;"", 'Registro EMO'!$E$13:$E$4558, "Sin registro", 0, -1)</f>
        <v>Periódicos</v>
      </c>
      <c r="O67" s="11" t="str">
        <f t="shared" si="12"/>
        <v>SI</v>
      </c>
      <c r="P67" s="97" cm="1">
        <f t="array" ref="P67">_xlfn.LET(
    _xlpm.resultado, _xlfn.XLOOKUP(B67&amp;"", 'Registro EMO'!$C$13:$C$4558&amp;"", 'Registro EMO'!$I$13:$I$4558, "NO", 0, -1),
    IF(_xlpm.resultado=0, "NO", _xlpm.resultado)
)</f>
        <v>46007</v>
      </c>
      <c r="Q67" s="11" t="str">
        <f t="shared" ca="1" si="13"/>
        <v>Vigente</v>
      </c>
      <c r="R67" s="97"/>
      <c r="S67" s="11"/>
      <c r="T67" s="11" t="str">
        <f t="shared" si="14"/>
        <v/>
      </c>
      <c r="U67" s="97"/>
      <c r="V67" s="100" t="s">
        <v>520</v>
      </c>
      <c r="W67" s="7" t="s">
        <v>592</v>
      </c>
      <c r="X67" s="137" t="s">
        <v>559</v>
      </c>
      <c r="Y67" s="11" t="s">
        <v>529</v>
      </c>
      <c r="Z67" s="11" t="s">
        <v>530</v>
      </c>
      <c r="AA67" s="11"/>
      <c r="AB67" s="11"/>
      <c r="AC67" s="11"/>
      <c r="AD67" s="11"/>
      <c r="AE67" s="11"/>
      <c r="AF67" s="11"/>
      <c r="AG67" s="101"/>
      <c r="AH67" s="11" t="s">
        <v>36</v>
      </c>
    </row>
    <row r="68" spans="1:34" x14ac:dyDescent="0.3">
      <c r="A68" s="7" t="str">
        <f t="shared" si="10"/>
        <v>TR-1067</v>
      </c>
      <c r="B68" s="150">
        <v>77344625</v>
      </c>
      <c r="C68" s="159" t="s">
        <v>373</v>
      </c>
      <c r="D68" s="97">
        <v>31556</v>
      </c>
      <c r="E68" s="114">
        <f t="shared" ca="1" si="11"/>
        <v>39</v>
      </c>
      <c r="F68" s="97" t="s">
        <v>32</v>
      </c>
      <c r="G68" s="116" t="s">
        <v>512</v>
      </c>
      <c r="H68" s="116" t="s">
        <v>491</v>
      </c>
      <c r="I68" s="116" t="s">
        <v>468</v>
      </c>
      <c r="J68" s="97"/>
      <c r="K68" s="97" t="s">
        <v>34</v>
      </c>
      <c r="L68" s="97">
        <v>44967</v>
      </c>
      <c r="M68" s="97" cm="1">
        <f t="array" ref="M68">_xlfn.XLOOKUP(B68&amp;"", 'Registro EMO'!$C$13:$C$4558&amp;"", 'Registro EMO'!$F$13:$F$4558, "Sin registro", 0, -1)</f>
        <v>45966</v>
      </c>
      <c r="N68" s="11" t="str" cm="1">
        <f t="array" ref="N68">_xlfn.XLOOKUP(B68&amp;"", 'Registro EMO'!$C$13:$C$4558&amp;"", 'Registro EMO'!$E$13:$E$4558, "Sin registro", 0, -1)</f>
        <v>Periódicos</v>
      </c>
      <c r="O68" s="11" t="str">
        <f t="shared" si="12"/>
        <v>SI</v>
      </c>
      <c r="P68" s="97" cm="1">
        <f t="array" ref="P68">_xlfn.LET(
    _xlpm.resultado, _xlfn.XLOOKUP(B68&amp;"", 'Registro EMO'!$C$13:$C$4558&amp;"", 'Registro EMO'!$I$13:$I$4558, "NO", 0, -1),
    IF(_xlpm.resultado=0, "NO", _xlpm.resultado)
)</f>
        <v>45995</v>
      </c>
      <c r="Q68" s="11" t="str">
        <f t="shared" ca="1" si="13"/>
        <v>Vigente</v>
      </c>
      <c r="R68" s="97"/>
      <c r="S68" s="11"/>
      <c r="T68" s="11" t="str">
        <f t="shared" si="14"/>
        <v/>
      </c>
      <c r="U68" s="97"/>
      <c r="V68" s="100" t="s">
        <v>38</v>
      </c>
      <c r="W68" s="7" t="s">
        <v>64</v>
      </c>
      <c r="X68" s="137" t="s">
        <v>554</v>
      </c>
      <c r="Y68" s="11"/>
      <c r="Z68" s="11"/>
      <c r="AA68" s="11" t="s">
        <v>553</v>
      </c>
      <c r="AB68" s="11" t="s">
        <v>555</v>
      </c>
      <c r="AC68" s="11"/>
      <c r="AD68" s="11"/>
      <c r="AE68" s="11"/>
      <c r="AF68" s="11"/>
      <c r="AG68" s="101"/>
      <c r="AH68" s="11" t="s">
        <v>36</v>
      </c>
    </row>
    <row r="69" spans="1:34" x14ac:dyDescent="0.3">
      <c r="A69" s="7" t="str">
        <f t="shared" si="10"/>
        <v>TR-1068</v>
      </c>
      <c r="B69" s="150">
        <v>75268060</v>
      </c>
      <c r="C69" s="159" t="s">
        <v>374</v>
      </c>
      <c r="D69" s="97">
        <v>34875</v>
      </c>
      <c r="E69" s="114">
        <f t="shared" ca="1" si="11"/>
        <v>30</v>
      </c>
      <c r="F69" s="97" t="s">
        <v>32</v>
      </c>
      <c r="G69" s="116" t="s">
        <v>512</v>
      </c>
      <c r="H69" s="116" t="s">
        <v>489</v>
      </c>
      <c r="I69" s="116" t="s">
        <v>469</v>
      </c>
      <c r="J69" s="97"/>
      <c r="K69" s="97" t="s">
        <v>34</v>
      </c>
      <c r="L69" s="97">
        <v>43831</v>
      </c>
      <c r="M69" s="97" cm="1">
        <f t="array" ref="M69">_xlfn.XLOOKUP(B69&amp;"", 'Registro EMO'!$C$13:$C$4558&amp;"", 'Registro EMO'!$F$13:$F$4558, "Sin registro", 0, -1)</f>
        <v>45966</v>
      </c>
      <c r="N69" s="11" t="str" cm="1">
        <f t="array" ref="N69">_xlfn.XLOOKUP(B69&amp;"", 'Registro EMO'!$C$13:$C$4558&amp;"", 'Registro EMO'!$E$13:$E$4558, "Sin registro", 0, -1)</f>
        <v>Periódicos</v>
      </c>
      <c r="O69" s="11" t="str">
        <f t="shared" si="12"/>
        <v>SI</v>
      </c>
      <c r="P69" s="97" cm="1">
        <f t="array" ref="P69">_xlfn.LET(
    _xlpm.resultado, _xlfn.XLOOKUP(B69&amp;"", 'Registro EMO'!$C$13:$C$4558&amp;"", 'Registro EMO'!$I$13:$I$4558, "NO", 0, -1),
    IF(_xlpm.resultado=0, "NO", _xlpm.resultado)
)</f>
        <v>45988</v>
      </c>
      <c r="Q69" s="11" t="str">
        <f t="shared" ca="1" si="13"/>
        <v>Vigente</v>
      </c>
      <c r="R69" s="97"/>
      <c r="S69" s="11"/>
      <c r="T69" s="11" t="str">
        <f t="shared" si="14"/>
        <v/>
      </c>
      <c r="U69" s="97"/>
      <c r="V69" s="100" t="s">
        <v>38</v>
      </c>
      <c r="W69" s="7" t="s">
        <v>561</v>
      </c>
      <c r="X69" s="137" t="s">
        <v>601</v>
      </c>
      <c r="Y69" s="11"/>
      <c r="Z69" s="11"/>
      <c r="AA69" s="11" t="s">
        <v>560</v>
      </c>
      <c r="AB69" s="11" t="s">
        <v>562</v>
      </c>
      <c r="AC69" s="11"/>
      <c r="AD69" s="11"/>
      <c r="AE69" s="11"/>
      <c r="AF69" s="11"/>
      <c r="AG69" s="101"/>
      <c r="AH69" s="11" t="s">
        <v>36</v>
      </c>
    </row>
    <row r="70" spans="1:34" x14ac:dyDescent="0.3">
      <c r="A70" s="7" t="str">
        <f t="shared" si="10"/>
        <v>TR-1069</v>
      </c>
      <c r="B70" s="150">
        <v>45144020</v>
      </c>
      <c r="C70" s="145" t="s">
        <v>375</v>
      </c>
      <c r="D70" s="97">
        <v>32219</v>
      </c>
      <c r="E70" s="114">
        <f t="shared" ca="1" si="11"/>
        <v>37</v>
      </c>
      <c r="F70" s="97" t="s">
        <v>59</v>
      </c>
      <c r="G70" s="116" t="s">
        <v>512</v>
      </c>
      <c r="H70" s="116" t="s">
        <v>505</v>
      </c>
      <c r="I70" s="116" t="s">
        <v>470</v>
      </c>
      <c r="J70" s="97"/>
      <c r="K70" s="97" t="s">
        <v>34</v>
      </c>
      <c r="L70" s="97">
        <v>39888</v>
      </c>
      <c r="M70" s="97" cm="1">
        <f t="array" ref="M70">_xlfn.XLOOKUP(B70&amp;"", 'Registro EMO'!$C$13:$C$4558&amp;"", 'Registro EMO'!$F$13:$F$4558, "Sin registro", 0, -1)</f>
        <v>46035</v>
      </c>
      <c r="N70" s="11" t="str" cm="1">
        <f t="array" ref="N70">_xlfn.XLOOKUP(B70&amp;"", 'Registro EMO'!$C$13:$C$4558&amp;"", 'Registro EMO'!$E$13:$E$4558, "Sin registro", 0, -1)</f>
        <v>Periódicos</v>
      </c>
      <c r="O70" s="11" t="str">
        <f t="shared" si="12"/>
        <v>SI</v>
      </c>
      <c r="P70" s="97" cm="1">
        <f t="array" ref="P70">_xlfn.LET(
    _xlpm.resultado, _xlfn.XLOOKUP(B70&amp;"", 'Registro EMO'!$C$13:$C$4558&amp;"", 'Registro EMO'!$I$13:$I$4558, "NO", 0, -1),
    IF(_xlpm.resultado=0, "NO", _xlpm.resultado)
)</f>
        <v>46042</v>
      </c>
      <c r="Q70" s="11" t="str">
        <f t="shared" ca="1" si="13"/>
        <v>Vigente</v>
      </c>
      <c r="R70" s="97"/>
      <c r="S70" s="11"/>
      <c r="T70" s="11" t="str">
        <f t="shared" si="14"/>
        <v/>
      </c>
      <c r="U70" s="97"/>
      <c r="V70" s="100" t="s">
        <v>520</v>
      </c>
      <c r="W70" s="7" t="s">
        <v>521</v>
      </c>
      <c r="X70" s="137" t="s">
        <v>602</v>
      </c>
      <c r="Y70" s="11" t="s">
        <v>523</v>
      </c>
      <c r="Z70" s="11" t="s">
        <v>522</v>
      </c>
      <c r="AA70" s="11" t="s">
        <v>567</v>
      </c>
      <c r="AB70" s="11" t="s">
        <v>568</v>
      </c>
      <c r="AC70" s="11"/>
      <c r="AD70" s="11"/>
      <c r="AE70" s="11"/>
      <c r="AF70" s="11"/>
      <c r="AG70" s="101"/>
      <c r="AH70" s="11" t="s">
        <v>36</v>
      </c>
    </row>
    <row r="71" spans="1:34" x14ac:dyDescent="0.3">
      <c r="A71" s="7" t="str">
        <f t="shared" si="10"/>
        <v>TR-1070</v>
      </c>
      <c r="B71" s="150">
        <v>10577555</v>
      </c>
      <c r="C71" s="159" t="s">
        <v>376</v>
      </c>
      <c r="D71" s="97">
        <v>30343</v>
      </c>
      <c r="E71" s="114">
        <f t="shared" ca="1" si="11"/>
        <v>43</v>
      </c>
      <c r="F71" s="97" t="s">
        <v>32</v>
      </c>
      <c r="G71" s="116" t="s">
        <v>512</v>
      </c>
      <c r="H71" s="116" t="s">
        <v>492</v>
      </c>
      <c r="I71" s="116" t="s">
        <v>471</v>
      </c>
      <c r="J71" s="97"/>
      <c r="K71" s="97" t="s">
        <v>34</v>
      </c>
      <c r="L71" s="97">
        <v>45341</v>
      </c>
      <c r="M71" s="97" cm="1">
        <f t="array" ref="M71">_xlfn.XLOOKUP(B71&amp;"", 'Registro EMO'!$C$13:$C$4558&amp;"", 'Registro EMO'!$F$13:$F$4558, "Sin registro", 0, -1)</f>
        <v>45966</v>
      </c>
      <c r="N71" s="11" t="str" cm="1">
        <f t="array" ref="N71">_xlfn.XLOOKUP(B71&amp;"", 'Registro EMO'!$C$13:$C$4558&amp;"", 'Registro EMO'!$E$13:$E$4558, "Sin registro", 0, -1)</f>
        <v>Periódicos</v>
      </c>
      <c r="O71" s="11" t="str">
        <f t="shared" si="12"/>
        <v>NO</v>
      </c>
      <c r="P71" s="166" t="str" cm="1">
        <f t="array" ref="P71">_xlfn.LET(
    _xlpm.resultado, _xlfn.XLOOKUP(B71&amp;"", 'Registro EMO'!$C$13:$C$4558&amp;"", 'Registro EMO'!$I$13:$I$4558, "NO", 0, -1),
    IF(_xlpm.resultado=0, "NO", _xlpm.resultado)
)</f>
        <v>NO</v>
      </c>
      <c r="Q71" s="11" t="str">
        <f t="shared" ca="1" si="13"/>
        <v>Vigente</v>
      </c>
      <c r="R71" s="97"/>
      <c r="S71" s="11" t="s">
        <v>611</v>
      </c>
      <c r="T71" s="11" t="str">
        <f t="shared" si="14"/>
        <v/>
      </c>
      <c r="U71" s="97"/>
      <c r="V71" s="100"/>
      <c r="W71" s="7" t="s">
        <v>56</v>
      </c>
      <c r="X71" s="137"/>
      <c r="Y71" s="11"/>
      <c r="Z71" s="11"/>
      <c r="AA71" s="11"/>
      <c r="AB71" s="11"/>
      <c r="AC71" s="11"/>
      <c r="AD71" s="11"/>
      <c r="AE71" s="11"/>
      <c r="AF71" s="11"/>
      <c r="AG71" s="101"/>
      <c r="AH71" s="11" t="s">
        <v>36</v>
      </c>
    </row>
    <row r="72" spans="1:34" x14ac:dyDescent="0.3">
      <c r="A72" s="7" t="str">
        <f t="shared" si="10"/>
        <v>TR-1071</v>
      </c>
      <c r="B72" s="150">
        <v>70110862</v>
      </c>
      <c r="C72" s="159" t="s">
        <v>377</v>
      </c>
      <c r="D72" s="97">
        <v>27428</v>
      </c>
      <c r="E72" s="114">
        <f t="shared" ca="1" si="11"/>
        <v>51</v>
      </c>
      <c r="F72" s="97" t="s">
        <v>32</v>
      </c>
      <c r="G72" s="116" t="s">
        <v>512</v>
      </c>
      <c r="H72" s="116" t="s">
        <v>492</v>
      </c>
      <c r="I72" s="116" t="s">
        <v>472</v>
      </c>
      <c r="J72" s="97"/>
      <c r="K72" s="97" t="s">
        <v>34</v>
      </c>
      <c r="L72" s="97">
        <v>45726</v>
      </c>
      <c r="M72" s="97" cm="1">
        <f t="array" ref="M72">_xlfn.XLOOKUP(B72&amp;"", 'Registro EMO'!$C$13:$C$4558&amp;"", 'Registro EMO'!$F$13:$F$4558, "Sin registro", 0, -1)</f>
        <v>45966</v>
      </c>
      <c r="N72" s="11" t="str" cm="1">
        <f t="array" ref="N72">_xlfn.XLOOKUP(B72&amp;"", 'Registro EMO'!$C$13:$C$4558&amp;"", 'Registro EMO'!$E$13:$E$4558, "Sin registro", 0, -1)</f>
        <v>Pre-Ocupacional</v>
      </c>
      <c r="O72" s="11" t="str">
        <f t="shared" si="12"/>
        <v>SI</v>
      </c>
      <c r="P72" s="97" cm="1">
        <f t="array" ref="P72">_xlfn.LET(
    _xlpm.resultado, _xlfn.XLOOKUP(B72&amp;"", 'Registro EMO'!$C$13:$C$4558&amp;"", 'Registro EMO'!$I$13:$I$4558, "NO", 0, -1),
    IF(_xlpm.resultado=0, "NO", _xlpm.resultado)
)</f>
        <v>45988</v>
      </c>
      <c r="Q72" s="11" t="str">
        <f t="shared" ca="1" si="13"/>
        <v>Vigente</v>
      </c>
      <c r="R72" s="97"/>
      <c r="S72" s="11"/>
      <c r="T72" s="11" t="str">
        <f t="shared" si="14"/>
        <v/>
      </c>
      <c r="U72" s="97"/>
      <c r="V72" s="100" t="s">
        <v>38</v>
      </c>
      <c r="W72" s="7" t="s">
        <v>593</v>
      </c>
      <c r="X72" s="137" t="s">
        <v>563</v>
      </c>
      <c r="Y72" s="11" t="s">
        <v>523</v>
      </c>
      <c r="Z72" s="11" t="s">
        <v>524</v>
      </c>
      <c r="AA72" s="11"/>
      <c r="AB72" s="11"/>
      <c r="AC72" s="11"/>
      <c r="AD72" s="11"/>
      <c r="AE72" s="11"/>
      <c r="AF72" s="11"/>
      <c r="AG72" s="101"/>
      <c r="AH72" s="11" t="s">
        <v>36</v>
      </c>
    </row>
    <row r="73" spans="1:34" x14ac:dyDescent="0.3">
      <c r="A73" s="7" t="str">
        <f t="shared" si="10"/>
        <v>TR-1072</v>
      </c>
      <c r="B73" s="150">
        <v>43747439</v>
      </c>
      <c r="C73" s="159" t="s">
        <v>378</v>
      </c>
      <c r="D73" s="97">
        <v>31832</v>
      </c>
      <c r="E73" s="114">
        <f t="shared" ca="1" si="11"/>
        <v>39</v>
      </c>
      <c r="F73" s="97" t="s">
        <v>32</v>
      </c>
      <c r="G73" s="116" t="s">
        <v>512</v>
      </c>
      <c r="H73" s="116" t="s">
        <v>486</v>
      </c>
      <c r="I73" s="116" t="s">
        <v>421</v>
      </c>
      <c r="J73" s="97"/>
      <c r="K73" s="97" t="s">
        <v>34</v>
      </c>
      <c r="L73" s="97">
        <v>45810</v>
      </c>
      <c r="M73" s="97" cm="1">
        <f t="array" ref="M73">_xlfn.XLOOKUP(B73&amp;"", 'Registro EMO'!$C$13:$C$4558&amp;"", 'Registro EMO'!$F$13:$F$4558, "Sin registro", 0, -1)</f>
        <v>45966</v>
      </c>
      <c r="N73" s="11" t="str" cm="1">
        <f t="array" ref="N73">_xlfn.XLOOKUP(B73&amp;"", 'Registro EMO'!$C$13:$C$4558&amp;"", 'Registro EMO'!$E$13:$E$4558, "Sin registro", 0, -1)</f>
        <v>Pre-Ocupacional</v>
      </c>
      <c r="O73" s="11" t="str">
        <f t="shared" si="12"/>
        <v>SI</v>
      </c>
      <c r="P73" s="97" cm="1">
        <f t="array" ref="P73">_xlfn.LET(
    _xlpm.resultado, _xlfn.XLOOKUP(B73&amp;"", 'Registro EMO'!$C$13:$C$4558&amp;"", 'Registro EMO'!$I$13:$I$4558, "NO", 0, -1),
    IF(_xlpm.resultado=0, "NO", _xlpm.resultado)
)</f>
        <v>46007</v>
      </c>
      <c r="Q73" s="11" t="str">
        <f t="shared" ca="1" si="13"/>
        <v>Vigente</v>
      </c>
      <c r="R73" s="97"/>
      <c r="S73" s="11"/>
      <c r="T73" s="11" t="str">
        <f t="shared" si="14"/>
        <v/>
      </c>
      <c r="U73" s="97"/>
      <c r="V73" s="100" t="s">
        <v>38</v>
      </c>
      <c r="W73" s="7" t="s">
        <v>564</v>
      </c>
      <c r="X73" s="137" t="s">
        <v>534</v>
      </c>
      <c r="Y73" s="11" t="s">
        <v>529</v>
      </c>
      <c r="Z73" s="11" t="s">
        <v>530</v>
      </c>
      <c r="AA73" s="11" t="s">
        <v>565</v>
      </c>
      <c r="AB73" s="11" t="s">
        <v>607</v>
      </c>
      <c r="AC73" s="11"/>
      <c r="AD73" s="11"/>
      <c r="AE73" s="11"/>
      <c r="AF73" s="11"/>
      <c r="AG73" s="101"/>
      <c r="AH73" s="11" t="s">
        <v>36</v>
      </c>
    </row>
    <row r="74" spans="1:34" x14ac:dyDescent="0.3">
      <c r="A74" s="7" t="str">
        <f t="shared" si="10"/>
        <v>TR-1073</v>
      </c>
      <c r="B74" s="150">
        <v>47259573</v>
      </c>
      <c r="C74" s="159" t="s">
        <v>379</v>
      </c>
      <c r="D74" s="97">
        <v>34145</v>
      </c>
      <c r="E74" s="114">
        <f t="shared" ca="1" si="11"/>
        <v>32</v>
      </c>
      <c r="F74" s="97" t="s">
        <v>32</v>
      </c>
      <c r="G74" s="116" t="s">
        <v>512</v>
      </c>
      <c r="H74" s="116" t="s">
        <v>492</v>
      </c>
      <c r="I74" s="116" t="s">
        <v>430</v>
      </c>
      <c r="J74" s="97"/>
      <c r="K74" s="97" t="s">
        <v>34</v>
      </c>
      <c r="L74" s="97">
        <v>45670</v>
      </c>
      <c r="M74" s="97" cm="1">
        <f t="array" ref="M74">_xlfn.XLOOKUP(B74&amp;"", 'Registro EMO'!$C$13:$C$4558&amp;"", 'Registro EMO'!$F$13:$F$4558, "Sin registro", 0, -1)</f>
        <v>45966</v>
      </c>
      <c r="N74" s="11" t="str" cm="1">
        <f t="array" ref="N74">_xlfn.XLOOKUP(B74&amp;"", 'Registro EMO'!$C$13:$C$4558&amp;"", 'Registro EMO'!$E$13:$E$4558, "Sin registro", 0, -1)</f>
        <v>Pre-Ocupacional</v>
      </c>
      <c r="O74" s="11" t="str">
        <f t="shared" si="12"/>
        <v>SI</v>
      </c>
      <c r="P74" s="97" cm="1">
        <f t="array" ref="P74">_xlfn.LET(
    _xlpm.resultado, _xlfn.XLOOKUP(B74&amp;"", 'Registro EMO'!$C$13:$C$4558&amp;"", 'Registro EMO'!$I$13:$I$4558, "NO", 0, -1),
    IF(_xlpm.resultado=0, "NO", _xlpm.resultado)
)</f>
        <v>45988</v>
      </c>
      <c r="Q74" s="11" t="str">
        <f t="shared" ca="1" si="13"/>
        <v>Vigente</v>
      </c>
      <c r="R74" s="97"/>
      <c r="S74" s="11"/>
      <c r="T74" s="11" t="str">
        <f t="shared" si="14"/>
        <v/>
      </c>
      <c r="U74" s="97"/>
      <c r="V74" s="100" t="s">
        <v>35</v>
      </c>
      <c r="W74" s="7" t="s">
        <v>39</v>
      </c>
      <c r="X74" s="137" t="s">
        <v>528</v>
      </c>
      <c r="Y74" s="11" t="s">
        <v>529</v>
      </c>
      <c r="Z74" s="11" t="s">
        <v>530</v>
      </c>
      <c r="AA74" s="11"/>
      <c r="AB74" s="11"/>
      <c r="AC74" s="11"/>
      <c r="AD74" s="11"/>
      <c r="AE74" s="11"/>
      <c r="AF74" s="11"/>
      <c r="AG74" s="101"/>
      <c r="AH74" s="11" t="s">
        <v>36</v>
      </c>
    </row>
    <row r="75" spans="1:34" x14ac:dyDescent="0.3">
      <c r="A75" s="7" t="str">
        <f t="shared" si="10"/>
        <v>TR-1074</v>
      </c>
      <c r="B75" s="150">
        <v>77232866</v>
      </c>
      <c r="C75" s="159" t="s">
        <v>380</v>
      </c>
      <c r="D75" s="97">
        <v>27091</v>
      </c>
      <c r="E75" s="114">
        <f t="shared" ca="1" si="11"/>
        <v>51</v>
      </c>
      <c r="F75" s="97" t="s">
        <v>32</v>
      </c>
      <c r="G75" s="116" t="s">
        <v>512</v>
      </c>
      <c r="H75" s="116" t="s">
        <v>490</v>
      </c>
      <c r="I75" s="116" t="s">
        <v>449</v>
      </c>
      <c r="J75" s="97"/>
      <c r="K75" s="97" t="s">
        <v>34</v>
      </c>
      <c r="L75" s="97">
        <v>46028</v>
      </c>
      <c r="M75" s="97" cm="1">
        <f t="array" ref="M75">_xlfn.XLOOKUP(B75&amp;"", 'Registro EMO'!$C$13:$C$4558&amp;"", 'Registro EMO'!$F$13:$F$4558, "Sin registro", 0, -1)</f>
        <v>46069</v>
      </c>
      <c r="N75" s="11" t="str" cm="1">
        <f t="array" ref="N75">_xlfn.XLOOKUP(B75&amp;"", 'Registro EMO'!$C$13:$C$4558&amp;"", 'Registro EMO'!$E$13:$E$4558, "Sin registro", 0, -1)</f>
        <v>Pre-Ocupacional</v>
      </c>
      <c r="O75" s="11" t="str">
        <f t="shared" si="12"/>
        <v>SI</v>
      </c>
      <c r="P75" s="97" cm="1">
        <f t="array" ref="P75">_xlfn.LET(
    _xlpm.resultado, _xlfn.XLOOKUP(B75&amp;"", 'Registro EMO'!$C$13:$C$4558&amp;"", 'Registro EMO'!$I$13:$I$4558, "NO", 0, -1),
    IF(_xlpm.resultado=0, "NO", _xlpm.resultado)
)</f>
        <v>46070</v>
      </c>
      <c r="Q75" s="11" t="str">
        <f t="shared" ca="1" si="13"/>
        <v>Vigente</v>
      </c>
      <c r="R75" s="97"/>
      <c r="S75" s="11"/>
      <c r="T75" s="11" t="str">
        <f t="shared" si="14"/>
        <v/>
      </c>
      <c r="U75" s="97"/>
      <c r="V75" s="100"/>
      <c r="W75" s="7" t="s">
        <v>39</v>
      </c>
      <c r="X75" s="137"/>
      <c r="Y75" s="11"/>
      <c r="Z75" s="11"/>
      <c r="AA75" s="11"/>
      <c r="AB75" s="11"/>
      <c r="AC75" s="11"/>
      <c r="AD75" s="11"/>
      <c r="AE75" s="11"/>
      <c r="AF75" s="11"/>
      <c r="AG75" s="101"/>
      <c r="AH75" s="11" t="s">
        <v>36</v>
      </c>
    </row>
    <row r="76" spans="1:34" x14ac:dyDescent="0.3">
      <c r="A76" s="7" t="str">
        <f t="shared" si="10"/>
        <v>TR-1075</v>
      </c>
      <c r="B76" s="150">
        <v>43888135</v>
      </c>
      <c r="C76" s="159" t="s">
        <v>381</v>
      </c>
      <c r="D76" s="97">
        <v>32574</v>
      </c>
      <c r="E76" s="114">
        <f t="shared" ca="1" si="11"/>
        <v>36</v>
      </c>
      <c r="F76" s="97" t="s">
        <v>32</v>
      </c>
      <c r="G76" s="116" t="s">
        <v>512</v>
      </c>
      <c r="H76" s="116" t="s">
        <v>489</v>
      </c>
      <c r="I76" s="116" t="s">
        <v>473</v>
      </c>
      <c r="J76" s="97"/>
      <c r="K76" s="97" t="s">
        <v>34</v>
      </c>
      <c r="L76" s="97">
        <v>43831</v>
      </c>
      <c r="M76" s="97" cm="1">
        <f t="array" ref="M76">_xlfn.XLOOKUP(B76&amp;"", 'Registro EMO'!$C$13:$C$4558&amp;"", 'Registro EMO'!$F$13:$F$4558, "Sin registro", 0, -1)</f>
        <v>45966</v>
      </c>
      <c r="N76" s="11" t="str" cm="1">
        <f t="array" ref="N76">_xlfn.XLOOKUP(B76&amp;"", 'Registro EMO'!$C$13:$C$4558&amp;"", 'Registro EMO'!$E$13:$E$4558, "Sin registro", 0, -1)</f>
        <v>Periódicos</v>
      </c>
      <c r="O76" s="11" t="str">
        <f t="shared" si="12"/>
        <v>SI</v>
      </c>
      <c r="P76" s="97" cm="1">
        <f t="array" ref="P76">_xlfn.LET(
    _xlpm.resultado, _xlfn.XLOOKUP(B76&amp;"", 'Registro EMO'!$C$13:$C$4558&amp;"", 'Registro EMO'!$I$13:$I$4558, "NO", 0, -1),
    IF(_xlpm.resultado=0, "NO", _xlpm.resultado)
)</f>
        <v>46007</v>
      </c>
      <c r="Q76" s="11" t="str">
        <f t="shared" ca="1" si="13"/>
        <v>Vigente</v>
      </c>
      <c r="R76" s="97"/>
      <c r="S76" s="11"/>
      <c r="T76" s="11" t="str">
        <f t="shared" si="14"/>
        <v/>
      </c>
      <c r="U76" s="97"/>
      <c r="V76" s="100" t="s">
        <v>38</v>
      </c>
      <c r="W76" s="7" t="s">
        <v>594</v>
      </c>
      <c r="X76" s="137" t="s">
        <v>531</v>
      </c>
      <c r="Y76" s="11" t="s">
        <v>523</v>
      </c>
      <c r="Z76" s="11" t="s">
        <v>524</v>
      </c>
      <c r="AA76" s="11"/>
      <c r="AB76" s="11"/>
      <c r="AC76" s="11"/>
      <c r="AD76" s="11"/>
      <c r="AE76" s="11"/>
      <c r="AF76" s="11"/>
      <c r="AG76" s="101"/>
      <c r="AH76" s="11" t="s">
        <v>36</v>
      </c>
    </row>
    <row r="77" spans="1:34" x14ac:dyDescent="0.3">
      <c r="A77" s="7" t="str">
        <f t="shared" si="10"/>
        <v>TR-1076</v>
      </c>
      <c r="B77" s="150">
        <v>40756719</v>
      </c>
      <c r="C77" s="159" t="s">
        <v>382</v>
      </c>
      <c r="D77" s="97">
        <v>31270</v>
      </c>
      <c r="E77" s="114">
        <f t="shared" ca="1" si="11"/>
        <v>40</v>
      </c>
      <c r="F77" s="97" t="s">
        <v>32</v>
      </c>
      <c r="G77" s="116" t="s">
        <v>512</v>
      </c>
      <c r="H77" s="116" t="s">
        <v>491</v>
      </c>
      <c r="I77" s="116" t="s">
        <v>474</v>
      </c>
      <c r="J77" s="97"/>
      <c r="K77" s="97" t="s">
        <v>34</v>
      </c>
      <c r="L77" s="97">
        <v>42047</v>
      </c>
      <c r="M77" s="97" cm="1">
        <f t="array" ref="M77">_xlfn.XLOOKUP(B77&amp;"", 'Registro EMO'!$C$13:$C$4558&amp;"", 'Registro EMO'!$F$13:$F$4558, "Sin registro", 0, -1)</f>
        <v>45966</v>
      </c>
      <c r="N77" s="11" t="str" cm="1">
        <f t="array" ref="N77">_xlfn.XLOOKUP(B77&amp;"", 'Registro EMO'!$C$13:$C$4558&amp;"", 'Registro EMO'!$E$13:$E$4558, "Sin registro", 0, -1)</f>
        <v>Periódicos</v>
      </c>
      <c r="O77" s="11" t="str">
        <f t="shared" si="12"/>
        <v>SI</v>
      </c>
      <c r="P77" s="97" cm="1">
        <f t="array" ref="P77">_xlfn.LET(
    _xlpm.resultado, _xlfn.XLOOKUP(B77&amp;"", 'Registro EMO'!$C$13:$C$4558&amp;"", 'Registro EMO'!$I$13:$I$4558, "NO", 0, -1),
    IF(_xlpm.resultado=0, "NO", _xlpm.resultado)
)</f>
        <v>45995</v>
      </c>
      <c r="Q77" s="11" t="str">
        <f t="shared" ca="1" si="13"/>
        <v>Vigente</v>
      </c>
      <c r="R77" s="97"/>
      <c r="S77" s="11"/>
      <c r="T77" s="11" t="str">
        <f t="shared" si="14"/>
        <v/>
      </c>
      <c r="U77" s="97"/>
      <c r="V77" s="100" t="s">
        <v>38</v>
      </c>
      <c r="W77" s="7" t="s">
        <v>547</v>
      </c>
      <c r="X77" s="137" t="s">
        <v>603</v>
      </c>
      <c r="Y77" s="11"/>
      <c r="Z77" s="11" t="s">
        <v>538</v>
      </c>
      <c r="AA77" s="11" t="s">
        <v>606</v>
      </c>
      <c r="AB77" s="11" t="s">
        <v>552</v>
      </c>
      <c r="AC77" s="11"/>
      <c r="AD77" s="11"/>
      <c r="AE77" s="11"/>
      <c r="AF77" s="11"/>
      <c r="AG77" s="101"/>
      <c r="AH77" s="11" t="s">
        <v>36</v>
      </c>
    </row>
    <row r="78" spans="1:34" x14ac:dyDescent="0.3">
      <c r="A78" s="7" t="str">
        <f t="shared" si="10"/>
        <v>TR-1077</v>
      </c>
      <c r="B78" s="150">
        <v>45441597</v>
      </c>
      <c r="C78" s="159" t="s">
        <v>383</v>
      </c>
      <c r="D78" s="97">
        <v>36705</v>
      </c>
      <c r="E78" s="114">
        <f t="shared" ca="1" si="11"/>
        <v>25</v>
      </c>
      <c r="F78" s="97" t="s">
        <v>32</v>
      </c>
      <c r="G78" s="116" t="s">
        <v>512</v>
      </c>
      <c r="H78" s="116" t="s">
        <v>491</v>
      </c>
      <c r="I78" s="116" t="s">
        <v>436</v>
      </c>
      <c r="J78" s="97"/>
      <c r="K78" s="97" t="s">
        <v>34</v>
      </c>
      <c r="L78" s="97">
        <v>43831</v>
      </c>
      <c r="M78" s="97" cm="1">
        <f t="array" ref="M78">_xlfn.XLOOKUP(B78&amp;"", 'Registro EMO'!$C$13:$C$4558&amp;"", 'Registro EMO'!$F$13:$F$4558, "Sin registro", 0, -1)</f>
        <v>45966</v>
      </c>
      <c r="N78" s="11" t="str" cm="1">
        <f t="array" ref="N78">_xlfn.XLOOKUP(B78&amp;"", 'Registro EMO'!$C$13:$C$4558&amp;"", 'Registro EMO'!$E$13:$E$4558, "Sin registro", 0, -1)</f>
        <v>Periódicos</v>
      </c>
      <c r="O78" s="11" t="str">
        <f t="shared" si="12"/>
        <v>SI</v>
      </c>
      <c r="P78" s="97" cm="1">
        <f t="array" ref="P78">_xlfn.LET(
    _xlpm.resultado, _xlfn.XLOOKUP(B78&amp;"", 'Registro EMO'!$C$13:$C$4558&amp;"", 'Registro EMO'!$I$13:$I$4558, "NO", 0, -1),
    IF(_xlpm.resultado=0, "NO", _xlpm.resultado)
)</f>
        <v>45995</v>
      </c>
      <c r="Q78" s="11" t="str">
        <f t="shared" ca="1" si="13"/>
        <v>Vigente</v>
      </c>
      <c r="R78" s="97"/>
      <c r="S78" s="11"/>
      <c r="T78" s="11" t="str">
        <f t="shared" si="14"/>
        <v/>
      </c>
      <c r="U78" s="97"/>
      <c r="V78" s="100" t="s">
        <v>38</v>
      </c>
      <c r="W78" s="7" t="s">
        <v>595</v>
      </c>
      <c r="X78" s="137" t="s">
        <v>539</v>
      </c>
      <c r="Y78" s="11" t="s">
        <v>529</v>
      </c>
      <c r="Z78" s="11" t="s">
        <v>530</v>
      </c>
      <c r="AA78" s="11"/>
      <c r="AB78" s="11"/>
      <c r="AC78" s="11"/>
      <c r="AD78" s="11"/>
      <c r="AE78" s="11"/>
      <c r="AF78" s="11"/>
      <c r="AG78" s="101"/>
      <c r="AH78" s="11" t="s">
        <v>36</v>
      </c>
    </row>
    <row r="79" spans="1:34" x14ac:dyDescent="0.3">
      <c r="A79" s="7" t="str">
        <f t="shared" si="10"/>
        <v>TR-1078</v>
      </c>
      <c r="B79" s="150">
        <v>76188564</v>
      </c>
      <c r="C79" s="159" t="s">
        <v>384</v>
      </c>
      <c r="D79" s="97">
        <v>33195</v>
      </c>
      <c r="E79" s="114">
        <f t="shared" ca="1" si="11"/>
        <v>35</v>
      </c>
      <c r="F79" s="97" t="s">
        <v>32</v>
      </c>
      <c r="G79" s="116" t="s">
        <v>512</v>
      </c>
      <c r="H79" s="116" t="s">
        <v>493</v>
      </c>
      <c r="I79" s="116" t="s">
        <v>431</v>
      </c>
      <c r="J79" s="97"/>
      <c r="K79" s="97" t="s">
        <v>34</v>
      </c>
      <c r="L79" s="97">
        <v>45173</v>
      </c>
      <c r="M79" s="97" cm="1">
        <f t="array" ref="M79">_xlfn.XLOOKUP(B79&amp;"", 'Registro EMO'!$C$13:$C$4558&amp;"", 'Registro EMO'!$F$13:$F$4558, "Sin registro", 0, -1)</f>
        <v>45966</v>
      </c>
      <c r="N79" s="11" t="str" cm="1">
        <f t="array" ref="N79">_xlfn.XLOOKUP(B79&amp;"", 'Registro EMO'!$C$13:$C$4558&amp;"", 'Registro EMO'!$E$13:$E$4558, "Sin registro", 0, -1)</f>
        <v>Periódicos</v>
      </c>
      <c r="O79" s="11" t="str">
        <f t="shared" si="12"/>
        <v>SI</v>
      </c>
      <c r="P79" s="97" cm="1">
        <f t="array" ref="P79">_xlfn.LET(
    _xlpm.resultado, _xlfn.XLOOKUP(B79&amp;"", 'Registro EMO'!$C$13:$C$4558&amp;"", 'Registro EMO'!$I$13:$I$4558, "NO", 0, -1),
    IF(_xlpm.resultado=0, "NO", _xlpm.resultado)
)</f>
        <v>46002</v>
      </c>
      <c r="Q79" s="11" t="str">
        <f t="shared" ca="1" si="13"/>
        <v>Vigente</v>
      </c>
      <c r="R79" s="97"/>
      <c r="S79" s="11"/>
      <c r="T79" s="11" t="str">
        <f t="shared" si="14"/>
        <v/>
      </c>
      <c r="U79" s="97"/>
      <c r="V79" s="100" t="s">
        <v>38</v>
      </c>
      <c r="W79" s="7" t="s">
        <v>542</v>
      </c>
      <c r="X79" s="137" t="s">
        <v>604</v>
      </c>
      <c r="Y79" s="11" t="s">
        <v>543</v>
      </c>
      <c r="Z79" s="11" t="s">
        <v>544</v>
      </c>
      <c r="AA79" s="11"/>
      <c r="AB79" s="11"/>
      <c r="AC79" s="11"/>
      <c r="AD79" s="11"/>
      <c r="AE79" s="11"/>
      <c r="AF79" s="11"/>
      <c r="AG79" s="101"/>
      <c r="AH79" s="11" t="s">
        <v>36</v>
      </c>
    </row>
    <row r="80" spans="1:34" x14ac:dyDescent="0.3">
      <c r="A80" s="7" t="str">
        <f t="shared" si="10"/>
        <v>TR-1079</v>
      </c>
      <c r="B80" s="150">
        <v>75578447</v>
      </c>
      <c r="C80" s="159" t="s">
        <v>385</v>
      </c>
      <c r="D80" s="97">
        <v>35578</v>
      </c>
      <c r="E80" s="114">
        <f t="shared" ca="1" si="11"/>
        <v>28</v>
      </c>
      <c r="F80" s="97" t="s">
        <v>32</v>
      </c>
      <c r="G80" s="116" t="s">
        <v>512</v>
      </c>
      <c r="H80" s="116" t="s">
        <v>491</v>
      </c>
      <c r="I80" s="116" t="s">
        <v>441</v>
      </c>
      <c r="J80" s="97"/>
      <c r="K80" s="97" t="s">
        <v>34</v>
      </c>
      <c r="L80" s="97">
        <v>45810</v>
      </c>
      <c r="M80" s="97" cm="1">
        <f t="array" ref="M80">_xlfn.XLOOKUP(B80&amp;"", 'Registro EMO'!$C$13:$C$4558&amp;"", 'Registro EMO'!$F$13:$F$4558, "Sin registro", 0, -1)</f>
        <v>45966</v>
      </c>
      <c r="N80" s="11" t="str" cm="1">
        <f t="array" ref="N80">_xlfn.XLOOKUP(B80&amp;"", 'Registro EMO'!$C$13:$C$4558&amp;"", 'Registro EMO'!$E$13:$E$4558, "Sin registro", 0, -1)</f>
        <v>Pre-Ocupacional</v>
      </c>
      <c r="O80" s="11" t="str">
        <f t="shared" si="12"/>
        <v>SI</v>
      </c>
      <c r="P80" s="97" cm="1">
        <f t="array" ref="P80">_xlfn.LET(
    _xlpm.resultado, _xlfn.XLOOKUP(B80&amp;"", 'Registro EMO'!$C$13:$C$4558&amp;"", 'Registro EMO'!$I$13:$I$4558, "NO", 0, -1),
    IF(_xlpm.resultado=0, "NO", _xlpm.resultado)
)</f>
        <v>45995</v>
      </c>
      <c r="Q80" s="11" t="str">
        <f t="shared" ca="1" si="13"/>
        <v>Vigente</v>
      </c>
      <c r="R80" s="97"/>
      <c r="S80" s="11"/>
      <c r="T80" s="11" t="str">
        <f t="shared" si="14"/>
        <v/>
      </c>
      <c r="U80" s="97"/>
      <c r="V80" s="100" t="s">
        <v>38</v>
      </c>
      <c r="W80" s="7" t="s">
        <v>596</v>
      </c>
      <c r="X80" s="137" t="s">
        <v>605</v>
      </c>
      <c r="Y80" s="11"/>
      <c r="Z80" s="11" t="s">
        <v>538</v>
      </c>
      <c r="AA80" s="11"/>
      <c r="AB80" s="11"/>
      <c r="AC80" s="11"/>
      <c r="AD80" s="11"/>
      <c r="AE80" s="11"/>
      <c r="AF80" s="11"/>
      <c r="AG80" s="101"/>
      <c r="AH80" s="11" t="s">
        <v>36</v>
      </c>
    </row>
    <row r="81" spans="1:34" x14ac:dyDescent="0.3">
      <c r="A81" s="7" t="str">
        <f t="shared" si="10"/>
        <v>TR-1080</v>
      </c>
      <c r="B81" s="152">
        <v>6726972</v>
      </c>
      <c r="C81" s="145" t="s">
        <v>515</v>
      </c>
      <c r="D81" s="97"/>
      <c r="E81" s="114">
        <f t="shared" ca="1" si="11"/>
        <v>126</v>
      </c>
      <c r="F81" s="97" t="s">
        <v>32</v>
      </c>
      <c r="G81" s="116" t="s">
        <v>514</v>
      </c>
      <c r="H81" s="116" t="s">
        <v>486</v>
      </c>
      <c r="I81" s="116" t="s">
        <v>516</v>
      </c>
      <c r="J81" s="97"/>
      <c r="K81" s="97" t="s">
        <v>34</v>
      </c>
      <c r="L81" s="97">
        <v>45597</v>
      </c>
      <c r="M81" s="97" cm="1">
        <f t="array" ref="M81">_xlfn.XLOOKUP(B81&amp;"", 'Registro EMO'!$C$13:$C$4558&amp;"", 'Registro EMO'!$F$13:$F$4558, "Sin registro", 0, -1)</f>
        <v>45966</v>
      </c>
      <c r="N81" s="11" t="str" cm="1">
        <f t="array" ref="N81">_xlfn.XLOOKUP(B81&amp;"", 'Registro EMO'!$C$13:$C$4558&amp;"", 'Registro EMO'!$E$13:$E$4558, "Sin registro", 0, -1)</f>
        <v>Periódicos</v>
      </c>
      <c r="O81" s="11" t="str">
        <f t="shared" si="12"/>
        <v>NO</v>
      </c>
      <c r="P81" s="166" t="str" cm="1">
        <f t="array" ref="P81">_xlfn.LET(
    _xlpm.resultado, _xlfn.XLOOKUP(B81&amp;"", 'Registro EMO'!$C$13:$C$4558&amp;"", 'Registro EMO'!$I$13:$I$4558, "NO", 0, -1),
    IF(_xlpm.resultado=0, "NO", _xlpm.resultado)
)</f>
        <v>NO</v>
      </c>
      <c r="Q81" s="11" t="str">
        <f t="shared" ca="1" si="13"/>
        <v>Vigente</v>
      </c>
      <c r="R81" s="97"/>
      <c r="S81" s="11"/>
      <c r="T81" s="11" t="str">
        <f t="shared" si="14"/>
        <v/>
      </c>
      <c r="U81" s="97"/>
      <c r="V81" s="133" t="s">
        <v>520</v>
      </c>
      <c r="W81" s="7" t="s">
        <v>597</v>
      </c>
      <c r="X81" s="137" t="s">
        <v>551</v>
      </c>
      <c r="Y81" s="11" t="s">
        <v>543</v>
      </c>
      <c r="Z81" s="11" t="s">
        <v>544</v>
      </c>
      <c r="AA81" s="11"/>
      <c r="AB81" s="11"/>
      <c r="AC81" s="11"/>
      <c r="AD81" s="11"/>
      <c r="AE81" s="11"/>
      <c r="AF81" s="11"/>
      <c r="AG81" s="101"/>
      <c r="AH81" s="11" t="s">
        <v>36</v>
      </c>
    </row>
    <row r="82" spans="1:34" x14ac:dyDescent="0.3">
      <c r="A82" s="7" t="str">
        <f t="shared" si="10"/>
        <v>TR-1081</v>
      </c>
      <c r="B82" s="150">
        <v>75567346</v>
      </c>
      <c r="C82" s="159" t="s">
        <v>386</v>
      </c>
      <c r="D82" s="97">
        <v>32178</v>
      </c>
      <c r="E82" s="114">
        <f t="shared" ca="1" si="11"/>
        <v>38</v>
      </c>
      <c r="F82" s="97" t="s">
        <v>32</v>
      </c>
      <c r="G82" s="116" t="s">
        <v>512</v>
      </c>
      <c r="H82" s="116" t="s">
        <v>486</v>
      </c>
      <c r="I82" s="116" t="s">
        <v>421</v>
      </c>
      <c r="J82" s="97"/>
      <c r="K82" s="97" t="s">
        <v>34</v>
      </c>
      <c r="L82" s="97">
        <v>45719</v>
      </c>
      <c r="M82" s="97" cm="1">
        <f t="array" ref="M82">_xlfn.XLOOKUP(B82&amp;"", 'Registro EMO'!$C$13:$C$4558&amp;"", 'Registro EMO'!$F$13:$F$4558, "Sin registro", 0, -1)</f>
        <v>45966</v>
      </c>
      <c r="N82" s="11" t="str" cm="1">
        <f t="array" ref="N82">_xlfn.XLOOKUP(B82&amp;"", 'Registro EMO'!$C$13:$C$4558&amp;"", 'Registro EMO'!$E$13:$E$4558, "Sin registro", 0, -1)</f>
        <v>Pre-Ocupacional</v>
      </c>
      <c r="O82" s="11" t="str">
        <f t="shared" si="12"/>
        <v>SI</v>
      </c>
      <c r="P82" s="97" cm="1">
        <f t="array" ref="P82">_xlfn.LET(
    _xlpm.resultado, _xlfn.XLOOKUP(B82&amp;"", 'Registro EMO'!$C$13:$C$4558&amp;"", 'Registro EMO'!$I$13:$I$4558, "NO", 0, -1),
    IF(_xlpm.resultado=0, "NO", _xlpm.resultado)
)</f>
        <v>45995</v>
      </c>
      <c r="Q82" s="11" t="str">
        <f t="shared" ca="1" si="13"/>
        <v>Vigente</v>
      </c>
      <c r="R82" s="97"/>
      <c r="S82" s="11"/>
      <c r="T82" s="11" t="str">
        <f t="shared" si="14"/>
        <v/>
      </c>
      <c r="U82" s="97"/>
      <c r="V82" s="100" t="s">
        <v>35</v>
      </c>
      <c r="W82" s="7" t="s">
        <v>37</v>
      </c>
      <c r="X82" s="137" t="s">
        <v>528</v>
      </c>
      <c r="Y82" s="11" t="s">
        <v>529</v>
      </c>
      <c r="Z82" s="11" t="s">
        <v>530</v>
      </c>
      <c r="AA82" s="11" t="s">
        <v>536</v>
      </c>
      <c r="AB82" s="11" t="s">
        <v>537</v>
      </c>
      <c r="AC82" s="11"/>
      <c r="AD82" s="11"/>
      <c r="AE82" s="11"/>
      <c r="AF82" s="11"/>
      <c r="AG82" s="101"/>
      <c r="AH82" s="11" t="s">
        <v>36</v>
      </c>
    </row>
    <row r="83" spans="1:34" x14ac:dyDescent="0.3">
      <c r="A83" s="7" t="str">
        <f t="shared" si="10"/>
        <v>TR-1082</v>
      </c>
      <c r="B83" s="150">
        <v>74299722</v>
      </c>
      <c r="C83" s="159" t="s">
        <v>387</v>
      </c>
      <c r="D83" s="97">
        <v>29289</v>
      </c>
      <c r="E83" s="114">
        <f t="shared" ca="1" si="11"/>
        <v>45</v>
      </c>
      <c r="F83" s="97" t="s">
        <v>32</v>
      </c>
      <c r="G83" s="116" t="s">
        <v>512</v>
      </c>
      <c r="H83" s="116" t="s">
        <v>498</v>
      </c>
      <c r="I83" s="116" t="s">
        <v>446</v>
      </c>
      <c r="J83" s="97"/>
      <c r="K83" s="97" t="s">
        <v>34</v>
      </c>
      <c r="L83" s="97">
        <v>45748</v>
      </c>
      <c r="M83" s="97" cm="1">
        <f t="array" ref="M83">_xlfn.XLOOKUP(B83&amp;"", 'Registro EMO'!$C$13:$C$4558&amp;"", 'Registro EMO'!$F$13:$F$4558, "Sin registro", 0, -1)</f>
        <v>45966</v>
      </c>
      <c r="N83" s="11" t="str" cm="1">
        <f t="array" ref="N83">_xlfn.XLOOKUP(B83&amp;"", 'Registro EMO'!$C$13:$C$4558&amp;"", 'Registro EMO'!$E$13:$E$4558, "Sin registro", 0, -1)</f>
        <v>Pre-Ocupacional</v>
      </c>
      <c r="O83" s="11" t="str">
        <f t="shared" si="12"/>
        <v>SI</v>
      </c>
      <c r="P83" s="97" cm="1">
        <f t="array" ref="P83">_xlfn.LET(
    _xlpm.resultado, _xlfn.XLOOKUP(B83&amp;"", 'Registro EMO'!$C$13:$C$4558&amp;"", 'Registro EMO'!$I$13:$I$4558, "NO", 0, -1),
    IF(_xlpm.resultado=0, "NO", _xlpm.resultado)
)</f>
        <v>45995</v>
      </c>
      <c r="Q83" s="11" t="str">
        <f t="shared" ca="1" si="13"/>
        <v>Vigente</v>
      </c>
      <c r="R83" s="97"/>
      <c r="S83" s="11"/>
      <c r="T83" s="11" t="str">
        <f t="shared" si="14"/>
        <v/>
      </c>
      <c r="U83" s="97"/>
      <c r="V83" s="100" t="s">
        <v>38</v>
      </c>
      <c r="W83" s="7" t="s">
        <v>549</v>
      </c>
      <c r="X83" s="137" t="s">
        <v>550</v>
      </c>
      <c r="Y83" s="11" t="s">
        <v>529</v>
      </c>
      <c r="Z83" s="11" t="s">
        <v>530</v>
      </c>
      <c r="AA83" s="11" t="s">
        <v>546</v>
      </c>
      <c r="AB83" s="11" t="s">
        <v>607</v>
      </c>
      <c r="AC83" s="11"/>
      <c r="AD83" s="11"/>
      <c r="AE83" s="11"/>
      <c r="AF83" s="11"/>
      <c r="AG83" s="101"/>
      <c r="AH83" s="11" t="s">
        <v>36</v>
      </c>
    </row>
    <row r="84" spans="1:34" x14ac:dyDescent="0.3">
      <c r="A84" s="7" t="str">
        <f t="shared" si="10"/>
        <v>TR-1083</v>
      </c>
      <c r="B84" s="150">
        <v>10376402</v>
      </c>
      <c r="C84" s="158" t="s">
        <v>388</v>
      </c>
      <c r="D84" s="97">
        <v>34489</v>
      </c>
      <c r="E84" s="114">
        <f t="shared" ca="1" si="11"/>
        <v>31</v>
      </c>
      <c r="F84" s="97" t="s">
        <v>32</v>
      </c>
      <c r="G84" s="116" t="s">
        <v>512</v>
      </c>
      <c r="H84" s="116" t="s">
        <v>493</v>
      </c>
      <c r="I84" s="116" t="s">
        <v>431</v>
      </c>
      <c r="J84" s="97"/>
      <c r="K84" s="97" t="s">
        <v>34</v>
      </c>
      <c r="L84" s="97">
        <v>43831</v>
      </c>
      <c r="M84" s="97" cm="1">
        <f t="array" ref="M84">_xlfn.XLOOKUP(B84&amp;"", 'Registro EMO'!$C$13:$C$4558&amp;"", 'Registro EMO'!$F$13:$F$4558, "Sin registro", 0, -1)</f>
        <v>45966</v>
      </c>
      <c r="N84" s="11" t="str" cm="1">
        <f t="array" ref="N84">_xlfn.XLOOKUP(B84&amp;"", 'Registro EMO'!$C$13:$C$4558&amp;"", 'Registro EMO'!$E$13:$E$4558, "Sin registro", 0, -1)</f>
        <v>Periódicos</v>
      </c>
      <c r="O84" s="11" t="str">
        <f t="shared" si="12"/>
        <v>SI</v>
      </c>
      <c r="P84" s="97" cm="1">
        <f t="array" ref="P84">_xlfn.LET(
    _xlpm.resultado, _xlfn.XLOOKUP(B84&amp;"", 'Registro EMO'!$C$13:$C$4558&amp;"", 'Registro EMO'!$I$13:$I$4558, "NO", 0, -1),
    IF(_xlpm.resultado=0, "NO", _xlpm.resultado)
)</f>
        <v>45993</v>
      </c>
      <c r="Q84" s="11" t="str">
        <f t="shared" ca="1" si="13"/>
        <v>Vigente</v>
      </c>
      <c r="R84" s="97"/>
      <c r="S84" s="11"/>
      <c r="T84" s="11" t="str">
        <f t="shared" si="14"/>
        <v/>
      </c>
      <c r="U84" s="97"/>
      <c r="V84" s="100" t="s">
        <v>38</v>
      </c>
      <c r="W84" s="7" t="s">
        <v>598</v>
      </c>
      <c r="X84" s="137" t="s">
        <v>534</v>
      </c>
      <c r="Y84" s="11" t="s">
        <v>523</v>
      </c>
      <c r="Z84" s="11" t="s">
        <v>524</v>
      </c>
      <c r="AA84" s="11"/>
      <c r="AB84" s="11"/>
      <c r="AC84" s="11"/>
      <c r="AD84" s="11"/>
      <c r="AE84" s="11"/>
      <c r="AF84" s="11"/>
      <c r="AG84" s="101"/>
      <c r="AH84" s="11" t="s">
        <v>36</v>
      </c>
    </row>
    <row r="85" spans="1:34" x14ac:dyDescent="0.3">
      <c r="A85" s="7" t="str">
        <f t="shared" si="10"/>
        <v>TR-1084</v>
      </c>
      <c r="B85" s="150">
        <v>75118894</v>
      </c>
      <c r="C85" s="158" t="s">
        <v>389</v>
      </c>
      <c r="D85" s="97">
        <v>35064</v>
      </c>
      <c r="E85" s="114">
        <f t="shared" ca="1" si="11"/>
        <v>30</v>
      </c>
      <c r="F85" s="97" t="s">
        <v>59</v>
      </c>
      <c r="G85" s="116" t="s">
        <v>512</v>
      </c>
      <c r="H85" s="116" t="s">
        <v>489</v>
      </c>
      <c r="I85" s="116" t="s">
        <v>425</v>
      </c>
      <c r="J85" s="97"/>
      <c r="K85" s="97" t="s">
        <v>34</v>
      </c>
      <c r="L85" s="97">
        <v>45839</v>
      </c>
      <c r="M85" s="97" cm="1">
        <f t="array" ref="M85">_xlfn.XLOOKUP(B85&amp;"", 'Registro EMO'!$C$13:$C$4558&amp;"", 'Registro EMO'!$F$13:$F$4558, "Sin registro", 0, -1)</f>
        <v>45973</v>
      </c>
      <c r="N85" s="11" t="str" cm="1">
        <f t="array" ref="N85">_xlfn.XLOOKUP(B85&amp;"", 'Registro EMO'!$C$13:$C$4558&amp;"", 'Registro EMO'!$E$13:$E$4558, "Sin registro", 0, -1)</f>
        <v>Periódicos</v>
      </c>
      <c r="O85" s="11" t="str">
        <f t="shared" si="12"/>
        <v>SI</v>
      </c>
      <c r="P85" s="97" cm="1">
        <f t="array" ref="P85">_xlfn.LET(
    _xlpm.resultado, _xlfn.XLOOKUP(B85&amp;"", 'Registro EMO'!$C$13:$C$4558&amp;"", 'Registro EMO'!$I$13:$I$4558, "NO", 0, -1),
    IF(_xlpm.resultado=0, "NO", _xlpm.resultado)
)</f>
        <v>46007</v>
      </c>
      <c r="Q85" s="11" t="str">
        <f t="shared" ca="1" si="13"/>
        <v>Vigente</v>
      </c>
      <c r="R85" s="97"/>
      <c r="S85" s="11"/>
      <c r="T85" s="11" t="str">
        <f t="shared" si="14"/>
        <v/>
      </c>
      <c r="U85" s="97"/>
      <c r="V85" s="100" t="s">
        <v>35</v>
      </c>
      <c r="W85" s="7" t="s">
        <v>37</v>
      </c>
      <c r="X85" s="137"/>
      <c r="Y85" s="11"/>
      <c r="Z85" s="11" t="s">
        <v>545</v>
      </c>
      <c r="AA85" s="11"/>
      <c r="AB85" s="11"/>
      <c r="AC85" s="11"/>
      <c r="AD85" s="11"/>
      <c r="AE85" s="11"/>
      <c r="AF85" s="11"/>
      <c r="AG85" s="101"/>
      <c r="AH85" s="11" t="s">
        <v>36</v>
      </c>
    </row>
    <row r="86" spans="1:34" x14ac:dyDescent="0.3">
      <c r="A86" s="7" t="str">
        <f t="shared" si="10"/>
        <v>TR-1085</v>
      </c>
      <c r="B86" s="150">
        <v>44817038</v>
      </c>
      <c r="C86" s="158" t="s">
        <v>390</v>
      </c>
      <c r="D86" s="97">
        <v>39091</v>
      </c>
      <c r="E86" s="114">
        <f t="shared" ca="1" si="11"/>
        <v>19</v>
      </c>
      <c r="F86" s="97" t="s">
        <v>32</v>
      </c>
      <c r="G86" s="116" t="s">
        <v>512</v>
      </c>
      <c r="H86" s="116" t="s">
        <v>491</v>
      </c>
      <c r="I86" s="116" t="s">
        <v>428</v>
      </c>
      <c r="J86" s="97"/>
      <c r="K86" s="97" t="s">
        <v>34</v>
      </c>
      <c r="L86" s="97">
        <v>45922</v>
      </c>
      <c r="M86" s="97" cm="1">
        <f t="array" ref="M86">_xlfn.XLOOKUP(B86&amp;"", 'Registro EMO'!$C$13:$C$4558&amp;"", 'Registro EMO'!$F$13:$F$4558, "Sin registro", 0, -1)</f>
        <v>45966</v>
      </c>
      <c r="N86" s="11" t="str" cm="1">
        <f t="array" ref="N86">_xlfn.XLOOKUP(B86&amp;"", 'Registro EMO'!$C$13:$C$4558&amp;"", 'Registro EMO'!$E$13:$E$4558, "Sin registro", 0, -1)</f>
        <v>Pre-Ocupacional</v>
      </c>
      <c r="O86" s="11" t="str">
        <f t="shared" si="12"/>
        <v>SI</v>
      </c>
      <c r="P86" s="97" cm="1">
        <f t="array" ref="P86">_xlfn.LET(
    _xlpm.resultado, _xlfn.XLOOKUP(B86&amp;"", 'Registro EMO'!$C$13:$C$4558&amp;"", 'Registro EMO'!$I$13:$I$4558, "NO", 0, -1),
    IF(_xlpm.resultado=0, "NO", _xlpm.resultado)
)</f>
        <v>46002</v>
      </c>
      <c r="Q86" s="11" t="str">
        <f t="shared" ca="1" si="13"/>
        <v>Vigente</v>
      </c>
      <c r="R86" s="97"/>
      <c r="S86" s="11"/>
      <c r="T86" s="11" t="str">
        <f t="shared" si="14"/>
        <v/>
      </c>
      <c r="U86" s="97"/>
      <c r="V86" s="100" t="s">
        <v>38</v>
      </c>
      <c r="W86" s="7" t="s">
        <v>535</v>
      </c>
      <c r="X86" s="137" t="s">
        <v>528</v>
      </c>
      <c r="Y86" s="11" t="s">
        <v>529</v>
      </c>
      <c r="Z86" s="11" t="s">
        <v>530</v>
      </c>
      <c r="AA86" s="11"/>
      <c r="AB86" s="11"/>
      <c r="AC86" s="11"/>
      <c r="AD86" s="11"/>
      <c r="AE86" s="11"/>
      <c r="AF86" s="11"/>
      <c r="AG86" s="101"/>
      <c r="AH86" s="11" t="s">
        <v>36</v>
      </c>
    </row>
    <row r="87" spans="1:34" x14ac:dyDescent="0.3">
      <c r="A87" s="7" t="str">
        <f t="shared" si="10"/>
        <v>TR-1086</v>
      </c>
      <c r="B87" s="150">
        <v>42499246</v>
      </c>
      <c r="C87" s="158" t="s">
        <v>391</v>
      </c>
      <c r="D87" s="97">
        <v>32526</v>
      </c>
      <c r="E87" s="114">
        <f t="shared" ca="1" si="11"/>
        <v>37</v>
      </c>
      <c r="F87" s="97" t="s">
        <v>32</v>
      </c>
      <c r="G87" s="116" t="s">
        <v>512</v>
      </c>
      <c r="H87" s="116" t="s">
        <v>486</v>
      </c>
      <c r="I87" s="116" t="s">
        <v>424</v>
      </c>
      <c r="J87" s="97"/>
      <c r="K87" s="97" t="s">
        <v>34</v>
      </c>
      <c r="L87" s="97">
        <v>45670</v>
      </c>
      <c r="M87" s="97" cm="1">
        <f t="array" ref="M87">_xlfn.XLOOKUP(B87&amp;"", 'Registro EMO'!$C$13:$C$4558&amp;"", 'Registro EMO'!$F$13:$F$4558, "Sin registro", 0, -1)</f>
        <v>45966</v>
      </c>
      <c r="N87" s="11" t="str" cm="1">
        <f t="array" ref="N87">_xlfn.XLOOKUP(B87&amp;"", 'Registro EMO'!$C$13:$C$4558&amp;"", 'Registro EMO'!$E$13:$E$4558, "Sin registro", 0, -1)</f>
        <v>Pre-Ocupacional</v>
      </c>
      <c r="O87" s="11" t="str">
        <f t="shared" si="12"/>
        <v>SI</v>
      </c>
      <c r="P87" s="97" cm="1">
        <f t="array" ref="P87">_xlfn.LET(
    _xlpm.resultado, _xlfn.XLOOKUP(B87&amp;"", 'Registro EMO'!$C$13:$C$4558&amp;"", 'Registro EMO'!$I$13:$I$4558, "NO", 0, -1),
    IF(_xlpm.resultado=0, "NO", _xlpm.resultado)
)</f>
        <v>45988</v>
      </c>
      <c r="Q87" s="11" t="str">
        <f t="shared" ca="1" si="13"/>
        <v>Vigente</v>
      </c>
      <c r="R87" s="97"/>
      <c r="S87" s="11"/>
      <c r="T87" s="11" t="str">
        <f t="shared" si="14"/>
        <v/>
      </c>
      <c r="U87" s="97"/>
      <c r="V87" s="100" t="s">
        <v>38</v>
      </c>
      <c r="W87" s="7" t="s">
        <v>566</v>
      </c>
      <c r="X87" s="137"/>
      <c r="Y87" s="11"/>
      <c r="Z87" s="11"/>
      <c r="AA87" s="11"/>
      <c r="AB87" s="11"/>
      <c r="AC87" s="11"/>
      <c r="AD87" s="11"/>
      <c r="AE87" s="11"/>
      <c r="AF87" s="11"/>
      <c r="AG87" s="101"/>
      <c r="AH87" s="11" t="s">
        <v>36</v>
      </c>
    </row>
    <row r="88" spans="1:34" x14ac:dyDescent="0.3">
      <c r="A88" s="7" t="str">
        <f t="shared" si="10"/>
        <v>TR-1087</v>
      </c>
      <c r="B88" s="150">
        <v>46765199</v>
      </c>
      <c r="C88" s="158" t="s">
        <v>392</v>
      </c>
      <c r="D88" s="97">
        <v>32526</v>
      </c>
      <c r="E88" s="114">
        <f t="shared" ca="1" si="11"/>
        <v>37</v>
      </c>
      <c r="F88" s="97" t="s">
        <v>32</v>
      </c>
      <c r="G88" s="116" t="s">
        <v>512</v>
      </c>
      <c r="H88" s="116" t="s">
        <v>494</v>
      </c>
      <c r="I88" s="116" t="s">
        <v>432</v>
      </c>
      <c r="J88" s="97"/>
      <c r="K88" s="97" t="s">
        <v>34</v>
      </c>
      <c r="L88" s="97">
        <v>45691</v>
      </c>
      <c r="M88" s="97" cm="1">
        <f t="array" ref="M88">_xlfn.XLOOKUP(B88&amp;"", 'Registro EMO'!$C$13:$C$4558&amp;"", 'Registro EMO'!$F$13:$F$4558, "Sin registro", 0, -1)</f>
        <v>45966</v>
      </c>
      <c r="N88" s="11" t="str" cm="1">
        <f t="array" ref="N88">_xlfn.XLOOKUP(B88&amp;"", 'Registro EMO'!$C$13:$C$4558&amp;"", 'Registro EMO'!$E$13:$E$4558, "Sin registro", 0, -1)</f>
        <v>Pre-Ocupacional</v>
      </c>
      <c r="O88" s="11" t="str">
        <f t="shared" si="12"/>
        <v>SI</v>
      </c>
      <c r="P88" s="97" cm="1">
        <f t="array" ref="P88">_xlfn.LET(
    _xlpm.resultado, _xlfn.XLOOKUP(B88&amp;"", 'Registro EMO'!$C$13:$C$4558&amp;"", 'Registro EMO'!$I$13:$I$4558, "NO", 0, -1),
    IF(_xlpm.resultado=0, "NO", _xlpm.resultado)
)</f>
        <v>45993</v>
      </c>
      <c r="Q88" s="11" t="str">
        <f t="shared" ca="1" si="13"/>
        <v>Vigente</v>
      </c>
      <c r="R88" s="97"/>
      <c r="S88" s="11"/>
      <c r="T88" s="11" t="str">
        <f t="shared" si="14"/>
        <v/>
      </c>
      <c r="U88" s="97"/>
      <c r="V88" s="100" t="s">
        <v>38</v>
      </c>
      <c r="W88" s="7" t="s">
        <v>548</v>
      </c>
      <c r="X88" s="137" t="s">
        <v>601</v>
      </c>
      <c r="Y88" s="11" t="s">
        <v>523</v>
      </c>
      <c r="Z88" s="11" t="s">
        <v>524</v>
      </c>
      <c r="AA88" s="11"/>
      <c r="AB88" s="11"/>
      <c r="AC88" s="11"/>
      <c r="AD88" s="11"/>
      <c r="AE88" s="11"/>
      <c r="AF88" s="11"/>
      <c r="AG88" s="101"/>
      <c r="AH88" s="11" t="s">
        <v>36</v>
      </c>
    </row>
    <row r="89" spans="1:34" x14ac:dyDescent="0.3">
      <c r="A89" s="7" t="str">
        <f t="shared" si="10"/>
        <v>TR-1088</v>
      </c>
      <c r="B89" s="150">
        <v>40555173</v>
      </c>
      <c r="C89" s="141" t="s">
        <v>393</v>
      </c>
      <c r="D89" s="97">
        <v>30890</v>
      </c>
      <c r="E89" s="114">
        <f t="shared" ca="1" si="11"/>
        <v>41</v>
      </c>
      <c r="F89" s="97" t="s">
        <v>32</v>
      </c>
      <c r="G89" s="116" t="s">
        <v>512</v>
      </c>
      <c r="H89" s="116" t="s">
        <v>489</v>
      </c>
      <c r="I89" s="116" t="s">
        <v>425</v>
      </c>
      <c r="J89" s="97"/>
      <c r="K89" s="97" t="s">
        <v>34</v>
      </c>
      <c r="L89" s="97">
        <v>44816</v>
      </c>
      <c r="M89" s="97" cm="1">
        <f t="array" ref="M89">_xlfn.XLOOKUP(B89&amp;"", 'Registro EMO'!$C$13:$C$4558&amp;"", 'Registro EMO'!$F$13:$F$4558, "Sin registro", 0, -1)</f>
        <v>45966</v>
      </c>
      <c r="N89" s="11" t="str" cm="1">
        <f t="array" ref="N89">_xlfn.XLOOKUP(B89&amp;"", 'Registro EMO'!$C$13:$C$4558&amp;"", 'Registro EMO'!$E$13:$E$4558, "Sin registro", 0, -1)</f>
        <v>Periódicos</v>
      </c>
      <c r="O89" s="11" t="str">
        <f t="shared" si="12"/>
        <v>SI</v>
      </c>
      <c r="P89" s="97" cm="1">
        <f t="array" ref="P89">_xlfn.LET(
    _xlpm.resultado, _xlfn.XLOOKUP(B89&amp;"", 'Registro EMO'!$C$13:$C$4558&amp;"", 'Registro EMO'!$I$13:$I$4558, "NO", 0, -1),
    IF(_xlpm.resultado=0, "NO", _xlpm.resultado)
)</f>
        <v>46007</v>
      </c>
      <c r="Q89" s="11" t="str">
        <f t="shared" ca="1" si="13"/>
        <v>Vigente</v>
      </c>
      <c r="R89" s="97"/>
      <c r="S89" s="11"/>
      <c r="T89" s="11" t="str">
        <f t="shared" si="14"/>
        <v/>
      </c>
      <c r="U89" s="97"/>
      <c r="V89" s="100" t="s">
        <v>520</v>
      </c>
      <c r="W89" s="7" t="s">
        <v>39</v>
      </c>
      <c r="X89" s="137"/>
      <c r="Y89" s="11"/>
      <c r="Z89" s="11"/>
      <c r="AA89" s="11"/>
      <c r="AB89" s="11"/>
      <c r="AC89" s="11"/>
      <c r="AD89" s="11"/>
      <c r="AE89" s="11"/>
      <c r="AF89" s="11"/>
      <c r="AG89" s="101"/>
      <c r="AH89" s="11" t="s">
        <v>36</v>
      </c>
    </row>
    <row r="90" spans="1:34" x14ac:dyDescent="0.3">
      <c r="A90" s="7" t="str">
        <f t="shared" si="10"/>
        <v>TR-1089</v>
      </c>
      <c r="B90" s="150">
        <v>6026998</v>
      </c>
      <c r="C90" s="161" t="s">
        <v>580</v>
      </c>
      <c r="D90" s="97">
        <v>27246</v>
      </c>
      <c r="E90" s="114">
        <f t="shared" ca="1" si="11"/>
        <v>51</v>
      </c>
      <c r="F90" s="97" t="s">
        <v>32</v>
      </c>
      <c r="G90" s="116" t="s">
        <v>512</v>
      </c>
      <c r="H90" s="116" t="s">
        <v>489</v>
      </c>
      <c r="I90" s="116" t="s">
        <v>583</v>
      </c>
      <c r="J90" s="97"/>
      <c r="K90" s="97" t="s">
        <v>34</v>
      </c>
      <c r="L90" s="97">
        <v>45726</v>
      </c>
      <c r="M90" s="97" cm="1">
        <f t="array" ref="M90">_xlfn.XLOOKUP(B90&amp;"", 'Registro EMO'!$C$13:$C$4558&amp;"", 'Registro EMO'!$F$13:$F$4558, "Sin registro", 0, -1)</f>
        <v>45966</v>
      </c>
      <c r="N90" s="11" t="str" cm="1">
        <f t="array" ref="N90">_xlfn.XLOOKUP(B90&amp;"", 'Registro EMO'!$C$13:$C$4558&amp;"", 'Registro EMO'!$E$13:$E$4558, "Sin registro", 0, -1)</f>
        <v>Pre-Ocupacional</v>
      </c>
      <c r="O90" s="11" t="str">
        <f t="shared" si="12"/>
        <v>SI</v>
      </c>
      <c r="P90" s="97" cm="1">
        <f t="array" ref="P90">_xlfn.LET(
    _xlpm.resultado, _xlfn.XLOOKUP(B90&amp;"", 'Registro EMO'!$C$13:$C$4558&amp;"", 'Registro EMO'!$I$13:$I$4558, "NO", 0, -1),
    IF(_xlpm.resultado=0, "NO", _xlpm.resultado)
)</f>
        <v>45988</v>
      </c>
      <c r="Q90" s="11" t="str">
        <f t="shared" ca="1" si="13"/>
        <v>Vigente</v>
      </c>
      <c r="R90" s="97"/>
      <c r="S90" s="11"/>
      <c r="T90" s="11" t="str">
        <f t="shared" si="14"/>
        <v/>
      </c>
      <c r="U90" s="97"/>
      <c r="V90" s="100" t="s">
        <v>38</v>
      </c>
      <c r="W90" s="7" t="s">
        <v>44</v>
      </c>
      <c r="X90" s="137"/>
      <c r="Y90" s="11"/>
      <c r="Z90" s="11"/>
      <c r="AA90" s="11"/>
      <c r="AB90" s="11"/>
      <c r="AC90" s="11"/>
      <c r="AD90" s="11"/>
      <c r="AE90" s="11"/>
      <c r="AF90" s="11"/>
      <c r="AG90" s="101"/>
      <c r="AH90" s="11" t="s">
        <v>36</v>
      </c>
    </row>
    <row r="91" spans="1:34" x14ac:dyDescent="0.3">
      <c r="A91" s="7" t="str">
        <f t="shared" si="10"/>
        <v>TR-1090</v>
      </c>
      <c r="B91" s="150">
        <v>10720158</v>
      </c>
      <c r="C91" s="161" t="s">
        <v>394</v>
      </c>
      <c r="D91" s="97">
        <v>28615</v>
      </c>
      <c r="E91" s="114">
        <f t="shared" ca="1" si="11"/>
        <v>47</v>
      </c>
      <c r="F91" s="97" t="s">
        <v>32</v>
      </c>
      <c r="G91" s="116" t="s">
        <v>512</v>
      </c>
      <c r="H91" s="116" t="s">
        <v>490</v>
      </c>
      <c r="I91" s="116" t="s">
        <v>449</v>
      </c>
      <c r="J91" s="97"/>
      <c r="K91" s="97" t="s">
        <v>34</v>
      </c>
      <c r="L91" s="97">
        <v>45937</v>
      </c>
      <c r="M91" s="97" cm="1">
        <f t="array" ref="M91">_xlfn.XLOOKUP(B91&amp;"", 'Registro EMO'!$C$13:$C$4558&amp;"", 'Registro EMO'!$F$13:$F$4558, "Sin registro", 0, -1)</f>
        <v>45966</v>
      </c>
      <c r="N91" s="11" t="str" cm="1">
        <f t="array" ref="N91">_xlfn.XLOOKUP(B91&amp;"", 'Registro EMO'!$C$13:$C$4558&amp;"", 'Registro EMO'!$E$13:$E$4558, "Sin registro", 0, -1)</f>
        <v>Pre-Ocupacional</v>
      </c>
      <c r="O91" s="11" t="str">
        <f t="shared" si="12"/>
        <v>SI</v>
      </c>
      <c r="P91" s="97" cm="1">
        <f t="array" ref="P91">_xlfn.LET(
    _xlpm.resultado, _xlfn.XLOOKUP(B91&amp;"", 'Registro EMO'!$C$13:$C$4558&amp;"", 'Registro EMO'!$I$13:$I$4558, "NO", 0, -1),
    IF(_xlpm.resultado=0, "NO", _xlpm.resultado)
)</f>
        <v>46007</v>
      </c>
      <c r="Q91" s="11" t="str">
        <f t="shared" ca="1" si="13"/>
        <v>Vigente</v>
      </c>
      <c r="R91" s="97"/>
      <c r="S91" s="11"/>
      <c r="T91" s="11" t="str">
        <f t="shared" si="14"/>
        <v/>
      </c>
      <c r="U91" s="97"/>
      <c r="V91" s="100" t="s">
        <v>38</v>
      </c>
      <c r="W91" s="7" t="s">
        <v>599</v>
      </c>
      <c r="X91" s="137"/>
      <c r="Y91" s="11"/>
      <c r="Z91" s="11"/>
      <c r="AA91" s="11"/>
      <c r="AB91" s="11"/>
      <c r="AC91" s="11"/>
      <c r="AD91" s="11"/>
      <c r="AE91" s="11"/>
      <c r="AF91" s="11"/>
      <c r="AG91" s="101"/>
      <c r="AH91" s="11" t="s">
        <v>36</v>
      </c>
    </row>
    <row r="92" spans="1:34" x14ac:dyDescent="0.3">
      <c r="A92" s="7" t="str">
        <f t="shared" si="10"/>
        <v>TR-1091</v>
      </c>
      <c r="B92" s="150">
        <v>42604453</v>
      </c>
      <c r="C92" s="142" t="s">
        <v>581</v>
      </c>
      <c r="D92" s="97">
        <v>22829</v>
      </c>
      <c r="E92" s="114">
        <f t="shared" ca="1" si="11"/>
        <v>63</v>
      </c>
      <c r="F92" s="97" t="s">
        <v>32</v>
      </c>
      <c r="G92" s="116" t="s">
        <v>512</v>
      </c>
      <c r="H92" s="116" t="s">
        <v>490</v>
      </c>
      <c r="I92" s="116" t="s">
        <v>449</v>
      </c>
      <c r="J92" s="97"/>
      <c r="K92" s="97" t="s">
        <v>34</v>
      </c>
      <c r="L92" s="97">
        <v>45870</v>
      </c>
      <c r="M92" s="97" cm="1">
        <f t="array" ref="M92">_xlfn.XLOOKUP(B92&amp;"", 'Registro EMO'!$C$13:$C$4558&amp;"", 'Registro EMO'!$F$13:$F$4558, "Sin registro", 0, -1)</f>
        <v>45966</v>
      </c>
      <c r="N92" s="11" t="str" cm="1">
        <f t="array" ref="N92">_xlfn.XLOOKUP(B92&amp;"", 'Registro EMO'!$C$13:$C$4558&amp;"", 'Registro EMO'!$E$13:$E$4558, "Sin registro", 0, -1)</f>
        <v>Pre-Ocupacional</v>
      </c>
      <c r="O92" s="11" t="str">
        <f t="shared" si="12"/>
        <v>SI</v>
      </c>
      <c r="P92" s="97" cm="1">
        <f t="array" ref="P92">_xlfn.LET(
    _xlpm.resultado, _xlfn.XLOOKUP(B92&amp;"", 'Registro EMO'!$C$13:$C$4558&amp;"", 'Registro EMO'!$I$13:$I$4558, "NO", 0, -1),
    IF(_xlpm.resultado=0, "NO", _xlpm.resultado)
)</f>
        <v>46002</v>
      </c>
      <c r="Q92" s="11" t="str">
        <f t="shared" ca="1" si="13"/>
        <v>Vigente</v>
      </c>
      <c r="R92" s="97"/>
      <c r="S92" s="11"/>
      <c r="T92" s="11" t="str">
        <f t="shared" si="14"/>
        <v/>
      </c>
      <c r="U92" s="97"/>
      <c r="V92" s="100" t="s">
        <v>520</v>
      </c>
      <c r="W92" s="7" t="s">
        <v>540</v>
      </c>
      <c r="X92" s="137" t="s">
        <v>541</v>
      </c>
      <c r="Y92" s="11" t="s">
        <v>529</v>
      </c>
      <c r="Z92" s="11" t="s">
        <v>530</v>
      </c>
      <c r="AA92" s="11"/>
      <c r="AB92" s="11"/>
      <c r="AC92" s="11"/>
      <c r="AD92" s="11"/>
      <c r="AE92" s="11"/>
      <c r="AF92" s="11"/>
      <c r="AG92" s="101"/>
      <c r="AH92" s="11" t="s">
        <v>36</v>
      </c>
    </row>
    <row r="93" spans="1:34" x14ac:dyDescent="0.3">
      <c r="A93" s="7" t="str">
        <f t="shared" si="10"/>
        <v>TR-1092</v>
      </c>
      <c r="B93" s="155">
        <v>75338214</v>
      </c>
      <c r="C93" s="163" t="s">
        <v>395</v>
      </c>
      <c r="D93" s="97">
        <v>26693</v>
      </c>
      <c r="E93" s="114">
        <f t="shared" ca="1" si="11"/>
        <v>53</v>
      </c>
      <c r="F93" s="97" t="s">
        <v>32</v>
      </c>
      <c r="G93" s="116" t="s">
        <v>512</v>
      </c>
      <c r="H93" s="116" t="s">
        <v>491</v>
      </c>
      <c r="I93" s="116" t="s">
        <v>428</v>
      </c>
      <c r="J93" s="97"/>
      <c r="K93" s="97" t="s">
        <v>34</v>
      </c>
      <c r="L93" s="97">
        <v>45870</v>
      </c>
      <c r="M93" s="97" cm="1">
        <f t="array" ref="M93">_xlfn.XLOOKUP(B93&amp;"", 'Registro EMO'!$C$13:$C$4558&amp;"", 'Registro EMO'!$F$13:$F$4558, "Sin registro", 0, -1)</f>
        <v>45966</v>
      </c>
      <c r="N93" s="11" t="str" cm="1">
        <f t="array" ref="N93">_xlfn.XLOOKUP(B93&amp;"", 'Registro EMO'!$C$13:$C$4558&amp;"", 'Registro EMO'!$E$13:$E$4558, "Sin registro", 0, -1)</f>
        <v>Pre-Ocupacional</v>
      </c>
      <c r="O93" s="11" t="str">
        <f t="shared" si="12"/>
        <v>SI</v>
      </c>
      <c r="P93" s="97" cm="1">
        <f t="array" ref="P93">_xlfn.LET(
    _xlpm.resultado, _xlfn.XLOOKUP(B93&amp;"", 'Registro EMO'!$C$13:$C$4558&amp;"", 'Registro EMO'!$I$13:$I$4558, "NO", 0, -1),
    IF(_xlpm.resultado=0, "NO", _xlpm.resultado)
)</f>
        <v>46002</v>
      </c>
      <c r="Q93" s="11" t="str">
        <f t="shared" ca="1" si="13"/>
        <v>Vigente</v>
      </c>
      <c r="R93" s="97"/>
      <c r="S93" s="11"/>
      <c r="T93" s="11" t="str">
        <f t="shared" si="14"/>
        <v/>
      </c>
      <c r="U93" s="97"/>
      <c r="V93" s="100" t="s">
        <v>35</v>
      </c>
      <c r="W93" s="7" t="s">
        <v>74</v>
      </c>
      <c r="X93" s="137"/>
      <c r="Y93" s="11"/>
      <c r="Z93" s="11"/>
      <c r="AA93" s="11"/>
      <c r="AB93" s="11"/>
      <c r="AC93" s="11"/>
      <c r="AD93" s="11"/>
      <c r="AE93" s="11"/>
      <c r="AF93" s="11"/>
      <c r="AG93" s="101"/>
      <c r="AH93" s="11" t="s">
        <v>36</v>
      </c>
    </row>
    <row r="94" spans="1:34" x14ac:dyDescent="0.3">
      <c r="A94" s="7" t="str">
        <f t="shared" si="10"/>
        <v>TR-1093</v>
      </c>
      <c r="B94" s="150">
        <v>72765369</v>
      </c>
      <c r="C94" s="159" t="s">
        <v>396</v>
      </c>
      <c r="D94" s="97">
        <v>37786</v>
      </c>
      <c r="E94" s="114">
        <f t="shared" ca="1" si="11"/>
        <v>22</v>
      </c>
      <c r="F94" s="97" t="s">
        <v>32</v>
      </c>
      <c r="G94" s="116" t="s">
        <v>512</v>
      </c>
      <c r="H94" s="116" t="s">
        <v>506</v>
      </c>
      <c r="I94" s="116" t="s">
        <v>584</v>
      </c>
      <c r="J94" s="97"/>
      <c r="K94" s="97" t="s">
        <v>34</v>
      </c>
      <c r="L94" s="97">
        <v>43831</v>
      </c>
      <c r="M94" s="97" cm="1">
        <f t="array" ref="M94">_xlfn.XLOOKUP(B94&amp;"", 'Registro EMO'!$C$13:$C$4558&amp;"", 'Registro EMO'!$F$13:$F$4558, "Sin registro", 0, -1)</f>
        <v>45966</v>
      </c>
      <c r="N94" s="11" t="str" cm="1">
        <f t="array" ref="N94">_xlfn.XLOOKUP(B94&amp;"", 'Registro EMO'!$C$13:$C$4558&amp;"", 'Registro EMO'!$E$13:$E$4558, "Sin registro", 0, -1)</f>
        <v>Periódicos</v>
      </c>
      <c r="O94" s="11" t="str">
        <f t="shared" si="12"/>
        <v>SI</v>
      </c>
      <c r="P94" s="97" cm="1">
        <f t="array" ref="P94">_xlfn.LET(
    _xlpm.resultado, _xlfn.XLOOKUP(B94&amp;"", 'Registro EMO'!$C$13:$C$4558&amp;"", 'Registro EMO'!$I$13:$I$4558, "NO", 0, -1),
    IF(_xlpm.resultado=0, "NO", _xlpm.resultado)
)</f>
        <v>45993</v>
      </c>
      <c r="Q94" s="11" t="str">
        <f t="shared" ca="1" si="13"/>
        <v>Vigente</v>
      </c>
      <c r="R94" s="97"/>
      <c r="S94" s="11"/>
      <c r="T94" s="11" t="str">
        <f t="shared" si="14"/>
        <v/>
      </c>
      <c r="U94" s="97"/>
      <c r="V94" s="100" t="s">
        <v>38</v>
      </c>
      <c r="W94" s="7" t="s">
        <v>75</v>
      </c>
      <c r="X94" s="137"/>
      <c r="Y94" s="11"/>
      <c r="Z94" s="11"/>
      <c r="AA94" s="11"/>
      <c r="AB94" s="11"/>
      <c r="AC94" s="11"/>
      <c r="AD94" s="11"/>
      <c r="AE94" s="11"/>
      <c r="AF94" s="11"/>
      <c r="AG94" s="101"/>
      <c r="AH94" s="11" t="s">
        <v>36</v>
      </c>
    </row>
    <row r="95" spans="1:34" x14ac:dyDescent="0.3">
      <c r="A95" s="7" t="str">
        <f t="shared" si="10"/>
        <v>TR-1094</v>
      </c>
      <c r="B95" s="150">
        <v>42915986</v>
      </c>
      <c r="C95" s="159" t="s">
        <v>397</v>
      </c>
      <c r="D95" s="97">
        <v>32646</v>
      </c>
      <c r="E95" s="114">
        <f t="shared" ca="1" si="11"/>
        <v>36</v>
      </c>
      <c r="F95" s="97" t="s">
        <v>32</v>
      </c>
      <c r="G95" s="116" t="s">
        <v>512</v>
      </c>
      <c r="H95" s="116" t="s">
        <v>503</v>
      </c>
      <c r="I95" s="116" t="s">
        <v>475</v>
      </c>
      <c r="J95" s="97"/>
      <c r="K95" s="97" t="s">
        <v>34</v>
      </c>
      <c r="L95" s="97">
        <v>45551</v>
      </c>
      <c r="M95" s="97" cm="1">
        <f t="array" ref="M95">_xlfn.XLOOKUP(B95&amp;"", 'Registro EMO'!$C$13:$C$4558&amp;"", 'Registro EMO'!$F$13:$F$4558, "Sin registro", 0, -1)</f>
        <v>45966</v>
      </c>
      <c r="N95" s="11" t="str" cm="1">
        <f t="array" ref="N95">_xlfn.XLOOKUP(B95&amp;"", 'Registro EMO'!$C$13:$C$4558&amp;"", 'Registro EMO'!$E$13:$E$4558, "Sin registro", 0, -1)</f>
        <v>Periódicos</v>
      </c>
      <c r="O95" s="11" t="str">
        <f t="shared" si="12"/>
        <v>SI</v>
      </c>
      <c r="P95" s="97" cm="1">
        <f t="array" ref="P95">_xlfn.LET(
    _xlpm.resultado, _xlfn.XLOOKUP(B95&amp;"", 'Registro EMO'!$C$13:$C$4558&amp;"", 'Registro EMO'!$I$13:$I$4558, "NO", 0, -1),
    IF(_xlpm.resultado=0, "NO", _xlpm.resultado)
)</f>
        <v>45988</v>
      </c>
      <c r="Q95" s="11" t="str">
        <f t="shared" ca="1" si="13"/>
        <v>Vigente</v>
      </c>
      <c r="R95" s="97"/>
      <c r="S95" s="11"/>
      <c r="T95" s="11" t="str">
        <f t="shared" si="14"/>
        <v/>
      </c>
      <c r="U95" s="97"/>
      <c r="V95" s="100" t="s">
        <v>38</v>
      </c>
      <c r="W95" s="7" t="s">
        <v>58</v>
      </c>
      <c r="X95" s="137"/>
      <c r="Y95" s="11"/>
      <c r="Z95" s="11"/>
      <c r="AA95" s="11"/>
      <c r="AB95" s="11"/>
      <c r="AC95" s="11"/>
      <c r="AD95" s="11"/>
      <c r="AE95" s="11"/>
      <c r="AF95" s="11"/>
      <c r="AG95" s="101"/>
      <c r="AH95" s="11" t="s">
        <v>36</v>
      </c>
    </row>
    <row r="96" spans="1:34" x14ac:dyDescent="0.3">
      <c r="A96" s="7" t="str">
        <f t="shared" si="10"/>
        <v>TR-1095</v>
      </c>
      <c r="B96" s="152">
        <v>21867392</v>
      </c>
      <c r="C96" s="145" t="s">
        <v>398</v>
      </c>
      <c r="D96" s="97">
        <v>37567</v>
      </c>
      <c r="E96" s="114">
        <f t="shared" ca="1" si="11"/>
        <v>23</v>
      </c>
      <c r="F96" s="97" t="s">
        <v>59</v>
      </c>
      <c r="G96" s="116" t="s">
        <v>512</v>
      </c>
      <c r="H96" s="116" t="s">
        <v>507</v>
      </c>
      <c r="I96" s="116" t="s">
        <v>425</v>
      </c>
      <c r="J96" s="97"/>
      <c r="K96" s="97" t="s">
        <v>34</v>
      </c>
      <c r="L96" s="97">
        <v>45536</v>
      </c>
      <c r="M96" s="97" cm="1">
        <f t="array" ref="M96">_xlfn.XLOOKUP(B96&amp;"", 'Registro EMO'!$C$13:$C$4558&amp;"", 'Registro EMO'!$F$13:$F$4558, "Sin registro", 0, -1)</f>
        <v>45966</v>
      </c>
      <c r="N96" s="11" t="str" cm="1">
        <f t="array" ref="N96">_xlfn.XLOOKUP(B96&amp;"", 'Registro EMO'!$C$13:$C$4558&amp;"", 'Registro EMO'!$E$13:$E$4558, "Sin registro", 0, -1)</f>
        <v>Periódicos</v>
      </c>
      <c r="O96" s="11" t="str">
        <f t="shared" si="12"/>
        <v>NO</v>
      </c>
      <c r="P96" s="166" t="str" cm="1">
        <f t="array" ref="P96">_xlfn.LET(
    _xlpm.resultado, _xlfn.XLOOKUP(B96&amp;"", 'Registro EMO'!$C$13:$C$4558&amp;"", 'Registro EMO'!$I$13:$I$4558, "NO", 0, -1),
    IF(_xlpm.resultado=0, "NO", _xlpm.resultado)
)</f>
        <v>NO</v>
      </c>
      <c r="Q96" s="11" t="str">
        <f t="shared" ca="1" si="13"/>
        <v>Vigente</v>
      </c>
      <c r="R96" s="97"/>
      <c r="S96" s="11"/>
      <c r="T96" s="11" t="str">
        <f t="shared" si="14"/>
        <v/>
      </c>
      <c r="U96" s="97"/>
      <c r="V96" s="100" t="s">
        <v>520</v>
      </c>
      <c r="W96" s="7" t="s">
        <v>49</v>
      </c>
      <c r="X96" s="137"/>
      <c r="Y96" s="11"/>
      <c r="Z96" s="11"/>
      <c r="AA96" s="11"/>
      <c r="AB96" s="11"/>
      <c r="AC96" s="11"/>
      <c r="AD96" s="11"/>
      <c r="AE96" s="11"/>
      <c r="AF96" s="11"/>
      <c r="AG96" s="101"/>
      <c r="AH96" s="11" t="s">
        <v>36</v>
      </c>
    </row>
    <row r="97" spans="1:34" x14ac:dyDescent="0.3">
      <c r="A97" s="7" t="str">
        <f t="shared" si="10"/>
        <v>TR-1096</v>
      </c>
      <c r="B97" s="150">
        <v>16652334</v>
      </c>
      <c r="C97" s="159" t="s">
        <v>399</v>
      </c>
      <c r="D97" s="97">
        <v>30870</v>
      </c>
      <c r="E97" s="114">
        <f t="shared" ca="1" si="11"/>
        <v>41</v>
      </c>
      <c r="F97" s="97" t="s">
        <v>59</v>
      </c>
      <c r="G97" s="116" t="s">
        <v>512</v>
      </c>
      <c r="H97" s="116" t="s">
        <v>493</v>
      </c>
      <c r="I97" s="116" t="s">
        <v>431</v>
      </c>
      <c r="J97" s="97"/>
      <c r="K97" s="97" t="s">
        <v>34</v>
      </c>
      <c r="L97" s="97">
        <v>40634</v>
      </c>
      <c r="M97" s="97" cm="1">
        <f t="array" ref="M97">_xlfn.XLOOKUP(B97&amp;"", 'Registro EMO'!$C$13:$C$4558&amp;"", 'Registro EMO'!$F$13:$F$4558, "Sin registro", 0, -1)</f>
        <v>45966</v>
      </c>
      <c r="N97" s="11" t="str" cm="1">
        <f t="array" ref="N97">_xlfn.XLOOKUP(B97&amp;"", 'Registro EMO'!$C$13:$C$4558&amp;"", 'Registro EMO'!$E$13:$E$4558, "Sin registro", 0, -1)</f>
        <v>Periódicos</v>
      </c>
      <c r="O97" s="11" t="str">
        <f t="shared" si="12"/>
        <v>SI</v>
      </c>
      <c r="P97" s="97" cm="1">
        <f t="array" ref="P97">_xlfn.LET(
    _xlpm.resultado, _xlfn.XLOOKUP(B97&amp;"", 'Registro EMO'!$C$13:$C$4558&amp;"", 'Registro EMO'!$I$13:$I$4558, "NO", 0, -1),
    IF(_xlpm.resultado=0, "NO", _xlpm.resultado)
)</f>
        <v>45993</v>
      </c>
      <c r="Q97" s="11" t="str">
        <f t="shared" ca="1" si="13"/>
        <v>Vigente</v>
      </c>
      <c r="R97" s="97"/>
      <c r="S97" s="11"/>
      <c r="T97" s="11" t="str">
        <f t="shared" si="14"/>
        <v/>
      </c>
      <c r="U97" s="97"/>
      <c r="V97" s="100" t="s">
        <v>38</v>
      </c>
      <c r="W97" s="7" t="s">
        <v>44</v>
      </c>
      <c r="X97" s="137"/>
      <c r="Y97" s="11"/>
      <c r="Z97" s="11"/>
      <c r="AA97" s="11"/>
      <c r="AB97" s="11"/>
      <c r="AC97" s="11"/>
      <c r="AD97" s="11"/>
      <c r="AE97" s="11"/>
      <c r="AF97" s="11"/>
      <c r="AG97" s="101"/>
      <c r="AH97" s="11" t="s">
        <v>36</v>
      </c>
    </row>
    <row r="98" spans="1:34" x14ac:dyDescent="0.3">
      <c r="A98" s="7" t="str">
        <f t="shared" ref="A98:A118" si="15">IF(B98&lt;&gt;"", "TR-" &amp; TEXT(1000 + ROW(A98) - 1, "0000"), "")</f>
        <v>TR-1097</v>
      </c>
      <c r="B98" s="150">
        <v>44849912</v>
      </c>
      <c r="C98" s="159" t="s">
        <v>400</v>
      </c>
      <c r="D98" s="97">
        <v>29259</v>
      </c>
      <c r="E98" s="114">
        <f t="shared" ref="E98:E118" ca="1" si="16">DATEDIF(D98, TODAY(), "y")</f>
        <v>46</v>
      </c>
      <c r="F98" s="97" t="s">
        <v>32</v>
      </c>
      <c r="G98" s="116" t="s">
        <v>512</v>
      </c>
      <c r="H98" s="116" t="s">
        <v>490</v>
      </c>
      <c r="I98" s="116" t="s">
        <v>449</v>
      </c>
      <c r="J98" s="97"/>
      <c r="K98" s="97" t="s">
        <v>34</v>
      </c>
      <c r="L98" s="97">
        <v>43831</v>
      </c>
      <c r="M98" s="97" cm="1">
        <f t="array" ref="M98">_xlfn.XLOOKUP(B98&amp;"", 'Registro EMO'!$C$13:$C$4558&amp;"", 'Registro EMO'!$F$13:$F$4558, "Sin registro", 0, -1)</f>
        <v>45966</v>
      </c>
      <c r="N98" s="11" t="str" cm="1">
        <f t="array" ref="N98">_xlfn.XLOOKUP(B98&amp;"", 'Registro EMO'!$C$13:$C$4558&amp;"", 'Registro EMO'!$E$13:$E$4558, "Sin registro", 0, -1)</f>
        <v>Periódicos</v>
      </c>
      <c r="O98" s="11" t="str">
        <f t="shared" ref="O98:O118" si="17">IF(P98="NO", "NO", "SI")</f>
        <v>SI</v>
      </c>
      <c r="P98" s="97" cm="1">
        <f t="array" ref="P98">_xlfn.LET(
    _xlpm.resultado, _xlfn.XLOOKUP(B98&amp;"", 'Registro EMO'!$C$13:$C$4558&amp;"", 'Registro EMO'!$I$13:$I$4558, "NO", 0, -1),
    IF(_xlpm.resultado=0, "NO", _xlpm.resultado)
)</f>
        <v>46007</v>
      </c>
      <c r="Q98" s="11" t="str">
        <f t="shared" ref="Q98:Q118" ca="1" si="18">IF(M98="Sin registro", "Pendiente", IF(EDATE(M98, IF(K98="Oficina", 24, 12)) &gt;= TODAY(), "Vigente", "Vencido"))</f>
        <v>Vigente</v>
      </c>
      <c r="R98" s="97"/>
      <c r="S98" s="11"/>
      <c r="T98" s="11" t="str">
        <f t="shared" ref="T98:T118" si="19">IF(R98="", "", IF(U98="", "NO", "SI"))</f>
        <v/>
      </c>
      <c r="U98" s="97"/>
      <c r="V98" s="100" t="s">
        <v>35</v>
      </c>
      <c r="W98" s="7" t="s">
        <v>76</v>
      </c>
      <c r="X98" s="137"/>
      <c r="Y98" s="11"/>
      <c r="Z98" s="11"/>
      <c r="AA98" s="11"/>
      <c r="AB98" s="11"/>
      <c r="AC98" s="11"/>
      <c r="AD98" s="11"/>
      <c r="AE98" s="11"/>
      <c r="AF98" s="11"/>
      <c r="AG98" s="101"/>
      <c r="AH98" s="11" t="s">
        <v>36</v>
      </c>
    </row>
    <row r="99" spans="1:34" x14ac:dyDescent="0.3">
      <c r="A99" s="7" t="str">
        <f t="shared" si="15"/>
        <v>TR-1098</v>
      </c>
      <c r="B99" s="150">
        <v>10335154</v>
      </c>
      <c r="C99" s="159" t="s">
        <v>401</v>
      </c>
      <c r="D99" s="97">
        <v>33112</v>
      </c>
      <c r="E99" s="114">
        <f t="shared" ca="1" si="16"/>
        <v>35</v>
      </c>
      <c r="F99" s="97" t="s">
        <v>32</v>
      </c>
      <c r="G99" s="116" t="s">
        <v>512</v>
      </c>
      <c r="H99" s="116" t="s">
        <v>486</v>
      </c>
      <c r="I99" s="116" t="s">
        <v>435</v>
      </c>
      <c r="J99" s="97"/>
      <c r="K99" s="97" t="s">
        <v>34</v>
      </c>
      <c r="L99" s="97">
        <v>46055</v>
      </c>
      <c r="M99" s="97" cm="1">
        <f t="array" ref="M99">_xlfn.XLOOKUP(B99&amp;"", 'Registro EMO'!$C$13:$C$4558&amp;"", 'Registro EMO'!$F$13:$F$4558, "Sin registro", 0, -1)</f>
        <v>45966</v>
      </c>
      <c r="N99" s="11" t="str" cm="1">
        <f t="array" ref="N99">_xlfn.XLOOKUP(B99&amp;"", 'Registro EMO'!$C$13:$C$4558&amp;"", 'Registro EMO'!$E$13:$E$4558, "Sin registro", 0, -1)</f>
        <v>Pre-Ocupacional</v>
      </c>
      <c r="O99" s="11" t="str">
        <f t="shared" si="17"/>
        <v>NO</v>
      </c>
      <c r="P99" s="166" t="str" cm="1">
        <f t="array" ref="P99">_xlfn.LET(
    _xlpm.resultado, _xlfn.XLOOKUP(B99&amp;"", 'Registro EMO'!$C$13:$C$4558&amp;"", 'Registro EMO'!$I$13:$I$4558, "NO", 0, -1),
    IF(_xlpm.resultado=0, "NO", _xlpm.resultado)
)</f>
        <v>NO</v>
      </c>
      <c r="Q99" s="11" t="str">
        <f t="shared" ca="1" si="18"/>
        <v>Vigente</v>
      </c>
      <c r="R99" s="97"/>
      <c r="S99" s="11"/>
      <c r="T99" s="11" t="str">
        <f t="shared" si="19"/>
        <v/>
      </c>
      <c r="U99" s="97"/>
      <c r="V99" s="100" t="s">
        <v>38</v>
      </c>
      <c r="W99" s="7" t="s">
        <v>48</v>
      </c>
      <c r="X99" s="137"/>
      <c r="Y99" s="11"/>
      <c r="Z99" s="11"/>
      <c r="AA99" s="11"/>
      <c r="AB99" s="11"/>
      <c r="AC99" s="11"/>
      <c r="AD99" s="11"/>
      <c r="AE99" s="11"/>
      <c r="AF99" s="11"/>
      <c r="AG99" s="101"/>
      <c r="AH99" s="11" t="s">
        <v>36</v>
      </c>
    </row>
    <row r="100" spans="1:34" x14ac:dyDescent="0.3">
      <c r="A100" s="7" t="str">
        <f t="shared" si="15"/>
        <v>TR-1099</v>
      </c>
      <c r="B100" s="150">
        <v>40702358</v>
      </c>
      <c r="C100" s="159" t="s">
        <v>402</v>
      </c>
      <c r="D100" s="97">
        <v>31237</v>
      </c>
      <c r="E100" s="114">
        <f t="shared" ca="1" si="16"/>
        <v>40</v>
      </c>
      <c r="F100" s="97" t="s">
        <v>32</v>
      </c>
      <c r="G100" s="116" t="s">
        <v>512</v>
      </c>
      <c r="H100" s="116" t="s">
        <v>506</v>
      </c>
      <c r="I100" s="116" t="s">
        <v>585</v>
      </c>
      <c r="J100" s="97"/>
      <c r="K100" s="97" t="s">
        <v>47</v>
      </c>
      <c r="L100" s="97">
        <v>43831</v>
      </c>
      <c r="M100" s="97" cm="1">
        <f t="array" ref="M100">_xlfn.XLOOKUP(B100&amp;"", 'Registro EMO'!$C$13:$C$4558&amp;"", 'Registro EMO'!$F$13:$F$4558, "Sin registro", 0, -1)</f>
        <v>45966</v>
      </c>
      <c r="N100" s="11" t="str" cm="1">
        <f t="array" ref="N100">_xlfn.XLOOKUP(B100&amp;"", 'Registro EMO'!$C$13:$C$4558&amp;"", 'Registro EMO'!$E$13:$E$4558, "Sin registro", 0, -1)</f>
        <v>Periódicos</v>
      </c>
      <c r="O100" s="11" t="str">
        <f t="shared" si="17"/>
        <v>SI</v>
      </c>
      <c r="P100" s="97" cm="1">
        <f t="array" ref="P100">_xlfn.LET(
    _xlpm.resultado, _xlfn.XLOOKUP(B100&amp;"", 'Registro EMO'!$C$13:$C$4558&amp;"", 'Registro EMO'!$I$13:$I$4558, "NO", 0, -1),
    IF(_xlpm.resultado=0, "NO", _xlpm.resultado)
)</f>
        <v>45995</v>
      </c>
      <c r="Q100" s="11" t="str">
        <f t="shared" ca="1" si="18"/>
        <v>Vigente</v>
      </c>
      <c r="R100" s="97"/>
      <c r="S100" s="11"/>
      <c r="T100" s="11" t="str">
        <f t="shared" si="19"/>
        <v/>
      </c>
      <c r="U100" s="97"/>
      <c r="V100" s="100" t="s">
        <v>38</v>
      </c>
      <c r="W100" s="7" t="s">
        <v>50</v>
      </c>
      <c r="X100" s="137"/>
      <c r="Y100" s="11"/>
      <c r="Z100" s="11"/>
      <c r="AA100" s="11"/>
      <c r="AB100" s="11"/>
      <c r="AC100" s="11"/>
      <c r="AD100" s="11"/>
      <c r="AE100" s="11"/>
      <c r="AF100" s="11"/>
      <c r="AG100" s="101"/>
      <c r="AH100" s="11" t="s">
        <v>36</v>
      </c>
    </row>
    <row r="101" spans="1:34" x14ac:dyDescent="0.3">
      <c r="A101" s="7" t="str">
        <f t="shared" si="15"/>
        <v>TR-1100</v>
      </c>
      <c r="B101" s="150">
        <v>47361655</v>
      </c>
      <c r="C101" s="159" t="s">
        <v>403</v>
      </c>
      <c r="D101" s="97">
        <v>29418</v>
      </c>
      <c r="E101" s="114">
        <f t="shared" ca="1" si="16"/>
        <v>45</v>
      </c>
      <c r="F101" s="97" t="s">
        <v>32</v>
      </c>
      <c r="G101" s="116" t="s">
        <v>512</v>
      </c>
      <c r="H101" s="116" t="s">
        <v>492</v>
      </c>
      <c r="I101" s="116" t="s">
        <v>476</v>
      </c>
      <c r="J101" s="97"/>
      <c r="K101" s="97" t="s">
        <v>34</v>
      </c>
      <c r="L101" s="97">
        <v>44790</v>
      </c>
      <c r="M101" s="97" cm="1">
        <f t="array" ref="M101">_xlfn.XLOOKUP(B101&amp;"", 'Registro EMO'!$C$13:$C$4558&amp;"", 'Registro EMO'!$F$13:$F$4558, "Sin registro", 0, -1)</f>
        <v>45966</v>
      </c>
      <c r="N101" s="11" t="str" cm="1">
        <f t="array" ref="N101">_xlfn.XLOOKUP(B101&amp;"", 'Registro EMO'!$C$13:$C$4558&amp;"", 'Registro EMO'!$E$13:$E$4558, "Sin registro", 0, -1)</f>
        <v>Periódicos</v>
      </c>
      <c r="O101" s="11" t="str">
        <f t="shared" si="17"/>
        <v>SI</v>
      </c>
      <c r="P101" s="97" cm="1">
        <f t="array" ref="P101">_xlfn.LET(
    _xlpm.resultado, _xlfn.XLOOKUP(B101&amp;"", 'Registro EMO'!$C$13:$C$4558&amp;"", 'Registro EMO'!$I$13:$I$4558, "NO", 0, -1),
    IF(_xlpm.resultado=0, "NO", _xlpm.resultado)
)</f>
        <v>45988</v>
      </c>
      <c r="Q101" s="11" t="str">
        <f t="shared" ca="1" si="18"/>
        <v>Vigente</v>
      </c>
      <c r="R101" s="97"/>
      <c r="S101" s="11"/>
      <c r="T101" s="11" t="str">
        <f t="shared" si="19"/>
        <v/>
      </c>
      <c r="U101" s="97"/>
      <c r="V101" s="100" t="s">
        <v>38</v>
      </c>
      <c r="W101" s="7" t="s">
        <v>50</v>
      </c>
      <c r="X101" s="137"/>
      <c r="Y101" s="11"/>
      <c r="Z101" s="11"/>
      <c r="AA101" s="11"/>
      <c r="AB101" s="11"/>
      <c r="AC101" s="11"/>
      <c r="AD101" s="11"/>
      <c r="AE101" s="11"/>
      <c r="AF101" s="11"/>
      <c r="AG101" s="101"/>
      <c r="AH101" s="11" t="s">
        <v>36</v>
      </c>
    </row>
    <row r="102" spans="1:34" x14ac:dyDescent="0.3">
      <c r="A102" s="7" t="str">
        <f t="shared" si="15"/>
        <v>TR-1101</v>
      </c>
      <c r="B102" s="150">
        <v>76624943</v>
      </c>
      <c r="C102" s="159" t="s">
        <v>404</v>
      </c>
      <c r="D102" s="97">
        <v>36376</v>
      </c>
      <c r="E102" s="114">
        <f t="shared" ca="1" si="16"/>
        <v>26</v>
      </c>
      <c r="F102" s="97" t="s">
        <v>32</v>
      </c>
      <c r="G102" s="116" t="s">
        <v>512</v>
      </c>
      <c r="H102" s="116" t="s">
        <v>491</v>
      </c>
      <c r="I102" s="116" t="s">
        <v>453</v>
      </c>
      <c r="J102" s="97"/>
      <c r="K102" s="97" t="s">
        <v>34</v>
      </c>
      <c r="L102" s="97">
        <v>43831</v>
      </c>
      <c r="M102" s="97" cm="1">
        <f t="array" ref="M102">_xlfn.XLOOKUP(B102&amp;"", 'Registro EMO'!$C$13:$C$4558&amp;"", 'Registro EMO'!$F$13:$F$4558, "Sin registro", 0, -1)</f>
        <v>45966</v>
      </c>
      <c r="N102" s="11" t="str" cm="1">
        <f t="array" ref="N102">_xlfn.XLOOKUP(B102&amp;"", 'Registro EMO'!$C$13:$C$4558&amp;"", 'Registro EMO'!$E$13:$E$4558, "Sin registro", 0, -1)</f>
        <v>Periódicos</v>
      </c>
      <c r="O102" s="11" t="str">
        <f t="shared" si="17"/>
        <v>SI</v>
      </c>
      <c r="P102" s="97" cm="1">
        <f t="array" ref="P102">_xlfn.LET(
    _xlpm.resultado, _xlfn.XLOOKUP(B102&amp;"", 'Registro EMO'!$C$13:$C$4558&amp;"", 'Registro EMO'!$I$13:$I$4558, "NO", 0, -1),
    IF(_xlpm.resultado=0, "NO", _xlpm.resultado)
)</f>
        <v>46057</v>
      </c>
      <c r="Q102" s="11" t="str">
        <f t="shared" ca="1" si="18"/>
        <v>Vigente</v>
      </c>
      <c r="R102" s="97"/>
      <c r="S102" s="11"/>
      <c r="T102" s="11" t="str">
        <f t="shared" si="19"/>
        <v/>
      </c>
      <c r="U102" s="97"/>
      <c r="V102" s="100" t="s">
        <v>35</v>
      </c>
      <c r="W102" s="7" t="s">
        <v>37</v>
      </c>
      <c r="X102" s="137"/>
      <c r="Y102" s="11"/>
      <c r="Z102" s="11"/>
      <c r="AA102" s="11"/>
      <c r="AB102" s="11"/>
      <c r="AC102" s="11"/>
      <c r="AD102" s="11"/>
      <c r="AE102" s="11"/>
      <c r="AF102" s="11"/>
      <c r="AG102" s="101"/>
      <c r="AH102" s="11" t="s">
        <v>36</v>
      </c>
    </row>
    <row r="103" spans="1:34" x14ac:dyDescent="0.3">
      <c r="A103" s="7" t="str">
        <f t="shared" si="15"/>
        <v>TR-1102</v>
      </c>
      <c r="B103" s="152">
        <v>9844603</v>
      </c>
      <c r="C103" s="159" t="s">
        <v>405</v>
      </c>
      <c r="D103" s="97">
        <v>33303</v>
      </c>
      <c r="E103" s="114">
        <f t="shared" ca="1" si="16"/>
        <v>34</v>
      </c>
      <c r="F103" s="97" t="s">
        <v>32</v>
      </c>
      <c r="G103" s="116" t="s">
        <v>512</v>
      </c>
      <c r="H103" s="116" t="s">
        <v>508</v>
      </c>
      <c r="I103" s="116" t="s">
        <v>477</v>
      </c>
      <c r="J103" s="97"/>
      <c r="K103" s="97" t="s">
        <v>34</v>
      </c>
      <c r="L103" s="97">
        <v>43831</v>
      </c>
      <c r="M103" s="97" cm="1">
        <f t="array" ref="M103">_xlfn.XLOOKUP(B103&amp;"", 'Registro EMO'!$C$13:$C$4558&amp;"", 'Registro EMO'!$F$13:$F$4558, "Sin registro", 0, -1)</f>
        <v>45966</v>
      </c>
      <c r="N103" s="11" t="str" cm="1">
        <f t="array" ref="N103">_xlfn.XLOOKUP(B103&amp;"", 'Registro EMO'!$C$13:$C$4558&amp;"", 'Registro EMO'!$E$13:$E$4558, "Sin registro", 0, -1)</f>
        <v>Periódicos</v>
      </c>
      <c r="O103" s="11" t="str">
        <f t="shared" si="17"/>
        <v>SI</v>
      </c>
      <c r="P103" s="97" cm="1">
        <f t="array" ref="P103">_xlfn.LET(
    _xlpm.resultado, _xlfn.XLOOKUP(B103&amp;"", 'Registro EMO'!$C$13:$C$4558&amp;"", 'Registro EMO'!$I$13:$I$4558, "NO", 0, -1),
    IF(_xlpm.resultado=0, "NO", _xlpm.resultado)
)</f>
        <v>45995</v>
      </c>
      <c r="Q103" s="11" t="str">
        <f t="shared" ca="1" si="18"/>
        <v>Vigente</v>
      </c>
      <c r="R103" s="97"/>
      <c r="S103" s="11"/>
      <c r="T103" s="11" t="str">
        <f t="shared" si="19"/>
        <v/>
      </c>
      <c r="U103" s="97"/>
      <c r="V103" s="100" t="s">
        <v>38</v>
      </c>
      <c r="W103" s="7" t="s">
        <v>37</v>
      </c>
      <c r="X103" s="137"/>
      <c r="Y103" s="11"/>
      <c r="Z103" s="11"/>
      <c r="AA103" s="11"/>
      <c r="AB103" s="11"/>
      <c r="AC103" s="11"/>
      <c r="AD103" s="11"/>
      <c r="AE103" s="11"/>
      <c r="AF103" s="11"/>
      <c r="AG103" s="101"/>
      <c r="AH103" s="11" t="s">
        <v>36</v>
      </c>
    </row>
    <row r="104" spans="1:34" x14ac:dyDescent="0.3">
      <c r="A104" s="7" t="str">
        <f t="shared" si="15"/>
        <v>TR-1103</v>
      </c>
      <c r="B104" s="156">
        <v>41683293</v>
      </c>
      <c r="C104" s="159" t="s">
        <v>406</v>
      </c>
      <c r="D104" s="97">
        <v>29286</v>
      </c>
      <c r="E104" s="114">
        <f t="shared" ca="1" si="16"/>
        <v>45</v>
      </c>
      <c r="F104" s="97" t="s">
        <v>32</v>
      </c>
      <c r="G104" s="116" t="s">
        <v>512</v>
      </c>
      <c r="H104" s="116" t="s">
        <v>506</v>
      </c>
      <c r="I104" s="116" t="s">
        <v>478</v>
      </c>
      <c r="J104" s="97"/>
      <c r="K104" s="97" t="s">
        <v>34</v>
      </c>
      <c r="L104" s="97">
        <v>43831</v>
      </c>
      <c r="M104" s="97" cm="1">
        <f t="array" ref="M104">_xlfn.XLOOKUP(B104&amp;"", 'Registro EMO'!$C$13:$C$4558&amp;"", 'Registro EMO'!$F$13:$F$4558, "Sin registro", 0, -1)</f>
        <v>45966</v>
      </c>
      <c r="N104" s="11" t="str" cm="1">
        <f t="array" ref="N104">_xlfn.XLOOKUP(B104&amp;"", 'Registro EMO'!$C$13:$C$4558&amp;"", 'Registro EMO'!$E$13:$E$4558, "Sin registro", 0, -1)</f>
        <v>Periódicos</v>
      </c>
      <c r="O104" s="11" t="str">
        <f t="shared" si="17"/>
        <v>SI</v>
      </c>
      <c r="P104" s="97" cm="1">
        <f t="array" ref="P104">_xlfn.LET(
    _xlpm.resultado, _xlfn.XLOOKUP(B104&amp;"", 'Registro EMO'!$C$13:$C$4558&amp;"", 'Registro EMO'!$I$13:$I$4558, "NO", 0, -1),
    IF(_xlpm.resultado=0, "NO", _xlpm.resultado)
)</f>
        <v>46057</v>
      </c>
      <c r="Q104" s="11" t="str">
        <f t="shared" ca="1" si="18"/>
        <v>Vigente</v>
      </c>
      <c r="R104" s="97"/>
      <c r="S104" s="11"/>
      <c r="T104" s="11" t="str">
        <f t="shared" si="19"/>
        <v/>
      </c>
      <c r="U104" s="97"/>
      <c r="V104" s="100" t="s">
        <v>35</v>
      </c>
      <c r="W104" s="7" t="s">
        <v>44</v>
      </c>
      <c r="X104" s="137"/>
      <c r="Y104" s="11"/>
      <c r="Z104" s="11"/>
      <c r="AA104" s="11"/>
      <c r="AB104" s="11"/>
      <c r="AC104" s="11"/>
      <c r="AD104" s="11"/>
      <c r="AE104" s="11"/>
      <c r="AF104" s="11"/>
      <c r="AG104" s="101"/>
      <c r="AH104" s="11" t="s">
        <v>36</v>
      </c>
    </row>
    <row r="105" spans="1:34" ht="16.5" customHeight="1" x14ac:dyDescent="0.3">
      <c r="A105" s="7" t="str">
        <f t="shared" si="15"/>
        <v>TR-1104</v>
      </c>
      <c r="B105" s="156">
        <v>42441086</v>
      </c>
      <c r="C105" s="159" t="s">
        <v>407</v>
      </c>
      <c r="D105" s="97">
        <v>35831</v>
      </c>
      <c r="E105" s="114">
        <f t="shared" ca="1" si="16"/>
        <v>28</v>
      </c>
      <c r="F105" s="97" t="s">
        <v>32</v>
      </c>
      <c r="G105" s="116" t="s">
        <v>512</v>
      </c>
      <c r="H105" s="116" t="s">
        <v>486</v>
      </c>
      <c r="I105" s="116" t="s">
        <v>479</v>
      </c>
      <c r="J105" s="97"/>
      <c r="K105" s="97" t="s">
        <v>34</v>
      </c>
      <c r="L105" s="97">
        <v>43831</v>
      </c>
      <c r="M105" s="97" cm="1">
        <f t="array" ref="M105">_xlfn.XLOOKUP(B105&amp;"", 'Registro EMO'!$C$13:$C$4558&amp;"", 'Registro EMO'!$F$13:$F$4558, "Sin registro", 0, -1)</f>
        <v>45966</v>
      </c>
      <c r="N105" s="11" t="str" cm="1">
        <f t="array" ref="N105">_xlfn.XLOOKUP(B105&amp;"", 'Registro EMO'!$C$13:$C$4558&amp;"", 'Registro EMO'!$E$13:$E$4558, "Sin registro", 0, -1)</f>
        <v>Periódicos</v>
      </c>
      <c r="O105" s="11" t="str">
        <f t="shared" si="17"/>
        <v>SI</v>
      </c>
      <c r="P105" s="97" cm="1">
        <f t="array" ref="P105">_xlfn.LET(
    _xlpm.resultado, _xlfn.XLOOKUP(B105&amp;"", 'Registro EMO'!$C$13:$C$4558&amp;"", 'Registro EMO'!$I$13:$I$4558, "NO", 0, -1),
    IF(_xlpm.resultado=0, "NO", _xlpm.resultado)
)</f>
        <v>46002</v>
      </c>
      <c r="Q105" s="11" t="str">
        <f t="shared" ca="1" si="18"/>
        <v>Vigente</v>
      </c>
      <c r="R105" s="97"/>
      <c r="S105" s="11"/>
      <c r="T105" s="11" t="str">
        <f t="shared" si="19"/>
        <v/>
      </c>
      <c r="U105" s="97"/>
      <c r="V105" s="100" t="s">
        <v>38</v>
      </c>
      <c r="W105" s="7" t="s">
        <v>39</v>
      </c>
      <c r="X105" s="137"/>
      <c r="Y105" s="11"/>
      <c r="Z105" s="11"/>
      <c r="AA105" s="11"/>
      <c r="AB105" s="11"/>
      <c r="AC105" s="11"/>
      <c r="AD105" s="11"/>
      <c r="AE105" s="11"/>
      <c r="AF105" s="11"/>
      <c r="AG105" s="101"/>
      <c r="AH105" s="11" t="s">
        <v>36</v>
      </c>
    </row>
    <row r="106" spans="1:34" x14ac:dyDescent="0.3">
      <c r="A106" s="7" t="str">
        <f t="shared" si="15"/>
        <v>TR-1105</v>
      </c>
      <c r="B106" s="156">
        <v>25402541</v>
      </c>
      <c r="C106" s="145" t="s">
        <v>408</v>
      </c>
      <c r="D106" s="97">
        <v>23497</v>
      </c>
      <c r="E106" s="114">
        <f t="shared" ca="1" si="16"/>
        <v>61</v>
      </c>
      <c r="F106" s="97" t="s">
        <v>32</v>
      </c>
      <c r="G106" s="116" t="s">
        <v>512</v>
      </c>
      <c r="H106" s="116" t="s">
        <v>493</v>
      </c>
      <c r="I106" s="116" t="s">
        <v>480</v>
      </c>
      <c r="J106" s="97"/>
      <c r="K106" s="97" t="s">
        <v>34</v>
      </c>
      <c r="L106" s="97">
        <v>43831</v>
      </c>
      <c r="M106" s="97" cm="1">
        <f t="array" ref="M106">_xlfn.XLOOKUP(B106&amp;"", 'Registro EMO'!$C$13:$C$4558&amp;"", 'Registro EMO'!$F$13:$F$4558, "Sin registro", 0, -1)</f>
        <v>45979</v>
      </c>
      <c r="N106" s="11" t="str" cm="1">
        <f t="array" ref="N106">_xlfn.XLOOKUP(B106&amp;"", 'Registro EMO'!$C$13:$C$4558&amp;"", 'Registro EMO'!$E$13:$E$4558, "Sin registro", 0, -1)</f>
        <v>Periódicos</v>
      </c>
      <c r="O106" s="11" t="str">
        <f t="shared" si="17"/>
        <v>SI</v>
      </c>
      <c r="P106" s="97" cm="1">
        <f t="array" ref="P106">_xlfn.LET(
    _xlpm.resultado, _xlfn.XLOOKUP(B106&amp;"", 'Registro EMO'!$C$13:$C$4558&amp;"", 'Registro EMO'!$I$13:$I$4558, "NO", 0, -1),
    IF(_xlpm.resultado=0, "NO", _xlpm.resultado)
)</f>
        <v>46007</v>
      </c>
      <c r="Q106" s="11" t="str">
        <f t="shared" ca="1" si="18"/>
        <v>Vigente</v>
      </c>
      <c r="R106" s="97"/>
      <c r="S106" s="11"/>
      <c r="T106" s="11" t="str">
        <f t="shared" si="19"/>
        <v/>
      </c>
      <c r="U106" s="97"/>
      <c r="V106" s="100" t="s">
        <v>520</v>
      </c>
      <c r="W106" s="7" t="s">
        <v>569</v>
      </c>
      <c r="X106" s="137" t="s">
        <v>572</v>
      </c>
      <c r="Y106" s="11" t="s">
        <v>523</v>
      </c>
      <c r="Z106" s="11" t="s">
        <v>524</v>
      </c>
      <c r="AA106" s="11" t="s">
        <v>570</v>
      </c>
      <c r="AB106" s="11" t="s">
        <v>571</v>
      </c>
      <c r="AC106" s="11"/>
      <c r="AD106" s="11"/>
      <c r="AE106" s="11"/>
      <c r="AF106" s="11"/>
      <c r="AG106" s="101"/>
      <c r="AH106" s="11" t="s">
        <v>36</v>
      </c>
    </row>
    <row r="107" spans="1:34" x14ac:dyDescent="0.3">
      <c r="A107" s="7" t="str">
        <f t="shared" si="15"/>
        <v>TR-1106</v>
      </c>
      <c r="B107" s="157">
        <v>61701858</v>
      </c>
      <c r="C107" s="159" t="s">
        <v>409</v>
      </c>
      <c r="D107" s="97">
        <v>31652</v>
      </c>
      <c r="E107" s="114">
        <f t="shared" ca="1" si="16"/>
        <v>39</v>
      </c>
      <c r="F107" s="97" t="s">
        <v>32</v>
      </c>
      <c r="G107" s="116" t="s">
        <v>512</v>
      </c>
      <c r="H107" s="116" t="s">
        <v>493</v>
      </c>
      <c r="I107" s="116" t="s">
        <v>431</v>
      </c>
      <c r="J107" s="97"/>
      <c r="K107" s="97" t="s">
        <v>34</v>
      </c>
      <c r="L107" s="97">
        <v>45812</v>
      </c>
      <c r="M107" s="97" cm="1">
        <f t="array" ref="M107">_xlfn.XLOOKUP(B107&amp;"", 'Registro EMO'!$C$13:$C$4558&amp;"", 'Registro EMO'!$F$13:$F$4558, "Sin registro", 0, -1)</f>
        <v>45966</v>
      </c>
      <c r="N107" s="11" t="str" cm="1">
        <f t="array" ref="N107">_xlfn.XLOOKUP(B107&amp;"", 'Registro EMO'!$C$13:$C$4558&amp;"", 'Registro EMO'!$E$13:$E$4558, "Sin registro", 0, -1)</f>
        <v>Pre-Ocupacional</v>
      </c>
      <c r="O107" s="11" t="str">
        <f t="shared" si="17"/>
        <v>SI</v>
      </c>
      <c r="P107" s="97" cm="1">
        <f t="array" ref="P107">_xlfn.LET(
    _xlpm.resultado, _xlfn.XLOOKUP(B107&amp;"", 'Registro EMO'!$C$13:$C$4558&amp;"", 'Registro EMO'!$I$13:$I$4558, "NO", 0, -1),
    IF(_xlpm.resultado=0, "NO", _xlpm.resultado)
)</f>
        <v>46002</v>
      </c>
      <c r="Q107" s="11" t="str">
        <f t="shared" ca="1" si="18"/>
        <v>Vigente</v>
      </c>
      <c r="R107" s="97"/>
      <c r="S107" s="11"/>
      <c r="T107" s="11" t="str">
        <f t="shared" si="19"/>
        <v/>
      </c>
      <c r="U107" s="97"/>
      <c r="V107" s="100" t="s">
        <v>35</v>
      </c>
      <c r="W107" s="7" t="s">
        <v>39</v>
      </c>
      <c r="X107" s="137"/>
      <c r="Y107" s="11"/>
      <c r="Z107" s="11"/>
      <c r="AA107" s="11"/>
      <c r="AB107" s="11"/>
      <c r="AC107" s="11"/>
      <c r="AD107" s="11"/>
      <c r="AE107" s="11"/>
      <c r="AF107" s="11"/>
      <c r="AG107" s="101"/>
      <c r="AH107" s="11" t="s">
        <v>36</v>
      </c>
    </row>
    <row r="108" spans="1:34" x14ac:dyDescent="0.3">
      <c r="A108" s="7" t="str">
        <f t="shared" si="15"/>
        <v>TR-1107</v>
      </c>
      <c r="B108" s="157">
        <v>47275861</v>
      </c>
      <c r="C108" s="159" t="s">
        <v>410</v>
      </c>
      <c r="D108" s="97">
        <v>31622</v>
      </c>
      <c r="E108" s="114">
        <f t="shared" ca="1" si="16"/>
        <v>39</v>
      </c>
      <c r="F108" s="97" t="s">
        <v>32</v>
      </c>
      <c r="G108" s="116" t="s">
        <v>512</v>
      </c>
      <c r="H108" s="116" t="s">
        <v>494</v>
      </c>
      <c r="I108" s="116" t="s">
        <v>481</v>
      </c>
      <c r="J108" s="97"/>
      <c r="K108" s="97" t="s">
        <v>34</v>
      </c>
      <c r="L108" s="97">
        <v>43831</v>
      </c>
      <c r="M108" s="97" cm="1">
        <f t="array" ref="M108">_xlfn.XLOOKUP(B108&amp;"", 'Registro EMO'!$C$13:$C$4558&amp;"", 'Registro EMO'!$F$13:$F$4558, "Sin registro", 0, -1)</f>
        <v>45966</v>
      </c>
      <c r="N108" s="11" t="str" cm="1">
        <f t="array" ref="N108">_xlfn.XLOOKUP(B108&amp;"", 'Registro EMO'!$C$13:$C$4558&amp;"", 'Registro EMO'!$E$13:$E$4558, "Sin registro", 0, -1)</f>
        <v>Periódicos</v>
      </c>
      <c r="O108" s="11" t="str">
        <f t="shared" si="17"/>
        <v>SI</v>
      </c>
      <c r="P108" s="97" cm="1">
        <f t="array" ref="P108">_xlfn.LET(
    _xlpm.resultado, _xlfn.XLOOKUP(B108&amp;"", 'Registro EMO'!$C$13:$C$4558&amp;"", 'Registro EMO'!$I$13:$I$4558, "NO", 0, -1),
    IF(_xlpm.resultado=0, "NO", _xlpm.resultado)
)</f>
        <v>45993</v>
      </c>
      <c r="Q108" s="11" t="str">
        <f t="shared" ca="1" si="18"/>
        <v>Vigente</v>
      </c>
      <c r="R108" s="97"/>
      <c r="S108" s="11"/>
      <c r="T108" s="11" t="str">
        <f t="shared" si="19"/>
        <v/>
      </c>
      <c r="U108" s="97"/>
      <c r="V108" s="100" t="s">
        <v>35</v>
      </c>
      <c r="W108" s="7" t="s">
        <v>39</v>
      </c>
      <c r="X108" s="137"/>
      <c r="Y108" s="11"/>
      <c r="Z108" s="11"/>
      <c r="AA108" s="11"/>
      <c r="AB108" s="11"/>
      <c r="AC108" s="11"/>
      <c r="AD108" s="11"/>
      <c r="AE108" s="11"/>
      <c r="AF108" s="11"/>
      <c r="AG108" s="101"/>
      <c r="AH108" s="11" t="s">
        <v>36</v>
      </c>
    </row>
    <row r="109" spans="1:34" x14ac:dyDescent="0.3">
      <c r="A109" s="7" t="str">
        <f t="shared" si="15"/>
        <v>TR-1108</v>
      </c>
      <c r="B109" s="157">
        <v>70089567</v>
      </c>
      <c r="C109" s="159" t="s">
        <v>411</v>
      </c>
      <c r="D109" s="97">
        <v>33016</v>
      </c>
      <c r="E109" s="114">
        <f t="shared" ca="1" si="16"/>
        <v>35</v>
      </c>
      <c r="F109" s="97" t="s">
        <v>32</v>
      </c>
      <c r="G109" s="116" t="s">
        <v>512</v>
      </c>
      <c r="H109" s="116" t="s">
        <v>501</v>
      </c>
      <c r="I109" s="116" t="s">
        <v>482</v>
      </c>
      <c r="J109" s="97"/>
      <c r="K109" s="97" t="s">
        <v>34</v>
      </c>
      <c r="L109" s="97">
        <v>43831</v>
      </c>
      <c r="M109" s="97" cm="1">
        <f t="array" ref="M109">_xlfn.XLOOKUP(B109&amp;"", 'Registro EMO'!$C$13:$C$4558&amp;"", 'Registro EMO'!$F$13:$F$4558, "Sin registro", 0, -1)</f>
        <v>45966</v>
      </c>
      <c r="N109" s="11" t="str" cm="1">
        <f t="array" ref="N109">_xlfn.XLOOKUP(B109&amp;"", 'Registro EMO'!$C$13:$C$4558&amp;"", 'Registro EMO'!$E$13:$E$4558, "Sin registro", 0, -1)</f>
        <v>Periódicos</v>
      </c>
      <c r="O109" s="11" t="str">
        <f t="shared" si="17"/>
        <v>SI</v>
      </c>
      <c r="P109" s="97" cm="1">
        <f t="array" ref="P109">_xlfn.LET(
    _xlpm.resultado, _xlfn.XLOOKUP(B109&amp;"", 'Registro EMO'!$C$13:$C$4558&amp;"", 'Registro EMO'!$I$13:$I$4558, "NO", 0, -1),
    IF(_xlpm.resultado=0, "NO", _xlpm.resultado)
)</f>
        <v>45993</v>
      </c>
      <c r="Q109" s="11" t="str">
        <f t="shared" ca="1" si="18"/>
        <v>Vigente</v>
      </c>
      <c r="R109" s="97"/>
      <c r="S109" s="11"/>
      <c r="T109" s="11" t="str">
        <f t="shared" si="19"/>
        <v/>
      </c>
      <c r="U109" s="97"/>
      <c r="V109" s="100" t="s">
        <v>35</v>
      </c>
      <c r="W109" s="7" t="s">
        <v>39</v>
      </c>
      <c r="X109" s="137"/>
      <c r="Y109" s="11"/>
      <c r="Z109" s="11"/>
      <c r="AA109" s="11"/>
      <c r="AB109" s="11"/>
      <c r="AC109" s="11"/>
      <c r="AD109" s="11"/>
      <c r="AE109" s="11"/>
      <c r="AF109" s="11"/>
      <c r="AG109" s="101"/>
      <c r="AH109" s="11" t="s">
        <v>36</v>
      </c>
    </row>
    <row r="110" spans="1:34" x14ac:dyDescent="0.3">
      <c r="A110" s="7" t="str">
        <f t="shared" si="15"/>
        <v>TR-1109</v>
      </c>
      <c r="B110" s="157">
        <v>10607645</v>
      </c>
      <c r="C110" s="159" t="s">
        <v>412</v>
      </c>
      <c r="D110" s="97">
        <v>28562</v>
      </c>
      <c r="E110" s="114">
        <f t="shared" ca="1" si="16"/>
        <v>47</v>
      </c>
      <c r="F110" s="97" t="s">
        <v>32</v>
      </c>
      <c r="G110" s="116" t="s">
        <v>512</v>
      </c>
      <c r="H110" s="116" t="s">
        <v>490</v>
      </c>
      <c r="I110" s="116" t="s">
        <v>449</v>
      </c>
      <c r="J110" s="97"/>
      <c r="K110" s="97" t="s">
        <v>34</v>
      </c>
      <c r="L110" s="97">
        <v>46048</v>
      </c>
      <c r="M110" s="97" cm="1">
        <f t="array" ref="M110">_xlfn.XLOOKUP(B110&amp;"", 'Registro EMO'!$C$13:$C$4558&amp;"", 'Registro EMO'!$F$13:$F$4558, "Sin registro", 0, -1)</f>
        <v>46069</v>
      </c>
      <c r="N110" s="11" t="str" cm="1">
        <f t="array" ref="N110">_xlfn.XLOOKUP(B110&amp;"", 'Registro EMO'!$C$13:$C$4558&amp;"", 'Registro EMO'!$E$13:$E$4558, "Sin registro", 0, -1)</f>
        <v>Pre-Ocupacional</v>
      </c>
      <c r="O110" s="11" t="str">
        <f t="shared" si="17"/>
        <v>SI</v>
      </c>
      <c r="P110" s="97" cm="1">
        <f t="array" ref="P110">_xlfn.LET(
    _xlpm.resultado, _xlfn.XLOOKUP(B110&amp;"", 'Registro EMO'!$C$13:$C$4558&amp;"", 'Registro EMO'!$I$13:$I$4558, "NO", 0, -1),
    IF(_xlpm.resultado=0, "NO", _xlpm.resultado)
)</f>
        <v>46070</v>
      </c>
      <c r="Q110" s="11" t="str">
        <f t="shared" ca="1" si="18"/>
        <v>Vigente</v>
      </c>
      <c r="R110" s="97"/>
      <c r="S110" s="11" t="s">
        <v>609</v>
      </c>
      <c r="T110" s="11" t="str">
        <f t="shared" si="19"/>
        <v/>
      </c>
      <c r="U110" s="97"/>
      <c r="V110" s="100"/>
      <c r="W110" s="7"/>
      <c r="X110" s="137"/>
      <c r="Y110" s="11"/>
      <c r="Z110" s="11"/>
      <c r="AA110" s="11"/>
      <c r="AB110" s="11"/>
      <c r="AC110" s="11"/>
      <c r="AD110" s="11"/>
      <c r="AE110" s="11"/>
      <c r="AF110" s="11"/>
      <c r="AG110" s="101"/>
      <c r="AH110" s="11" t="s">
        <v>36</v>
      </c>
    </row>
    <row r="111" spans="1:34" x14ac:dyDescent="0.3">
      <c r="A111" s="7" t="str">
        <f t="shared" si="15"/>
        <v>TR-1110</v>
      </c>
      <c r="B111" s="157">
        <v>9906328</v>
      </c>
      <c r="C111" s="159" t="s">
        <v>413</v>
      </c>
      <c r="D111" s="97">
        <v>33567</v>
      </c>
      <c r="E111" s="114">
        <f t="shared" ca="1" si="16"/>
        <v>34</v>
      </c>
      <c r="F111" s="97" t="s">
        <v>32</v>
      </c>
      <c r="G111" s="116" t="s">
        <v>512</v>
      </c>
      <c r="H111" s="116" t="s">
        <v>491</v>
      </c>
      <c r="I111" s="116" t="s">
        <v>483</v>
      </c>
      <c r="J111" s="97"/>
      <c r="K111" s="97" t="s">
        <v>34</v>
      </c>
      <c r="L111" s="97">
        <v>45992</v>
      </c>
      <c r="M111" s="97" cm="1">
        <f t="array" ref="M111">_xlfn.XLOOKUP(B111&amp;"", 'Registro EMO'!$C$13:$C$4558&amp;"", 'Registro EMO'!$F$13:$F$4558, "Sin registro", 0, -1)</f>
        <v>46069</v>
      </c>
      <c r="N111" s="11" t="str" cm="1">
        <f t="array" ref="N111">_xlfn.XLOOKUP(B111&amp;"", 'Registro EMO'!$C$13:$C$4558&amp;"", 'Registro EMO'!$E$13:$E$4558, "Sin registro", 0, -1)</f>
        <v>Pre-Ocupacional</v>
      </c>
      <c r="O111" s="11" t="str">
        <f t="shared" si="17"/>
        <v>SI</v>
      </c>
      <c r="P111" s="97" cm="1">
        <f t="array" ref="P111">_xlfn.LET(
    _xlpm.resultado, _xlfn.XLOOKUP(B111&amp;"", 'Registro EMO'!$C$13:$C$4558&amp;"", 'Registro EMO'!$I$13:$I$4558, "NO", 0, -1),
    IF(_xlpm.resultado=0, "NO", _xlpm.resultado)
)</f>
        <v>46070</v>
      </c>
      <c r="Q111" s="11" t="str">
        <f t="shared" ca="1" si="18"/>
        <v>Vigente</v>
      </c>
      <c r="R111" s="97"/>
      <c r="S111" s="11" t="s">
        <v>609</v>
      </c>
      <c r="T111" s="11" t="str">
        <f t="shared" si="19"/>
        <v/>
      </c>
      <c r="U111" s="97"/>
      <c r="V111" s="100"/>
      <c r="W111" s="7"/>
      <c r="X111" s="137"/>
      <c r="Y111" s="11"/>
      <c r="Z111" s="11"/>
      <c r="AA111" s="11"/>
      <c r="AB111" s="11"/>
      <c r="AC111" s="11"/>
      <c r="AD111" s="11"/>
      <c r="AE111" s="11"/>
      <c r="AF111" s="11"/>
      <c r="AG111" s="101"/>
      <c r="AH111" s="11" t="s">
        <v>36</v>
      </c>
    </row>
    <row r="112" spans="1:34" x14ac:dyDescent="0.3">
      <c r="A112" s="7" t="str">
        <f t="shared" si="15"/>
        <v>TR-1111</v>
      </c>
      <c r="B112" s="157">
        <v>10026993</v>
      </c>
      <c r="C112" s="158" t="s">
        <v>414</v>
      </c>
      <c r="D112" s="97">
        <v>32702</v>
      </c>
      <c r="E112" s="114">
        <f t="shared" ca="1" si="16"/>
        <v>36</v>
      </c>
      <c r="F112" s="97" t="s">
        <v>32</v>
      </c>
      <c r="G112" s="116" t="s">
        <v>512</v>
      </c>
      <c r="H112" s="116" t="s">
        <v>486</v>
      </c>
      <c r="I112" s="116" t="s">
        <v>484</v>
      </c>
      <c r="J112" s="97"/>
      <c r="K112" s="97" t="s">
        <v>34</v>
      </c>
      <c r="L112" s="97">
        <v>43831</v>
      </c>
      <c r="M112" s="97" cm="1">
        <f t="array" ref="M112">_xlfn.XLOOKUP(B112&amp;"", 'Registro EMO'!$C$13:$C$4558&amp;"", 'Registro EMO'!$F$13:$F$4558, "Sin registro", 0, -1)</f>
        <v>45966</v>
      </c>
      <c r="N112" s="11" t="str" cm="1">
        <f t="array" ref="N112">_xlfn.XLOOKUP(B112&amp;"", 'Registro EMO'!$C$13:$C$4558&amp;"", 'Registro EMO'!$E$13:$E$4558, "Sin registro", 0, -1)</f>
        <v>Periódicos</v>
      </c>
      <c r="O112" s="11" t="str">
        <f t="shared" si="17"/>
        <v>SI</v>
      </c>
      <c r="P112" s="97" cm="1">
        <f t="array" ref="P112">_xlfn.LET(
    _xlpm.resultado, _xlfn.XLOOKUP(B112&amp;"", 'Registro EMO'!$C$13:$C$4558&amp;"", 'Registro EMO'!$I$13:$I$4558, "NO", 0, -1),
    IF(_xlpm.resultado=0, "NO", _xlpm.resultado)
)</f>
        <v>45988</v>
      </c>
      <c r="Q112" s="11" t="str">
        <f t="shared" ca="1" si="18"/>
        <v>Vigente</v>
      </c>
      <c r="R112" s="97"/>
      <c r="S112" s="11"/>
      <c r="T112" s="11" t="str">
        <f t="shared" si="19"/>
        <v/>
      </c>
      <c r="U112" s="97"/>
      <c r="V112" s="100" t="s">
        <v>35</v>
      </c>
      <c r="W112" s="7" t="s">
        <v>48</v>
      </c>
      <c r="X112" s="137"/>
      <c r="Y112" s="11"/>
      <c r="Z112" s="11"/>
      <c r="AA112" s="11"/>
      <c r="AB112" s="11"/>
      <c r="AC112" s="11"/>
      <c r="AD112" s="11"/>
      <c r="AE112" s="11"/>
      <c r="AF112" s="11"/>
      <c r="AG112" s="101"/>
      <c r="AH112" s="11" t="s">
        <v>36</v>
      </c>
    </row>
    <row r="113" spans="1:34" x14ac:dyDescent="0.3">
      <c r="A113" s="7" t="str">
        <f t="shared" si="15"/>
        <v>TR-1112</v>
      </c>
      <c r="B113" s="157">
        <v>7317850</v>
      </c>
      <c r="C113" s="159" t="s">
        <v>415</v>
      </c>
      <c r="D113" s="97">
        <v>35939</v>
      </c>
      <c r="E113" s="114">
        <f t="shared" ca="1" si="16"/>
        <v>27</v>
      </c>
      <c r="F113" s="97" t="s">
        <v>32</v>
      </c>
      <c r="G113" s="116" t="s">
        <v>512</v>
      </c>
      <c r="H113" s="116" t="s">
        <v>503</v>
      </c>
      <c r="I113" s="116" t="s">
        <v>586</v>
      </c>
      <c r="J113" s="97"/>
      <c r="K113" s="97" t="s">
        <v>34</v>
      </c>
      <c r="L113" s="97">
        <v>44044</v>
      </c>
      <c r="M113" s="97" cm="1">
        <f t="array" ref="M113">_xlfn.XLOOKUP(B113&amp;"", 'Registro EMO'!$C$13:$C$4558&amp;"", 'Registro EMO'!$F$13:$F$4558, "Sin registro", 0, -1)</f>
        <v>45966</v>
      </c>
      <c r="N113" s="11" t="str" cm="1">
        <f t="array" ref="N113">_xlfn.XLOOKUP(B113&amp;"", 'Registro EMO'!$C$13:$C$4558&amp;"", 'Registro EMO'!$E$13:$E$4558, "Sin registro", 0, -1)</f>
        <v>Periódicos</v>
      </c>
      <c r="O113" s="11" t="str">
        <f t="shared" si="17"/>
        <v>NO</v>
      </c>
      <c r="P113" s="166" t="str" cm="1">
        <f t="array" ref="P113">_xlfn.LET(
    _xlpm.resultado, _xlfn.XLOOKUP(B113&amp;"", 'Registro EMO'!$C$13:$C$4558&amp;"", 'Registro EMO'!$I$13:$I$4558, "NO", 0, -1),
    IF(_xlpm.resultado=0, "NO", _xlpm.resultado)
)</f>
        <v>NO</v>
      </c>
      <c r="Q113" s="11" t="str">
        <f t="shared" ca="1" si="18"/>
        <v>Vigente</v>
      </c>
      <c r="R113" s="97"/>
      <c r="S113" s="11"/>
      <c r="T113" s="11" t="str">
        <f t="shared" si="19"/>
        <v/>
      </c>
      <c r="U113" s="97"/>
      <c r="V113" s="100" t="s">
        <v>35</v>
      </c>
      <c r="W113" s="7" t="s">
        <v>37</v>
      </c>
      <c r="X113" s="137"/>
      <c r="Y113" s="11"/>
      <c r="Z113" s="11"/>
      <c r="AA113" s="11"/>
      <c r="AB113" s="11"/>
      <c r="AC113" s="11"/>
      <c r="AD113" s="11"/>
      <c r="AE113" s="11"/>
      <c r="AF113" s="11"/>
      <c r="AG113" s="101"/>
      <c r="AH113" s="11" t="s">
        <v>36</v>
      </c>
    </row>
    <row r="114" spans="1:34" x14ac:dyDescent="0.3">
      <c r="A114" s="7" t="str">
        <f t="shared" si="15"/>
        <v>TR-1113</v>
      </c>
      <c r="B114" s="157">
        <v>48092993</v>
      </c>
      <c r="C114" s="158" t="s">
        <v>416</v>
      </c>
      <c r="D114" s="97">
        <v>30431</v>
      </c>
      <c r="E114" s="114">
        <f t="shared" ca="1" si="16"/>
        <v>42</v>
      </c>
      <c r="F114" s="97" t="s">
        <v>32</v>
      </c>
      <c r="G114" s="116" t="s">
        <v>512</v>
      </c>
      <c r="H114" s="116" t="s">
        <v>502</v>
      </c>
      <c r="I114" s="116" t="s">
        <v>485</v>
      </c>
      <c r="J114" s="97"/>
      <c r="K114" s="97" t="s">
        <v>34</v>
      </c>
      <c r="L114" s="97">
        <v>45231</v>
      </c>
      <c r="M114" s="97" cm="1">
        <f t="array" ref="M114">_xlfn.XLOOKUP(B114&amp;"", 'Registro EMO'!$C$13:$C$4558&amp;"", 'Registro EMO'!$F$13:$F$4558, "Sin registro", 0, -1)</f>
        <v>45966</v>
      </c>
      <c r="N114" s="11" t="str" cm="1">
        <f t="array" ref="N114">_xlfn.XLOOKUP(B114&amp;"", 'Registro EMO'!$C$13:$C$4558&amp;"", 'Registro EMO'!$E$13:$E$4558, "Sin registro", 0, -1)</f>
        <v>Pre-Ocupacional</v>
      </c>
      <c r="O114" s="11" t="str">
        <f t="shared" si="17"/>
        <v>SI</v>
      </c>
      <c r="P114" s="97" cm="1">
        <f t="array" ref="P114">_xlfn.LET(
    _xlpm.resultado, _xlfn.XLOOKUP(B114&amp;"", 'Registro EMO'!$C$13:$C$4558&amp;"", 'Registro EMO'!$I$13:$I$4558, "NO", 0, -1),
    IF(_xlpm.resultado=0, "NO", _xlpm.resultado)
)</f>
        <v>46007</v>
      </c>
      <c r="Q114" s="11" t="str">
        <f t="shared" ca="1" si="18"/>
        <v>Vigente</v>
      </c>
      <c r="R114" s="97"/>
      <c r="S114" s="11"/>
      <c r="T114" s="11" t="str">
        <f t="shared" si="19"/>
        <v/>
      </c>
      <c r="U114" s="97"/>
      <c r="V114" s="100" t="s">
        <v>35</v>
      </c>
      <c r="W114" s="7" t="s">
        <v>39</v>
      </c>
      <c r="X114" s="137"/>
      <c r="Y114" s="11"/>
      <c r="Z114" s="11"/>
      <c r="AA114" s="11"/>
      <c r="AB114" s="11"/>
      <c r="AC114" s="11"/>
      <c r="AD114" s="11"/>
      <c r="AE114" s="11"/>
      <c r="AF114" s="11"/>
      <c r="AG114" s="101"/>
      <c r="AH114" s="11" t="s">
        <v>36</v>
      </c>
    </row>
    <row r="115" spans="1:34" x14ac:dyDescent="0.3">
      <c r="A115" s="7" t="str">
        <f t="shared" si="15"/>
        <v>TR-1114</v>
      </c>
      <c r="B115" s="157">
        <v>47295135</v>
      </c>
      <c r="C115" s="162" t="s">
        <v>417</v>
      </c>
      <c r="D115" s="97">
        <v>30431</v>
      </c>
      <c r="E115" s="114">
        <f t="shared" ca="1" si="16"/>
        <v>42</v>
      </c>
      <c r="F115" s="97" t="s">
        <v>32</v>
      </c>
      <c r="G115" s="116" t="s">
        <v>512</v>
      </c>
      <c r="H115" s="116" t="s">
        <v>506</v>
      </c>
      <c r="I115" s="116" t="s">
        <v>587</v>
      </c>
      <c r="J115" s="97"/>
      <c r="K115" s="97" t="s">
        <v>47</v>
      </c>
      <c r="L115" s="97">
        <v>45323</v>
      </c>
      <c r="M115" s="97" cm="1">
        <f t="array" ref="M115">_xlfn.XLOOKUP(B115&amp;"", 'Registro EMO'!$C$13:$C$4558&amp;"", 'Registro EMO'!$F$13:$F$4558, "Sin registro", 0, -1)</f>
        <v>46069</v>
      </c>
      <c r="N115" s="11" t="str" cm="1">
        <f t="array" ref="N115">_xlfn.XLOOKUP(B115&amp;"", 'Registro EMO'!$C$13:$C$4558&amp;"", 'Registro EMO'!$E$13:$E$4558, "Sin registro", 0, -1)</f>
        <v>Pre-Ocupacional</v>
      </c>
      <c r="O115" s="11" t="str">
        <f t="shared" si="17"/>
        <v>SI</v>
      </c>
      <c r="P115" s="97" cm="1">
        <f t="array" ref="P115">_xlfn.LET(
    _xlpm.resultado, _xlfn.XLOOKUP(B115&amp;"", 'Registro EMO'!$C$13:$C$4558&amp;"", 'Registro EMO'!$I$13:$I$4558, "NO", 0, -1),
    IF(_xlpm.resultado=0, "NO", _xlpm.resultado)
)</f>
        <v>46070</v>
      </c>
      <c r="Q115" s="11" t="str">
        <f t="shared" ca="1" si="18"/>
        <v>Vigente</v>
      </c>
      <c r="R115" s="97"/>
      <c r="S115" s="11" t="s">
        <v>611</v>
      </c>
      <c r="T115" s="11" t="str">
        <f t="shared" si="19"/>
        <v/>
      </c>
      <c r="U115" s="97"/>
      <c r="V115" s="100"/>
      <c r="W115" s="7"/>
      <c r="X115" s="137"/>
      <c r="Y115" s="11"/>
      <c r="Z115" s="11"/>
      <c r="AA115" s="11"/>
      <c r="AB115" s="11"/>
      <c r="AC115" s="11"/>
      <c r="AD115" s="11"/>
      <c r="AE115" s="11"/>
      <c r="AF115" s="11"/>
      <c r="AG115" s="101"/>
      <c r="AH115" s="11" t="s">
        <v>36</v>
      </c>
    </row>
    <row r="116" spans="1:34" x14ac:dyDescent="0.3">
      <c r="A116" s="7" t="str">
        <f t="shared" si="15"/>
        <v>TR-1115</v>
      </c>
      <c r="B116" s="157">
        <v>43754165</v>
      </c>
      <c r="C116" s="162" t="s">
        <v>418</v>
      </c>
      <c r="D116" s="97">
        <v>33983</v>
      </c>
      <c r="E116" s="114">
        <f t="shared" ca="1" si="16"/>
        <v>33</v>
      </c>
      <c r="F116" s="97" t="s">
        <v>32</v>
      </c>
      <c r="G116" s="116" t="s">
        <v>512</v>
      </c>
      <c r="H116" s="116" t="s">
        <v>491</v>
      </c>
      <c r="I116" s="116" t="s">
        <v>441</v>
      </c>
      <c r="J116" s="97"/>
      <c r="K116" s="97" t="s">
        <v>34</v>
      </c>
      <c r="L116" s="97">
        <v>45677</v>
      </c>
      <c r="M116" s="97" cm="1">
        <f t="array" ref="M116">_xlfn.XLOOKUP(B116&amp;"", 'Registro EMO'!$C$13:$C$4558&amp;"", 'Registro EMO'!$F$13:$F$4558, "Sin registro", 0, -1)</f>
        <v>45966</v>
      </c>
      <c r="N116" s="11" t="str" cm="1">
        <f t="array" ref="N116">_xlfn.XLOOKUP(B116&amp;"", 'Registro EMO'!$C$13:$C$4558&amp;"", 'Registro EMO'!$E$13:$E$4558, "Sin registro", 0, -1)</f>
        <v>Periódicos</v>
      </c>
      <c r="O116" s="11" t="str">
        <f t="shared" si="17"/>
        <v>SI</v>
      </c>
      <c r="P116" s="97" cm="1">
        <f t="array" ref="P116">_xlfn.LET(
    _xlpm.resultado, _xlfn.XLOOKUP(B116&amp;"", 'Registro EMO'!$C$13:$C$4558&amp;"", 'Registro EMO'!$I$13:$I$4558, "NO", 0, -1),
    IF(_xlpm.resultado=0, "NO", _xlpm.resultado)
)</f>
        <v>45995</v>
      </c>
      <c r="Q116" s="11" t="str">
        <f t="shared" ca="1" si="18"/>
        <v>Vigente</v>
      </c>
      <c r="R116" s="97"/>
      <c r="S116" s="11"/>
      <c r="T116" s="11" t="str">
        <f t="shared" si="19"/>
        <v/>
      </c>
      <c r="U116" s="97"/>
      <c r="V116" s="135" t="s">
        <v>35</v>
      </c>
      <c r="W116" s="7" t="s">
        <v>600</v>
      </c>
      <c r="X116" s="137"/>
      <c r="Y116" s="11"/>
      <c r="Z116" s="11"/>
      <c r="AA116" s="11"/>
      <c r="AB116" s="11"/>
      <c r="AC116" s="11"/>
      <c r="AD116" s="11"/>
      <c r="AE116" s="11"/>
      <c r="AF116" s="11"/>
      <c r="AG116" s="101"/>
      <c r="AH116" s="11" t="s">
        <v>36</v>
      </c>
    </row>
    <row r="117" spans="1:34" x14ac:dyDescent="0.3">
      <c r="A117" s="7" t="str">
        <f t="shared" si="15"/>
        <v>TR-1116</v>
      </c>
      <c r="B117" s="157">
        <v>74352038</v>
      </c>
      <c r="C117" s="162" t="s">
        <v>419</v>
      </c>
      <c r="D117" s="97">
        <v>25875</v>
      </c>
      <c r="E117" s="114">
        <f t="shared" ca="1" si="16"/>
        <v>55</v>
      </c>
      <c r="F117" s="97" t="s">
        <v>32</v>
      </c>
      <c r="G117" s="116" t="s">
        <v>512</v>
      </c>
      <c r="H117" s="116" t="s">
        <v>494</v>
      </c>
      <c r="I117" s="116" t="s">
        <v>481</v>
      </c>
      <c r="J117" s="97"/>
      <c r="K117" s="97" t="s">
        <v>34</v>
      </c>
      <c r="L117" s="97">
        <v>45327</v>
      </c>
      <c r="M117" s="97" cm="1">
        <f t="array" ref="M117">_xlfn.XLOOKUP(B117&amp;"", 'Registro EMO'!$C$13:$C$4558&amp;"", 'Registro EMO'!$F$13:$F$4558, "Sin registro", 0, -1)</f>
        <v>45966</v>
      </c>
      <c r="N117" s="11" t="str" cm="1">
        <f t="array" ref="N117">_xlfn.XLOOKUP(B117&amp;"", 'Registro EMO'!$C$13:$C$4558&amp;"", 'Registro EMO'!$E$13:$E$4558, "Sin registro", 0, -1)</f>
        <v>Pre-Ocupacional</v>
      </c>
      <c r="O117" s="11" t="str">
        <f t="shared" si="17"/>
        <v>NO</v>
      </c>
      <c r="P117" s="166" t="str" cm="1">
        <f t="array" ref="P117">_xlfn.LET(
    _xlpm.resultado, _xlfn.XLOOKUP(B117&amp;"", 'Registro EMO'!$C$13:$C$4558&amp;"", 'Registro EMO'!$I$13:$I$4558, "NO", 0, -1),
    IF(_xlpm.resultado=0, "NO", _xlpm.resultado)
)</f>
        <v>NO</v>
      </c>
      <c r="Q117" s="11" t="str">
        <f t="shared" ca="1" si="18"/>
        <v>Vigente</v>
      </c>
      <c r="R117" s="97"/>
      <c r="S117" s="11"/>
      <c r="T117" s="11" t="str">
        <f t="shared" si="19"/>
        <v/>
      </c>
      <c r="U117" s="97"/>
      <c r="V117" s="134" t="s">
        <v>38</v>
      </c>
      <c r="W117" s="7" t="s">
        <v>39</v>
      </c>
      <c r="X117" s="137"/>
      <c r="Y117" s="11"/>
      <c r="Z117" s="11"/>
      <c r="AA117" s="11"/>
      <c r="AB117" s="11"/>
      <c r="AC117" s="11"/>
      <c r="AD117" s="11"/>
      <c r="AE117" s="11"/>
      <c r="AF117" s="11"/>
      <c r="AG117" s="101"/>
      <c r="AH117" s="11" t="s">
        <v>36</v>
      </c>
    </row>
    <row r="118" spans="1:34" x14ac:dyDescent="0.3">
      <c r="A118" s="7" t="str">
        <f t="shared" si="15"/>
        <v>TR-1117</v>
      </c>
      <c r="B118" s="157">
        <v>21121185</v>
      </c>
      <c r="C118" s="144" t="s">
        <v>420</v>
      </c>
      <c r="D118" s="97">
        <v>28593</v>
      </c>
      <c r="E118" s="114">
        <f t="shared" ca="1" si="16"/>
        <v>47</v>
      </c>
      <c r="F118" s="97" t="s">
        <v>32</v>
      </c>
      <c r="G118" s="116" t="s">
        <v>512</v>
      </c>
      <c r="H118" s="138" t="s">
        <v>491</v>
      </c>
      <c r="I118" s="116" t="s">
        <v>468</v>
      </c>
      <c r="J118" s="97"/>
      <c r="K118" s="97" t="s">
        <v>34</v>
      </c>
      <c r="L118" s="97">
        <v>44992</v>
      </c>
      <c r="M118" s="97" cm="1">
        <f t="array" ref="M118">_xlfn.XLOOKUP(B118&amp;"", 'Registro EMO'!$C$13:$C$4558&amp;"", 'Registro EMO'!$F$13:$F$4558, "Sin registro", 0, -1)</f>
        <v>45966</v>
      </c>
      <c r="N118" s="11" t="str" cm="1">
        <f t="array" ref="N118">_xlfn.XLOOKUP(B118&amp;"", 'Registro EMO'!$C$13:$C$4558&amp;"", 'Registro EMO'!$E$13:$E$4558, "Sin registro", 0, -1)</f>
        <v>Periódicos</v>
      </c>
      <c r="O118" s="11" t="str">
        <f t="shared" si="17"/>
        <v>SI</v>
      </c>
      <c r="P118" s="97" cm="1">
        <f t="array" ref="P118">_xlfn.LET(
    _xlpm.resultado, _xlfn.XLOOKUP(B118&amp;"", 'Registro EMO'!$C$13:$C$4558&amp;"", 'Registro EMO'!$I$13:$I$4558, "NO", 0, -1),
    IF(_xlpm.resultado=0, "NO", _xlpm.resultado)
)</f>
        <v>45995</v>
      </c>
      <c r="Q118" s="11" t="str">
        <f t="shared" ca="1" si="18"/>
        <v>Vigente</v>
      </c>
      <c r="R118" s="97"/>
      <c r="S118" s="11"/>
      <c r="T118" s="11" t="str">
        <f t="shared" si="19"/>
        <v/>
      </c>
      <c r="U118" s="97"/>
      <c r="V118" s="134" t="s">
        <v>520</v>
      </c>
      <c r="W118" s="7" t="s">
        <v>39</v>
      </c>
      <c r="X118" s="137"/>
      <c r="Y118" s="11"/>
      <c r="Z118" s="11"/>
      <c r="AA118" s="11"/>
      <c r="AB118" s="11"/>
      <c r="AC118" s="11"/>
      <c r="AD118" s="11"/>
      <c r="AE118" s="11"/>
      <c r="AF118" s="11"/>
      <c r="AG118" s="101"/>
      <c r="AH118" s="11" t="s">
        <v>36</v>
      </c>
    </row>
    <row r="119" spans="1:34" x14ac:dyDescent="0.3">
      <c r="C119" s="143"/>
    </row>
    <row r="120" spans="1:34" x14ac:dyDescent="0.3">
      <c r="C120" s="143"/>
    </row>
    <row r="121" spans="1:34" x14ac:dyDescent="0.3">
      <c r="C121" s="143"/>
    </row>
    <row r="122" spans="1:34" x14ac:dyDescent="0.3">
      <c r="C122" s="143"/>
      <c r="E122" s="131"/>
    </row>
    <row r="123" spans="1:34" x14ac:dyDescent="0.3">
      <c r="C123" s="143"/>
    </row>
    <row r="124" spans="1:34" x14ac:dyDescent="0.3">
      <c r="C124" s="143"/>
    </row>
    <row r="125" spans="1:34" x14ac:dyDescent="0.3">
      <c r="C125" s="143"/>
    </row>
    <row r="126" spans="1:34" x14ac:dyDescent="0.3">
      <c r="C126" s="143"/>
    </row>
    <row r="127" spans="1:34" x14ac:dyDescent="0.3">
      <c r="C127" s="143"/>
    </row>
    <row r="128" spans="1:34" x14ac:dyDescent="0.3">
      <c r="C128" s="143"/>
    </row>
    <row r="129" spans="3:3" x14ac:dyDescent="0.3">
      <c r="C129" s="143"/>
    </row>
    <row r="130" spans="3:3" x14ac:dyDescent="0.3">
      <c r="C130" s="143"/>
    </row>
    <row r="131" spans="3:3" x14ac:dyDescent="0.3">
      <c r="C131" s="143"/>
    </row>
    <row r="132" spans="3:3" x14ac:dyDescent="0.3">
      <c r="C132" s="143"/>
    </row>
    <row r="133" spans="3:3" x14ac:dyDescent="0.3">
      <c r="C133" s="143"/>
    </row>
    <row r="134" spans="3:3" x14ac:dyDescent="0.3">
      <c r="C134" s="143"/>
    </row>
    <row r="135" spans="3:3" x14ac:dyDescent="0.3">
      <c r="C135" s="143"/>
    </row>
    <row r="136" spans="3:3" x14ac:dyDescent="0.3">
      <c r="C136" s="143"/>
    </row>
    <row r="137" spans="3:3" x14ac:dyDescent="0.3">
      <c r="C137" s="143"/>
    </row>
    <row r="138" spans="3:3" x14ac:dyDescent="0.3">
      <c r="C138" s="143"/>
    </row>
    <row r="139" spans="3:3" x14ac:dyDescent="0.3">
      <c r="C139" s="143"/>
    </row>
    <row r="140" spans="3:3" x14ac:dyDescent="0.3">
      <c r="C140" s="143"/>
    </row>
    <row r="141" spans="3:3" x14ac:dyDescent="0.3">
      <c r="C141" s="143"/>
    </row>
    <row r="142" spans="3:3" x14ac:dyDescent="0.3">
      <c r="C142" s="143"/>
    </row>
    <row r="143" spans="3:3" x14ac:dyDescent="0.3">
      <c r="C143" s="143"/>
    </row>
    <row r="144" spans="3:3" x14ac:dyDescent="0.3">
      <c r="C144" s="143"/>
    </row>
    <row r="145" spans="3:3" x14ac:dyDescent="0.3">
      <c r="C145" s="143"/>
    </row>
    <row r="146" spans="3:3" x14ac:dyDescent="0.3">
      <c r="C146" s="143"/>
    </row>
    <row r="147" spans="3:3" x14ac:dyDescent="0.3">
      <c r="C147" s="143"/>
    </row>
    <row r="148" spans="3:3" x14ac:dyDescent="0.3">
      <c r="C148" s="143"/>
    </row>
    <row r="149" spans="3:3" x14ac:dyDescent="0.3">
      <c r="C149" s="143"/>
    </row>
    <row r="150" spans="3:3" x14ac:dyDescent="0.3">
      <c r="C150" s="143"/>
    </row>
    <row r="151" spans="3:3" x14ac:dyDescent="0.3">
      <c r="C151" s="143"/>
    </row>
    <row r="152" spans="3:3" x14ac:dyDescent="0.3">
      <c r="C152" s="143"/>
    </row>
    <row r="153" spans="3:3" x14ac:dyDescent="0.3">
      <c r="C153" s="143"/>
    </row>
    <row r="154" spans="3:3" x14ac:dyDescent="0.3">
      <c r="C154" s="143"/>
    </row>
    <row r="155" spans="3:3" x14ac:dyDescent="0.3">
      <c r="C155" s="143"/>
    </row>
    <row r="156" spans="3:3" x14ac:dyDescent="0.3">
      <c r="C156" s="143"/>
    </row>
    <row r="157" spans="3:3" x14ac:dyDescent="0.3">
      <c r="C157" s="143"/>
    </row>
    <row r="158" spans="3:3" x14ac:dyDescent="0.3">
      <c r="C158" s="143"/>
    </row>
    <row r="159" spans="3:3" x14ac:dyDescent="0.3">
      <c r="C159" s="143"/>
    </row>
  </sheetData>
  <phoneticPr fontId="8" type="noConversion"/>
  <dataValidations count="5">
    <dataValidation type="list" allowBlank="1" showInputMessage="1" showErrorMessage="1" sqref="K2:K118" xr:uid="{00000000-0002-0000-0000-000000000000}">
      <formula1>"Oficina, Técnico"</formula1>
    </dataValidation>
    <dataValidation type="list" allowBlank="1" showInputMessage="1" showErrorMessage="1" sqref="V2:V118" xr:uid="{00000000-0002-0000-0000-000001000000}">
      <formula1>"Apto,Apto con Restricción, No Apto, Observado"</formula1>
    </dataValidation>
    <dataValidation type="list" allowBlank="1" showInputMessage="1" showErrorMessage="1" sqref="Y2:Y118" xr:uid="{76673A38-D6BD-4C78-85A9-D4D5A9DF9B0C}">
      <formula1>"Visual,Auditivo,Ergonomía,Vida Saludable,Gestante,Respiratorio"</formula1>
    </dataValidation>
    <dataValidation type="list" allowBlank="1" showInputMessage="1" showErrorMessage="1" sqref="AF2:AF1048576" xr:uid="{6FE1F3C2-2774-4F2D-85C1-06EA1BA9AFB0}">
      <formula1>"GOLPE DE CALOR, VIGILANCIA, ERGONOMIA, TME, PSICOSOCIAL, SALUD OCUPACIONAL"</formula1>
    </dataValidation>
    <dataValidation type="list" allowBlank="1" showInputMessage="1" showErrorMessage="1" sqref="S1:S1048576" xr:uid="{51E7D26A-348D-4498-A9CC-4EF63996724F}">
      <formula1>"Pre-Ocupacional,Periódicos,Cambio Puesto de Trabajo, Reincorporación,Retiro"</formula1>
    </dataValidation>
  </dataValidations>
  <pageMargins left="0.75" right="0.75" top="1" bottom="1" header="0.5" footer="0.5"/>
  <pageSetup paperSize="9" orientation="portrait"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2CEFE88-DB8F-491C-9F95-B8A80AB15659}">
          <x14:formula1>
            <xm:f>ListasAuxiliares!$D$2:$D$6</xm:f>
          </x14:formula1>
          <xm:sqref>G2:G118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tabColor rgb="FFFF0000"/>
  </sheetPr>
  <dimension ref="A1:O2"/>
  <sheetViews>
    <sheetView zoomScale="86" zoomScaleNormal="86" workbookViewId="0">
      <pane ySplit="1" topLeftCell="A2" activePane="bottomLeft" state="frozen"/>
      <selection activeCell="D19" sqref="D19"/>
      <selection pane="bottomLeft" activeCell="B2" sqref="B2"/>
    </sheetView>
  </sheetViews>
  <sheetFormatPr baseColWidth="10" defaultColWidth="8.88671875" defaultRowHeight="14.4" x14ac:dyDescent="0.3"/>
  <cols>
    <col min="1" max="1" width="13" style="2" customWidth="1"/>
    <col min="2" max="2" width="25.6640625" style="2" customWidth="1"/>
    <col min="3" max="3" width="15.6640625" style="2" customWidth="1"/>
    <col min="4" max="4" width="17.6640625" style="4" customWidth="1"/>
    <col min="5" max="10" width="22.6640625" style="36" customWidth="1"/>
    <col min="11" max="11" width="40.6640625" style="18" customWidth="1"/>
    <col min="12" max="12" width="15.6640625" style="25" customWidth="1"/>
    <col min="13" max="14" width="15.6640625" style="25" hidden="1" customWidth="1"/>
    <col min="15" max="15" width="20.6640625" style="25" hidden="1" customWidth="1"/>
  </cols>
  <sheetData>
    <row r="1" spans="1:15" ht="40.200000000000003" customHeight="1" x14ac:dyDescent="0.3">
      <c r="A1" s="8" t="s">
        <v>100</v>
      </c>
      <c r="B1" s="8" t="s">
        <v>2</v>
      </c>
      <c r="C1" s="8" t="s">
        <v>1</v>
      </c>
      <c r="D1" s="76" t="s">
        <v>101</v>
      </c>
      <c r="E1" s="10" t="s">
        <v>102</v>
      </c>
      <c r="F1" s="10" t="s">
        <v>103</v>
      </c>
      <c r="G1" s="10" t="s">
        <v>104</v>
      </c>
      <c r="H1" s="10" t="s">
        <v>105</v>
      </c>
      <c r="I1" s="10" t="s">
        <v>106</v>
      </c>
      <c r="J1" s="10" t="s">
        <v>107</v>
      </c>
      <c r="K1" s="50" t="s">
        <v>108</v>
      </c>
      <c r="L1" s="50" t="s">
        <v>109</v>
      </c>
      <c r="M1" s="50" t="s">
        <v>110</v>
      </c>
      <c r="N1" s="50" t="s">
        <v>111</v>
      </c>
      <c r="O1" s="50" t="s">
        <v>112</v>
      </c>
    </row>
    <row r="2" spans="1:15" ht="43.2" customHeight="1" x14ac:dyDescent="0.3">
      <c r="A2" s="11" t="str">
        <f>IF(B2&lt;&gt;"", "ACC-" &amp; TEXT(4000 + ROW(A2) - 1, "0000"), "")</f>
        <v>ACC-4001</v>
      </c>
      <c r="B2" s="7" t="s">
        <v>314</v>
      </c>
      <c r="C2" s="11">
        <v>74046340</v>
      </c>
      <c r="D2" s="97">
        <v>46075</v>
      </c>
      <c r="E2" s="29" t="s">
        <v>618</v>
      </c>
      <c r="F2" s="29"/>
      <c r="G2" s="29"/>
      <c r="H2" s="29"/>
      <c r="I2" s="29"/>
      <c r="J2" s="29"/>
      <c r="K2" s="29"/>
      <c r="L2" s="29"/>
      <c r="M2" s="29"/>
      <c r="N2" s="29"/>
      <c r="O2" s="29"/>
    </row>
  </sheetData>
  <dataValidations count="1">
    <dataValidation type="list" allowBlank="1" showInputMessage="1" showErrorMessage="1" sqref="L2" xr:uid="{37530AF3-56A9-4DE8-865F-5C023784A3A9}">
      <formula1>"Descanso Médico, Licencia con Goce de Haber"</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tabColor rgb="FFFF0000"/>
  </sheetPr>
  <dimension ref="A1:P7"/>
  <sheetViews>
    <sheetView workbookViewId="0">
      <pane ySplit="1" topLeftCell="A2" activePane="bottomLeft" state="frozen"/>
      <selection activeCell="D19" sqref="D19"/>
      <selection pane="bottomLeft" activeCell="Q15" sqref="Q15"/>
    </sheetView>
  </sheetViews>
  <sheetFormatPr baseColWidth="10" defaultColWidth="8.88671875" defaultRowHeight="14.4" x14ac:dyDescent="0.3"/>
  <cols>
    <col min="1" max="1" width="12" style="2" customWidth="1"/>
    <col min="2" max="2" width="25.6640625" style="2" customWidth="1"/>
    <col min="3" max="3" width="15.6640625" style="2" customWidth="1"/>
    <col min="4" max="4" width="17.6640625" style="1" customWidth="1"/>
    <col min="5" max="5" width="14" style="5" customWidth="1"/>
    <col min="6" max="9" width="15.6640625" hidden="1" customWidth="1"/>
    <col min="10" max="12" width="20.6640625" hidden="1" customWidth="1"/>
    <col min="13" max="16" width="15.6640625" hidden="1" customWidth="1"/>
    <col min="17" max="21" width="8.88671875" customWidth="1"/>
  </cols>
  <sheetData>
    <row r="1" spans="1:16" ht="40.200000000000003" customHeight="1" x14ac:dyDescent="0.3">
      <c r="A1" s="10" t="s">
        <v>113</v>
      </c>
      <c r="B1" s="10" t="s">
        <v>2</v>
      </c>
      <c r="C1" s="10" t="s">
        <v>1</v>
      </c>
      <c r="D1" s="33" t="s">
        <v>101</v>
      </c>
      <c r="E1" s="10" t="s">
        <v>114</v>
      </c>
      <c r="F1" s="50" t="s">
        <v>104</v>
      </c>
      <c r="G1" s="50" t="s">
        <v>115</v>
      </c>
      <c r="H1" s="34" t="s">
        <v>100</v>
      </c>
      <c r="I1" s="34" t="s">
        <v>116</v>
      </c>
      <c r="J1" s="34" t="s">
        <v>117</v>
      </c>
      <c r="K1" s="34" t="s">
        <v>118</v>
      </c>
      <c r="L1" s="34" t="s">
        <v>105</v>
      </c>
      <c r="M1" s="34" t="s">
        <v>109</v>
      </c>
      <c r="N1" s="34" t="s">
        <v>119</v>
      </c>
      <c r="O1" s="34" t="s">
        <v>111</v>
      </c>
      <c r="P1" s="34" t="s">
        <v>112</v>
      </c>
    </row>
    <row r="2" spans="1:16" x14ac:dyDescent="0.3">
      <c r="A2" s="11" t="str">
        <f>IF(B2&lt;&gt;"", "ATE-" &amp; TEXT(5000 + ROW(A2) - 1, "0000"), "")</f>
        <v/>
      </c>
      <c r="B2" s="7"/>
      <c r="C2" s="11"/>
      <c r="D2" s="97"/>
      <c r="E2" s="12"/>
      <c r="F2" s="12"/>
      <c r="G2" s="12"/>
      <c r="H2" s="35"/>
      <c r="I2" s="35"/>
      <c r="J2" s="35"/>
      <c r="K2" s="35"/>
      <c r="L2" s="35"/>
      <c r="M2" s="35"/>
      <c r="N2" s="35"/>
      <c r="O2" s="35"/>
      <c r="P2" s="35"/>
    </row>
    <row r="3" spans="1:16" x14ac:dyDescent="0.3">
      <c r="A3" s="11"/>
      <c r="B3" s="7"/>
      <c r="C3" s="11"/>
      <c r="D3" s="97"/>
      <c r="E3" s="12"/>
      <c r="F3" s="12"/>
      <c r="G3" s="12"/>
      <c r="H3" s="35"/>
      <c r="I3" s="35"/>
      <c r="J3" s="35"/>
      <c r="K3" s="35"/>
      <c r="L3" s="35"/>
      <c r="M3" s="35"/>
      <c r="N3" s="35"/>
      <c r="O3" s="35"/>
      <c r="P3" s="35"/>
    </row>
    <row r="4" spans="1:16" x14ac:dyDescent="0.3">
      <c r="A4" s="11"/>
      <c r="B4" s="7"/>
      <c r="C4" s="11"/>
      <c r="D4" s="97"/>
      <c r="E4" s="12"/>
      <c r="F4" s="12"/>
      <c r="G4" s="12"/>
      <c r="H4" s="35"/>
      <c r="I4" s="35"/>
      <c r="J4" s="35"/>
      <c r="K4" s="35"/>
      <c r="L4" s="35"/>
      <c r="M4" s="35"/>
      <c r="N4" s="35"/>
      <c r="O4" s="35"/>
      <c r="P4" s="35"/>
    </row>
    <row r="5" spans="1:16" x14ac:dyDescent="0.3">
      <c r="A5" s="11"/>
      <c r="B5" s="7"/>
      <c r="C5" s="11"/>
      <c r="D5" s="97"/>
      <c r="E5" s="12"/>
      <c r="F5" s="12"/>
      <c r="G5" s="12"/>
      <c r="H5" s="35"/>
      <c r="I5" s="35"/>
      <c r="J5" s="35"/>
      <c r="K5" s="35"/>
      <c r="L5" s="35"/>
      <c r="M5" s="35"/>
      <c r="N5" s="35"/>
      <c r="O5" s="35"/>
      <c r="P5" s="35"/>
    </row>
    <row r="6" spans="1:16" x14ac:dyDescent="0.3">
      <c r="A6" s="11"/>
      <c r="B6" s="7"/>
      <c r="C6" s="11"/>
      <c r="D6" s="97"/>
      <c r="E6" s="12"/>
      <c r="F6" s="12"/>
      <c r="G6" s="12"/>
      <c r="H6" s="35"/>
      <c r="I6" s="35"/>
      <c r="J6" s="35"/>
      <c r="K6" s="35"/>
      <c r="L6" s="35"/>
      <c r="M6" s="35"/>
      <c r="N6" s="35"/>
      <c r="O6" s="35"/>
      <c r="P6" s="35"/>
    </row>
    <row r="7" spans="1:16" x14ac:dyDescent="0.3">
      <c r="A7" s="11"/>
      <c r="B7" s="7"/>
      <c r="C7" s="11"/>
      <c r="D7" s="97"/>
      <c r="E7" s="12"/>
      <c r="F7" s="12"/>
      <c r="G7" s="12"/>
      <c r="H7" s="35"/>
      <c r="I7" s="35"/>
      <c r="J7" s="35"/>
      <c r="K7" s="35"/>
      <c r="L7" s="35"/>
      <c r="M7" s="35"/>
      <c r="N7" s="35"/>
      <c r="O7" s="35"/>
      <c r="P7" s="35"/>
    </row>
  </sheetData>
  <phoneticPr fontId="8" type="noConversion"/>
  <dataValidations count="2">
    <dataValidation type="list" allowBlank="1" showInputMessage="1" showErrorMessage="1" sqref="E2:E7" xr:uid="{B1E054F4-17CE-410A-A810-7D28E49A17B2}">
      <formula1>"Rutina, Accidente"</formula1>
    </dataValidation>
    <dataValidation type="list" allowBlank="1" showInputMessage="1" showErrorMessage="1" sqref="M2:M7" xr:uid="{D0158EBC-C5AA-4139-A41D-5CC448BE2EC4}">
      <formula1>"Descanso Médico, Licencia con Goce de Haber"</formula1>
    </dataValidation>
  </dataValidations>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tabColor rgb="FFFF0000"/>
  </sheetPr>
  <dimension ref="A1:E2"/>
  <sheetViews>
    <sheetView workbookViewId="0">
      <pane ySplit="1" topLeftCell="A2" activePane="bottomLeft" state="frozen"/>
      <selection activeCell="D19" sqref="D19"/>
      <selection pane="bottomLeft" activeCell="C2" sqref="C2"/>
    </sheetView>
  </sheetViews>
  <sheetFormatPr baseColWidth="10" defaultColWidth="8.88671875" defaultRowHeight="14.4" x14ac:dyDescent="0.3"/>
  <cols>
    <col min="1" max="1" width="14" style="1" customWidth="1"/>
    <col min="2" max="2" width="25.6640625" style="1" customWidth="1"/>
    <col min="3" max="3" width="15.6640625" style="24" customWidth="1"/>
    <col min="4" max="4" width="13" style="5" customWidth="1"/>
    <col min="5" max="5" width="17.6640625" style="1" customWidth="1"/>
  </cols>
  <sheetData>
    <row r="1" spans="1:5" x14ac:dyDescent="0.3">
      <c r="A1" s="10" t="s">
        <v>120</v>
      </c>
      <c r="B1" s="10" t="s">
        <v>2</v>
      </c>
      <c r="C1" s="10" t="s">
        <v>1</v>
      </c>
      <c r="D1" s="10" t="s">
        <v>121</v>
      </c>
      <c r="E1" s="33" t="s">
        <v>101</v>
      </c>
    </row>
    <row r="2" spans="1:5" x14ac:dyDescent="0.3">
      <c r="A2" s="1" t="str">
        <f>IF(B2&lt;&gt;"", "VAC-" &amp; TEXT(10000 + ROW(A2) - 1, "0000"), "")</f>
        <v/>
      </c>
      <c r="C2" s="1" t="str">
        <f>IF(B2="", "", _xlfn.XLOOKUP(B2, tbl_Trabajadores[Nombre], tbl_Trabajadores[DNI], ""))</f>
        <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EF992-F2EC-48E7-BAA0-FB180A52D8D6}">
  <sheetPr codeName="Hoja15">
    <tabColor rgb="FF00B0F0"/>
  </sheetPr>
  <dimension ref="A1:X331"/>
  <sheetViews>
    <sheetView tabSelected="1" topLeftCell="A12" zoomScale="85" zoomScaleNormal="85" workbookViewId="0">
      <selection activeCell="Q9" sqref="Q9"/>
    </sheetView>
  </sheetViews>
  <sheetFormatPr baseColWidth="10" defaultColWidth="11.44140625" defaultRowHeight="14.4" x14ac:dyDescent="0.3"/>
  <cols>
    <col min="1" max="1" width="18.77734375" customWidth="1"/>
    <col min="2" max="2" width="17.88671875" bestFit="1" customWidth="1"/>
    <col min="3" max="3" width="30.88671875" bestFit="1" customWidth="1"/>
    <col min="4" max="4" width="17.88671875" bestFit="1" customWidth="1"/>
    <col min="5" max="5" width="15.6640625" customWidth="1"/>
    <col min="6" max="6" width="16.6640625" customWidth="1"/>
    <col min="7" max="12" width="25.6640625" customWidth="1"/>
    <col min="13" max="14" width="30.6640625" customWidth="1"/>
    <col min="15" max="17" width="15.6640625" customWidth="1"/>
    <col min="18" max="19" width="25.6640625" customWidth="1"/>
    <col min="20" max="20" width="20.6640625" customWidth="1"/>
    <col min="21" max="22" width="15.6640625" customWidth="1"/>
    <col min="23" max="24" width="25.6640625" customWidth="1"/>
  </cols>
  <sheetData>
    <row r="1" spans="1:24" ht="18" customHeight="1" x14ac:dyDescent="0.3">
      <c r="A1" s="172" t="str">
        <f>IFERROR(C329, "Seleccione Obra")</f>
        <v>LABORATORIOS DROGAVET S.A.C.</v>
      </c>
      <c r="B1" s="173"/>
      <c r="C1" s="173"/>
      <c r="D1" s="173"/>
      <c r="E1" s="173"/>
      <c r="F1" s="173"/>
      <c r="G1" s="173"/>
      <c r="H1" s="173"/>
      <c r="I1" s="173"/>
      <c r="J1" s="173"/>
      <c r="K1" s="174"/>
    </row>
    <row r="4" spans="1:24" ht="28.8" x14ac:dyDescent="0.3">
      <c r="A4" s="51" t="s">
        <v>122</v>
      </c>
      <c r="B4" s="105" t="s">
        <v>123</v>
      </c>
      <c r="C4" s="105" t="s">
        <v>124</v>
      </c>
      <c r="D4" s="105" t="s">
        <v>125</v>
      </c>
      <c r="E4" s="105" t="s">
        <v>126</v>
      </c>
      <c r="F4" s="105" t="s">
        <v>127</v>
      </c>
      <c r="G4" s="51" t="s">
        <v>128</v>
      </c>
      <c r="H4" s="105" t="s">
        <v>129</v>
      </c>
      <c r="I4" s="51" t="s">
        <v>130</v>
      </c>
      <c r="J4" s="105" t="s">
        <v>131</v>
      </c>
      <c r="K4" s="105" t="s">
        <v>132</v>
      </c>
    </row>
    <row r="5" spans="1:24" ht="25.2" customHeight="1" x14ac:dyDescent="0.3">
      <c r="A5" s="104" t="s">
        <v>133</v>
      </c>
      <c r="B5" s="96" cm="1">
        <f t="array" ref="B5">SUMPRODUCT((Trabajadores!$G:$G = STATS!$A$1) * (IFERROR(MONTH(Trabajadores!$L:$L), 0) = 1) * (IFERROR(YEAR(Trabajadores!$L:$L), 0) = $G$8))</f>
        <v>3</v>
      </c>
      <c r="C5" s="96" cm="1">
        <f t="array" ref="C5">SUMPRODUCT((Historial_Trabajadores!$E:$E = STATS!$A$1) * ((IFERROR(YEAR(Historial_Trabajadores!$F:$F), 0) &lt; $G$8) + ((IFERROR(YEAR(Historial_Trabajadores!$F:$F), 0) = $G$8) * (IFERROR(MONTH(Historial_Trabajadores!$F:$F), 0) &lt;= 1))) * ((Historial_Trabajadores!$G:$G = "") + (IFERROR(YEAR(Historial_Trabajadores!$G:$G), 0) &gt; $G$8) + ((IFERROR(YEAR(Historial_Trabajadores!$G:$G), 0) = $G$8) * (IFERROR(MONTH(Historial_Trabajadores!$G:$G), 0) &gt; 1))))</f>
        <v>73</v>
      </c>
      <c r="D5" s="96" cm="1">
        <f t="array" ref="D5">SUMPRODUCT((Trabajadores!$G:$G = STATS!$A$1) * (IFERROR(MONTH(Trabajadores!$M:$M), 0) = 1) * (IFERROR(YEAR(Trabajadores!$M:$M), 0) = $G$8))</f>
        <v>0</v>
      </c>
      <c r="E5" s="146">
        <f>IFERROR(D5 / B17, 0)</f>
        <v>0</v>
      </c>
      <c r="F5" s="96" cm="1">
        <f t="array" ref="F5">SUMPRODUCT((Trabajadores!$G:$G = STATS!$A$1) * (Trabajadores!$O:$O = "SI") * (IFERROR(MONTH(Trabajadores!$P:$P), 0) = 1) * (IFERROR(YEAR(Trabajadores!$P:$P), 0) = $G$8))</f>
        <v>0</v>
      </c>
      <c r="G5" s="52" cm="1">
        <f t="array" ref="G5">SUMPRODUCT((Trabajadores!$G:$G = STATS!$A$1) * (Trabajadores!$M:$M = "Sin registro"))</f>
        <v>0</v>
      </c>
      <c r="H5" s="53">
        <f>COUNTIFS(Trabajadores!$G:$G, STATS!A1, Trabajadores!$O:$O, "NO")</f>
        <v>8</v>
      </c>
      <c r="I5" s="55">
        <f ca="1">COUNTIFS(Trabajadores!$G:$G, STATS!A1, Trabajadores!$Q:$Q, "Vigente")</f>
        <v>114</v>
      </c>
      <c r="J5" s="53">
        <f ca="1">COUNTIFS(Trabajadores!$G:$G, STATS!A1, Trabajadores!$Q:$Q, "Vencido")</f>
        <v>0</v>
      </c>
      <c r="K5" s="59">
        <f ca="1">COUNTIFS(Trabajadores!$G:$G, STATS!A1, Trabajadores!$Q:$Q, "Pendiente")</f>
        <v>0</v>
      </c>
      <c r="S5" s="41"/>
    </row>
    <row r="6" spans="1:24" ht="25.2" customHeight="1" x14ac:dyDescent="0.3">
      <c r="A6" s="104" t="s">
        <v>134</v>
      </c>
      <c r="B6" s="96" cm="1">
        <f t="array" ref="B6">SUMPRODUCT((Trabajadores!$G:$G = STATS!$A$1) * (IFERROR(MONTH(Trabajadores!$L:$L), 0) = 2) * (IFERROR(YEAR(Trabajadores!$L:$L), 0) = $G$8))</f>
        <v>1</v>
      </c>
      <c r="C6" s="96" cm="1">
        <f t="array" ref="C6">SUMPRODUCT((Historial_Trabajadores!$E:$E = STATS!$A$1) * ((IFERROR(YEAR(Historial_Trabajadores!$F:$F), 0) &lt; $G$8) + ((IFERROR(YEAR(Historial_Trabajadores!$F:$F), 0) = $G$8) * (IFERROR(MONTH(Historial_Trabajadores!$F:$F), 0) &lt;= 2))) * ((Historial_Trabajadores!$G:$G = "") + (IFERROR(YEAR(Historial_Trabajadores!$G:$G), 0) &gt; $G$8) + ((IFERROR(YEAR(Historial_Trabajadores!$G:$G), 0) = $G$8) * (IFERROR(MONTH(Historial_Trabajadores!$G:$G), 0) &gt; 2))))</f>
        <v>74</v>
      </c>
      <c r="D6" s="96" cm="1">
        <f t="array" ref="D6">SUMPRODUCT((Trabajadores!$G:$G = STATS!$A$1) * (IFERROR(MONTH(Trabajadores!$M:$M), 0) = 2) * (IFERROR(YEAR(Trabajadores!$M:$M), 0) = $G$8))</f>
        <v>0</v>
      </c>
      <c r="E6" s="146">
        <f>IFERROR(D6 /B17, 0)</f>
        <v>0</v>
      </c>
      <c r="F6" s="96" cm="1">
        <f t="array" ref="F6">SUMPRODUCT((Trabajadores!$G:$G = STATS!$A$1) * (Trabajadores!$O:$O = "SI") * (IFERROR(MONTH(Trabajadores!$P:$P), 0) = 2) * (IFERROR(YEAR(Trabajadores!$P:$P), 0) = $G$8))</f>
        <v>0</v>
      </c>
      <c r="G6" s="139" t="s">
        <v>135</v>
      </c>
      <c r="H6" s="105" t="s">
        <v>136</v>
      </c>
      <c r="I6" s="94" t="s">
        <v>137</v>
      </c>
      <c r="J6" s="94" t="s">
        <v>138</v>
      </c>
      <c r="K6" s="94" t="s">
        <v>139</v>
      </c>
      <c r="T6" t="str" cm="1">
        <f t="array" ref="T6">_xlfn.LET(
    _xlpm.mes_num, MATCH($H$8, {"Enero","Febrero","Marzo","Abril","Mayo","Junio","Julio","Agosto","Septiembre","Octubre","Noviembre","Diciembre"}, 0),
    _xlpm.obra_sel, $A$1,
    _xlpm.dicc_f, _xlfn._xlws.FILTER(ListasAuxiliares!$F$2:$F$102, ListasAuxiliares!$F$2:$F$102&lt;&gt;""),
    _xlpm.dicc_g, _xlfn._xlws.FILTER(ListasAuxiliares!$G$2:$G$102, ListasAuxiliares!$G$2:$G$102&lt;&gt;""),
    _xlpm.lista_descripciones, _xlfn._xlws.FILTER(Accidentes!$E$2:$E$4995, (IFERROR(MONTH(Accidentes!$D$2:$D$4995), 0)=_xlpm.mes_num)*(Accidentes!$D$2:$D$4995&lt;&gt;"")*(_xlfn.XLOOKUP(Accidentes!$B$2:$B$4995, Trabajadores!$C$2:$C$5096, Trabajadores!$G$2:$G$5096, "")=_xlpm.obra_sel), "Vacio"),
    IF(INDEX(_xlpm.lista_descripciones, 1)="Vacio", "Sin accidentes",
        _xlfn.LET(
            _xlpm.lista_mapeada, _xlfn.MAP(_xlpm.lista_descripciones, _xlfn.LAMBDA(_xlpm.d,
                IFERROR(
                    LOOKUP(1, 0/SEARCH(_xlpm.dicc_f, _xlpm.d), _xlpm.dicc_g),
                    "Otros"
                )
            )),
            _xlpm.u, _xlfn.UNIQUE(_xlpm.lista_mapeada),
            _xlpm.conteo, _xlfn.MAP(_xlpm.u, _xlfn.LAMBDA(_xlpm.x, SUM(--(_xlpm.lista_mapeada=_xlpm.x)))),
            _xlfn._xlws.SORT(_xlfn.HSTACK(_xlpm.u, _xlpm.conteo), 2, -1)
        )
    )
)</f>
        <v>Sin accidentes</v>
      </c>
      <c r="W6" s="89" t="s">
        <v>140</v>
      </c>
      <c r="X6" s="92">
        <f t="shared" ref="X6:X15" si="0">IFERROR(VLOOKUP(W6, $T$6:$U$16, 2, 0), 0)</f>
        <v>0</v>
      </c>
    </row>
    <row r="7" spans="1:24" ht="25.2" customHeight="1" x14ac:dyDescent="0.3">
      <c r="A7" s="104" t="s">
        <v>141</v>
      </c>
      <c r="B7" s="96" cm="1">
        <f t="array" ref="B7">SUMPRODUCT((Trabajadores!$G:$G = STATS!$A$1) * (IFERROR(MONTH(Trabajadores!$L:$L), 0) = 3) * (IFERROR(YEAR(Trabajadores!$L:$L), 0) = $G$8))</f>
        <v>3</v>
      </c>
      <c r="C7" s="96" cm="1">
        <f t="array" ref="C7">SUMPRODUCT((Historial_Trabajadores!$E:$E = STATS!$A$1) * ((IFERROR(YEAR(Historial_Trabajadores!$F:$F), 0) &lt; $G$8) + ((IFERROR(YEAR(Historial_Trabajadores!$F:$F), 0) = $G$8) * (IFERROR(MONTH(Historial_Trabajadores!$F:$F), 0) &lt;= 3))) * ((Historial_Trabajadores!$G:$G = "") + (IFERROR(YEAR(Historial_Trabajadores!$G:$G), 0) &gt; $G$8) + ((IFERROR(YEAR(Historial_Trabajadores!$G:$G), 0) = $G$8) * (IFERROR(MONTH(Historial_Trabajadores!$G:$G), 0) &gt; 3))))</f>
        <v>77</v>
      </c>
      <c r="D7" s="96" cm="1">
        <f t="array" ref="D7">SUMPRODUCT((Trabajadores!$G:$G = STATS!$A$1) * (IFERROR(MONTH(Trabajadores!$M:$M), 0) = 3) * (IFERROR(YEAR(Trabajadores!$M:$M), 0) = $G$8))</f>
        <v>0</v>
      </c>
      <c r="E7" s="146">
        <f>IFERROR(D7 /B17, 0)</f>
        <v>0</v>
      </c>
      <c r="F7" s="96" cm="1">
        <f t="array" ref="F7">SUMPRODUCT((Trabajadores!$G:$G = STATS!$A$1) * (Trabajadores!$O:$O = "SI") * (IFERROR(MONTH(Trabajadores!$P:$P), 0) = 3) * (IFERROR(YEAR(Trabajadores!$P:$P), 0) = $G$8))</f>
        <v>0</v>
      </c>
      <c r="G7" s="52" cm="1">
        <f t="array" ref="G7">_xlfn.LET(
    _xlpm.mes_num, MATCH($H$8, {"Enero","Febrero","Marzo","Abril","Mayo","Junio","Julio","Agosto","Septiembre","Octubre","Noviembre","Diciembre"}, 0),
    _xlpm.anio_sel, $G$8,
    _xlpm.obra_sel, $A$1,
    SUMPRODUCT(
        (Trabajadores!$G:$G = _xlpm.obra_sel) * (IFERROR(MONTH(Trabajadores!$L:$L), 0) = _xlpm.mes_num) * (IFERROR(YEAR(Trabajadores!$L:$L), 0) = _xlpm.anio_sel)
    )
)</f>
        <v>3</v>
      </c>
      <c r="H7" s="53" cm="1">
        <f t="array" ref="H7">_xlfn.LET(
    _xlpm.mes_num, MATCH($H$8, {"Enero","Febrero","Marzo","Abril","Mayo","Junio","Julio","Agosto","Septiembre","Octubre","Noviembre","Diciembre"}, 0),
    _xlpm.anio_sel, $G$8,
    _xlpm.obra_sel, $A$1,
    SUMPRODUCT(
        (Historial_Trabajadores!$E:$E = _xlpm.obra_sel) * (
            (IFERROR(YEAR(Historial_Trabajadores!$F:$F), 0) &lt; _xlpm.anio_sel) +
            ((IFERROR(YEAR(Historial_Trabajadores!$F:$F), 0) = _xlpm.anio_sel) * (IFERROR(MONTH(Historial_Trabajadores!$F:$F), 0) &lt;= _xlpm.mes_num))
        ) * (
            (Historial_Trabajadores!$G:$G = "") +
            (IFERROR(YEAR(Historial_Trabajadores!$G:$G), 0) &gt; _xlpm.anio_sel) +
            ((IFERROR(YEAR(Historial_Trabajadores!$G:$G), 0) = _xlpm.anio_sel) * (IFERROR(MONTH(Historial_Trabajadores!$G:$G), 0) &gt; _xlpm.mes_num))
        )
    )
)</f>
        <v>73</v>
      </c>
      <c r="I7" s="1" cm="1">
        <f t="array" ref="I7">_xlfn.LET(
    _xlpm.mes_num, MATCH($H$8, {"Enero","Febrero","Marzo","Abril","Mayo","Junio","Julio","Agosto","Septiembre","Octubre","Noviembre","Diciembre"}, 0),
    _xlpm.anio_sel, $G$8,
    _xlpm.obra_sel, $A$1,
    SUMPRODUCT(
        (Trabajadores!$G$2:$G$5096 = _xlpm.obra_sel) * (IFERROR(MONTH(Trabajadores!$M$2:$M$5096), 0) = _xlpm.mes_num) * (IFERROR(YEAR(Trabajadores!$M$2:$M$5096), 0) = _xlpm.anio_sel)
    )
)</f>
        <v>0</v>
      </c>
      <c r="J7" s="1" cm="1">
        <f t="array" ref="J7">_xlfn.LET(
    _xlpm.mes_num, MATCH($H$8, {"Enero","Febrero","Marzo","Abril","Mayo","Junio","Julio","Agosto","Septiembre","Octubre","Noviembre","Diciembre"}, 0),
    _xlpm.anio_sel, $G$8,
    _xlpm.obra_sel, $A$1,
    SUMPRODUCT(
        (Trabajadores!$G$2:$G$5096 = _xlpm.obra_sel) * (IFERROR(MONTH(Trabajadores!$P$2:$P$5096), 0) = _xlpm.mes_num) * (IFERROR(YEAR(Trabajadores!$P$2:$P$5096), 0) = _xlpm.anio_sel)
    )
)</f>
        <v>0</v>
      </c>
      <c r="K7" s="95" t="e">
        <f>I7/J7</f>
        <v>#DIV/0!</v>
      </c>
      <c r="W7" s="90" t="s">
        <v>142</v>
      </c>
      <c r="X7" s="92">
        <f t="shared" si="0"/>
        <v>0</v>
      </c>
    </row>
    <row r="8" spans="1:24" ht="34.950000000000003" customHeight="1" x14ac:dyDescent="0.3">
      <c r="A8" s="104" t="s">
        <v>143</v>
      </c>
      <c r="B8" s="96" cm="1">
        <f t="array" ref="B8">SUMPRODUCT((Trabajadores!$G:$G = STATS!$A$1) * (IFERROR(MONTH(Trabajadores!$L:$L), 0) = 4) * (IFERROR(YEAR(Trabajadores!$L:$L), 0) = $G$8))</f>
        <v>2</v>
      </c>
      <c r="C8" s="96" cm="1">
        <f t="array" ref="C8">SUMPRODUCT((Historial_Trabajadores!$E:$E = STATS!$A$1) * ((IFERROR(YEAR(Historial_Trabajadores!$F:$F), 0) &lt; $G$8) + ((IFERROR(YEAR(Historial_Trabajadores!$F:$F), 0) = $G$8) * (IFERROR(MONTH(Historial_Trabajadores!$F:$F), 0) &lt;= 4))) * ((Historial_Trabajadores!$G:$G = "") + (IFERROR(YEAR(Historial_Trabajadores!$G:$G), 0) &gt; $G$8) + ((IFERROR(YEAR(Historial_Trabajadores!$G:$G), 0) = $G$8) * (IFERROR(MONTH(Historial_Trabajadores!$G:$G), 0) &gt; 4))))</f>
        <v>79</v>
      </c>
      <c r="D8" s="96" cm="1">
        <f t="array" ref="D8">SUMPRODUCT((Trabajadores!$G:$G = STATS!$A$1) * (IFERROR(MONTH(Trabajadores!$M:$M), 0) = 4) * (IFERROR(YEAR(Trabajadores!$M:$M), 0) = $G$8))</f>
        <v>0</v>
      </c>
      <c r="E8" s="146">
        <f>IFERROR(D8 /B17, 0)</f>
        <v>0</v>
      </c>
      <c r="F8" s="96" cm="1">
        <f t="array" ref="F8">SUMPRODUCT((Trabajadores!$G:$G = STATS!$A$1) * (Trabajadores!$O:$O = "SI") * (IFERROR(MONTH(Trabajadores!$P:$P), 0) = 4) * (IFERROR(YEAR(Trabajadores!$P:$P), 0) = $G$8))</f>
        <v>0</v>
      </c>
      <c r="G8" s="51">
        <f>IFERROR(D329, "Seleccione Obra")</f>
        <v>2025</v>
      </c>
      <c r="H8" s="51" t="str">
        <f>IFERROR(B329, "Seleccione Obra")</f>
        <v>ENERO</v>
      </c>
      <c r="I8" s="51" t="s">
        <v>144</v>
      </c>
      <c r="J8" s="51" t="s">
        <v>145</v>
      </c>
      <c r="K8" s="51" t="s">
        <v>146</v>
      </c>
      <c r="L8" s="51" t="s">
        <v>147</v>
      </c>
      <c r="M8" s="51" t="s">
        <v>136</v>
      </c>
      <c r="N8" s="51" t="s">
        <v>148</v>
      </c>
      <c r="O8" s="170" t="s">
        <v>149</v>
      </c>
      <c r="P8" s="171"/>
      <c r="Q8" s="170" t="s">
        <v>150</v>
      </c>
      <c r="R8" s="171"/>
      <c r="W8" s="90" t="s">
        <v>151</v>
      </c>
      <c r="X8" s="92">
        <f t="shared" si="0"/>
        <v>0</v>
      </c>
    </row>
    <row r="9" spans="1:24" ht="25.2" customHeight="1" x14ac:dyDescent="0.3">
      <c r="A9" s="104" t="s">
        <v>152</v>
      </c>
      <c r="B9" s="96" cm="1">
        <f t="array" ref="B9">SUMPRODUCT((Trabajadores!$G:$G = STATS!$A$1) * (IFERROR(MONTH(Trabajadores!$L:$L), 0) = 5) * (IFERROR(YEAR(Trabajadores!$L:$L), 0) = $G$8))</f>
        <v>2</v>
      </c>
      <c r="C9" s="96" cm="1">
        <f t="array" ref="C9">SUMPRODUCT((Historial_Trabajadores!$E:$E = STATS!$A$1) * ((IFERROR(YEAR(Historial_Trabajadores!$F:$F), 0) &lt; $G$8) + ((IFERROR(YEAR(Historial_Trabajadores!$F:$F), 0) = $G$8) * (IFERROR(MONTH(Historial_Trabajadores!$F:$F), 0) &lt;= 5))) * ((Historial_Trabajadores!$G:$G = "") + (IFERROR(YEAR(Historial_Trabajadores!$G:$G), 0) &gt; $G$8) + ((IFERROR(YEAR(Historial_Trabajadores!$G:$G), 0) = $G$8) * (IFERROR(MONTH(Historial_Trabajadores!$G:$G), 0) &gt; 5))))</f>
        <v>81</v>
      </c>
      <c r="D9" s="96" cm="1">
        <f t="array" ref="D9">SUMPRODUCT((Trabajadores!$G:$G = STATS!$A$1) * (IFERROR(MONTH(Trabajadores!$M:$M), 0) = 5) * (IFERROR(YEAR(Trabajadores!$M:$M), 0) = $G$8))</f>
        <v>0</v>
      </c>
      <c r="E9" s="146">
        <f>IFERROR(D9 /B17, 0)</f>
        <v>0</v>
      </c>
      <c r="F9" s="96" cm="1">
        <f t="array" ref="F9">SUMPRODUCT((Trabajadores!$G:$G = STATS!$A$1) * (Trabajadores!$O:$O = "SI") * (IFERROR(MONTH(Trabajadores!$P:$P), 0) = 5) * (IFERROR(YEAR(Trabajadores!$P:$P), 0) = $G$8))</f>
        <v>0</v>
      </c>
      <c r="G9" s="1"/>
      <c r="H9" s="51" t="s">
        <v>153</v>
      </c>
      <c r="I9" s="1" cm="1">
        <f t="array" ref="I9">_xlfn.LET(
    _xlpm.mes_num, MATCH($H$8, {"Enero","Febrero","Marzo","Abril","Mayo","Junio","Julio","Agosto","Septiembre","Octubre","Noviembre","Diciembre"}, 0),
    _xlpm.obra_sel, $A$1,
    SUMPRODUCT((IFERROR(MONTH(Accidentes!$D$2:$D$4995), 0)=_xlpm.mes_num) * (Accidentes!$D$2:$D$4995&lt;&gt;"") * (_xlfn.XLOOKUP(Accidentes!$B$2:$B$4995, Trabajadores!$C$2:$C$5094, Trabajadores!$G$2:$G$5094, "")=_xlpm.obra_sel))
)</f>
        <v>0</v>
      </c>
      <c r="J9" s="1" cm="1">
        <f t="array" ref="J9">_xlfn.LET(
    _xlpm.mes_num, MATCH($H$8, {"Enero","Febrero","Marzo","Abril","Mayo","Junio","Julio","Agosto","Septiembre","Octubre","Noviembre","Diciembre"}, 0),
    _xlpm.obra_sel, $A$1,
    _xlpm.lista_dni, _xlfn._xlws.FILTER(Accidentes!$B$2:$B$4995, (IFERROR(MONTH(Accidentes!$D$2:$D$4995), 0)=_xlpm.mes_num) * (_xlfn.XLOOKUP(Accidentes!$B$2:$B$4995, Trabajadores!$C$2:$C$5094, Trabajadores!$G$2:$G$5094, "")=_xlpm.obra_sel), "Vacio"),
    IF(INDEX(_xlpm.lista_dni, 1)="Vacio", 0, COUNTA(_xlfn.UNIQUE(_xlpm.lista_dni)))
)</f>
        <v>0</v>
      </c>
      <c r="K9" s="1" cm="1">
        <f t="array" ref="K9">_xlfn.LET(
    _xlpm.mes_num, MATCH($H$8, {"Enero","Febrero","Marzo","Abril","Mayo","Junio","Julio","Agosto","Septiembre","Octubre","Noviembre","Diciembre"}, 0),
    _xlpm.obra_sel, $A$1,
    SUMPRODUCT((IFERROR(MONTH(Accidentes!$D$2:$D$4995), 0)=_xlpm.mes_num) * (Accidentes!$D$2:$D$4995&lt;&gt;"") * (_xlfn.XLOOKUP(Accidentes!$B$2:$B$4995, Trabajadores!$C$2:$C$5094, Trabajadores!$G$2:$G$5094, "")=_xlpm.obra_sel) * (SUMIF(Descansos_Medicos!$B:$B, Accidentes!$A$2:$A$4995, Descansos_Medicos!$F:$F)&lt;=5))
)</f>
        <v>0</v>
      </c>
      <c r="L9" s="1" cm="1">
        <f t="array" ref="L9">_xlfn.LET(
    _xlpm.mes_num, MATCH($H$8, {"Enero","Febrero","Marzo","Abril","Mayo","Junio","Julio","Agosto","Septiembre","Octubre","Noviembre","Diciembre"}, 0),
    _xlpm.obra_sel, $A$1,
    SUMPRODUCT((IFERROR(MONTH(Accidentes!$D$2:$D$4995), 0)=_xlpm.mes_num) * (Accidentes!$D$2:$D$4995&lt;&gt;"") * (_xlfn.XLOOKUP(Accidentes!$B$2:$B$4995, Trabajadores!$C$2:$C$5094, Trabajadores!$G$2:$G$5094, "")=_xlpm.obra_sel) * (SUMIF(Descansos_Medicos!$B:$B, Accidentes!$A$2:$A$4995, Descansos_Medicos!$F:$F)&gt;5))
)</f>
        <v>0</v>
      </c>
      <c r="M9" s="1" cm="1">
        <f t="array" ref="M9">_xlfn.LET(
    _xlpm.mes_num, MATCH($H$8, {"Enero","Febrero","Marzo","Abril","Mayo","Junio","Julio","Agosto","Septiembre","Octubre","Noviembre","Diciembre"}, 0),
    _xlpm.obra_sel, $A$1,
    SUMPRODUCT(
        (Historial_Trabajadores!$E:$E = _xlpm.obra_sel) * (IFERROR(MONTH(Historial_Trabajadores!$F:$F), 0) &lt;= _xlpm.mes_num) * ((Historial_Trabajadores!$G:$G = "") + (IFERROR(MONTH(Historial_Trabajadores!$G:$G), 0) &gt; _xlpm.mes_num))
    )
)</f>
        <v>36</v>
      </c>
      <c r="N9" s="93">
        <f>J9/M9</f>
        <v>0</v>
      </c>
      <c r="O9" s="18" t="str" cm="1">
        <f t="array" ref="O9">_xlfn.LET(
    _xlpm.mes_num, MATCH($H$8, {"Enero","Febrero","Marzo","Abril","Mayo","Junio","Julio","Agosto","Septiembre","Octubre","Noviembre","Diciembre"}, 0),
    _xlpm.obra_sel, $A$1,
    _xlpm.lista, _xlfn._xlws.FILTER(Accidentes!$E$2:$E$4995, (IFERROR(MONTH(Accidentes!$D$2:$D$4995), 0)=_xlpm.mes_num)*(Accidentes!$D$2:$D$4995&lt;&gt;"")*(_xlfn.XLOOKUP(Accidentes!$B$2:$B$4995, Trabajadores!$C$2:$C$5094, Trabajadores!$G$2:$G$5094, "")=_xlpm.obra_sel), "Vacio"),
    IF(INDEX(_xlpm.lista, 1)="Vacio", "Sin accidentes",
        _xlfn.LET(
            _xlpm.u, _xlfn.UNIQUE(_xlpm.lista),
            _xlpm.conteo, _xlfn.MAP(_xlpm.u, _xlfn.LAMBDA(_xlpm.x, SUM(--(_xlpm.lista=_xlpm.x)))),
            _xlpm.resultado, _xlfn._xlws.SORT(_xlfn.HSTACK(_xlpm.u, _xlpm.conteo), 2, -1),
            _xlfn.TAKE(_xlpm.resultado, 15)
        )
    )
)</f>
        <v>Sin accidentes</v>
      </c>
      <c r="P9" s="18"/>
      <c r="Q9" s="18" t="str" cm="1">
        <f t="array" ref="Q9">_xlfn.LET(
    _xlpm.mes_num, MATCH($H$8, {"Enero","Febrero","Marzo","Abril","Mayo","Junio","Julio","Agosto","Septiembre","Octubre","Noviembre","Diciembre"}, 0),
    _xlpm.obra_sel, $A$1,
    _xlpm.lista, _xlfn._xlws.FILTER(Accidentes!$F$2:$F$4995, (IFERROR(MONTH(Accidentes!$D$2:$D$4995), 0)=_xlpm.mes_num)*(Accidentes!$D$2:$D$4995&lt;&gt;"")*(_xlfn.XLOOKUP(Accidentes!$B$2:$B$4995, Trabajadores!$C$2:$C$5094, Trabajadores!$G$2:$G$5094, "")=_xlpm.obra_sel), "Vacio"),
    IF(INDEX(_xlpm.lista, 1)="Vacio", "Sin accidentes", _xlfn.LET(_xlpm.u, _xlfn.UNIQUE(_xlpm.lista), _xlpm.conteo, _xlfn.MAP(_xlpm.u, _xlfn.LAMBDA(_xlpm.x, SUM(--(_xlpm.lista=_xlpm.x)))), _xlfn._xlws.SORT(_xlfn.HSTACK(_xlpm.u, _xlpm.conteo), 2, -1)))
)</f>
        <v>Sin accidentes</v>
      </c>
      <c r="R9" s="18"/>
      <c r="W9" s="90" t="s">
        <v>154</v>
      </c>
      <c r="X9" s="92">
        <f t="shared" si="0"/>
        <v>0</v>
      </c>
    </row>
    <row r="10" spans="1:24" ht="25.2" customHeight="1" x14ac:dyDescent="0.3">
      <c r="A10" s="104" t="s">
        <v>155</v>
      </c>
      <c r="B10" s="96" cm="1">
        <f t="array" ref="B10">SUMPRODUCT((Trabajadores!$G:$G = STATS!$A$1) * (IFERROR(MONTH(Trabajadores!$L:$L), 0) = 6) * (IFERROR(YEAR(Trabajadores!$L:$L), 0) = $G$8))</f>
        <v>6</v>
      </c>
      <c r="C10" s="96" cm="1">
        <f t="array" ref="C10">SUMPRODUCT((Historial_Trabajadores!$E:$E = STATS!$A$1) * ((IFERROR(YEAR(Historial_Trabajadores!$F:$F), 0) &lt; $G$8) + ((IFERROR(YEAR(Historial_Trabajadores!$F:$F), 0) = $G$8) * (IFERROR(MONTH(Historial_Trabajadores!$F:$F), 0) &lt;= 6))) * ((Historial_Trabajadores!$G:$G = "") + (IFERROR(YEAR(Historial_Trabajadores!$G:$G), 0) &gt; $G$8) + ((IFERROR(YEAR(Historial_Trabajadores!$G:$G), 0) = $G$8) * (IFERROR(MONTH(Historial_Trabajadores!$G:$G), 0) &gt; 6))))</f>
        <v>87</v>
      </c>
      <c r="D10" s="96" cm="1">
        <f t="array" ref="D10">SUMPRODUCT((Trabajadores!$G:$G = STATS!$A$1) * (IFERROR(MONTH(Trabajadores!$M:$M), 0) = 6) * (IFERROR(YEAR(Trabajadores!$M:$M), 0) = $G$8))</f>
        <v>0</v>
      </c>
      <c r="E10" s="146">
        <f>IFERROR(D10 /B17, 0)</f>
        <v>0</v>
      </c>
      <c r="F10" s="96" cm="1">
        <f t="array" ref="F10">SUMPRODUCT((Trabajadores!$G:$G = STATS!$A$1) * (Trabajadores!$O:$O = "SI") * (IFERROR(MONTH(Trabajadores!$P:$P), 0) = 6) * (IFERROR(YEAR(Trabajadores!$P:$P), 0) = $G$8))</f>
        <v>0</v>
      </c>
      <c r="G10" s="1"/>
      <c r="I10" s="51" t="s">
        <v>156</v>
      </c>
      <c r="J10" s="51" t="s">
        <v>157</v>
      </c>
      <c r="K10" s="51" t="s">
        <v>158</v>
      </c>
      <c r="L10" s="51" t="s">
        <v>159</v>
      </c>
      <c r="M10" s="170" t="s">
        <v>160</v>
      </c>
      <c r="N10" s="171"/>
      <c r="O10" s="18"/>
      <c r="P10" s="18"/>
      <c r="Q10" s="18"/>
      <c r="R10" s="18"/>
      <c r="W10" s="90" t="s">
        <v>161</v>
      </c>
      <c r="X10" s="92">
        <f t="shared" si="0"/>
        <v>0</v>
      </c>
    </row>
    <row r="11" spans="1:24" ht="30" customHeight="1" x14ac:dyDescent="0.3">
      <c r="A11" s="104" t="s">
        <v>162</v>
      </c>
      <c r="B11" s="96" cm="1">
        <f t="array" ref="B11">SUMPRODUCT((Trabajadores!$G:$G = STATS!$A$1) * (IFERROR(MONTH(Trabajadores!$L:$L), 0) = 7) * (IFERROR(YEAR(Trabajadores!$L:$L), 0) = $G$8))</f>
        <v>1</v>
      </c>
      <c r="C11" s="96" cm="1">
        <f t="array" ref="C11">SUMPRODUCT((Historial_Trabajadores!$E:$E = STATS!$A$1) * ((IFERROR(YEAR(Historial_Trabajadores!$F:$F), 0) &lt; $G$8) + ((IFERROR(YEAR(Historial_Trabajadores!$F:$F), 0) = $G$8) * (IFERROR(MONTH(Historial_Trabajadores!$F:$F), 0) &lt;= 7))) * ((Historial_Trabajadores!$G:$G = "") + (IFERROR(YEAR(Historial_Trabajadores!$G:$G), 0) &gt; $G$8) + ((IFERROR(YEAR(Historial_Trabajadores!$G:$G), 0) = $G$8) * (IFERROR(MONTH(Historial_Trabajadores!$G:$G), 0) &gt; 7))))</f>
        <v>88</v>
      </c>
      <c r="D11" s="96" cm="1">
        <f t="array" ref="D11">SUMPRODUCT((Trabajadores!$G:$G = STATS!$A$1) * (IFERROR(MONTH(Trabajadores!$M:$M), 0) = 7) * (IFERROR(YEAR(Trabajadores!$M:$M), 0) = $G$8))</f>
        <v>0</v>
      </c>
      <c r="E11" s="146">
        <f>IFERROR(D11 /B17, 0)</f>
        <v>0</v>
      </c>
      <c r="F11" s="96" cm="1">
        <f t="array" ref="F11">SUMPRODUCT((Trabajadores!$G:$G = STATS!$A$1) * (Trabajadores!$O:$O = "SI") * (IFERROR(MONTH(Trabajadores!$P:$P), 0) = 7) * (IFERROR(YEAR(Trabajadores!$P:$P), 0) = $G$8))</f>
        <v>0</v>
      </c>
      <c r="G11" s="1"/>
      <c r="H11" s="51" t="s">
        <v>153</v>
      </c>
      <c r="I11" s="1" cm="1">
        <f t="array" ref="I11">_xlfn.LET(
    _xlpm.mes_num, MATCH($H$8, {"Enero","Febrero","Marzo","Abril","Mayo","Junio","Julio","Agosto","Septiembre","Octubre","Noviembre","Diciembre"}, 0),
    _xlpm.obra_sel, $A$1,
    SUMPRODUCT(
        (IFERROR(MONTH(Accidentes!$D$2:$D$4995), 0) = _xlpm.mes_num) * (Accidentes!$D$2:$D$4995 &lt;&gt; "") * (_xlfn.XLOOKUP(Accidentes!$B$2:$B$4995, Trabajadores!$C$2:$C$5096, Trabajadores!$G$2:$G$5096, "") = _xlpm.obra_sel) * (Accidentes!$I$2:$I$4995 = "SI")
    )
)</f>
        <v>0</v>
      </c>
      <c r="J11" cm="1">
        <f t="array" aca="1" ref="J11" ca="1">_xlfn.LET(
    _xlpm.ultima_fecha, MAX(_xlfn._xlws.FILTER(Accidentes!$D$2:$D$4995, (Accidentes!$D$2:$D$4995 &lt;&gt; "") * (_xlfn.XLOOKUP(Accidentes!$B$2:$B$4995, Trabajadores!$C$2:$C$5096, Trabajadores!$G$2:$G$5096, "") = $A$1), 0)),
    IF(_xlpm.ultima_fecha = 0, "Sin registros", TODAY() - _xlpm.ultima_fecha)
)</f>
        <v>2</v>
      </c>
      <c r="K11" cm="1">
        <f t="array" ref="K11">_xlfn.LET(
    _xlpm.mes_num, MATCH($H$8, {"Enero","Febrero","Marzo","Abril","Mayo","Junio","Julio","Agosto","Septiembre","Octubre","Noviembre","Diciembre"}, 0),
    _xlpm.obra_sel, $A$1,
    _xlpm.dni_acc, Accidentes!$B$2:$B$4995,
    SUMPRODUCT(
        (IFERROR(MONTH(Accidentes!$D$2:$D$4995), 0) = _xlpm.mes_num) * (Accidentes!$D$2:$D$4995 &lt;&gt; "") * (_xlfn.XLOOKUP(_xlpm.dni_acc, Trabajadores!$C$2:$C$5096, Trabajadores!$G$2:$G$5096, "") = _xlpm.obra_sel) * (_xlfn.XLOOKUP(_xlpm.dni_acc, Trabajadores!$C$2:$C$5096, Trabajadores!$F$2:$F$5096, "") = "M")
    )
)</f>
        <v>0</v>
      </c>
      <c r="L11" cm="1">
        <f t="array" ref="L11">_xlfn.LET(
    _xlpm.mes_num, MATCH($H$8, {"Enero","Febrero","Marzo","Abril","Mayo","Junio","Julio","Agosto","Septiembre","Octubre","Noviembre","Diciembre"}, 0),
    _xlpm.obra_sel, $A$1,
    _xlpm.dni_acc, Accidentes!$B$2:$B$4995,
    SUMPRODUCT(
        (IFERROR(MONTH(Accidentes!$D$2:$D$4995), 0) = _xlpm.mes_num) * (Accidentes!$D$2:$D$4995 &lt;&gt; "") * (_xlfn.XLOOKUP(_xlpm.dni_acc, Trabajadores!$C$2:$C$5096, Trabajadores!$G$2:$G$5096, "") = _xlpm.obra_sel) * (_xlfn.XLOOKUP(_xlpm.dni_acc, Trabajadores!$C$2:$C$5096, Trabajadores!$F$2:$F$5096, "") = "F")
    )
)</f>
        <v>0</v>
      </c>
      <c r="M11" s="1" t="str" cm="1">
        <f t="array" ref="M11:N34">_xlfn.LET(
    _xlpm.lista_areas, _xlfn.UNIQUE(tbl_Trabajadores[Área]),
    _xlpm.mes_num, MATCH($H$8, {"Enero","Febrero","Marzo","Abril","Mayo","Junio","Julio","Agosto","Septiembre","Octubre","Noviembre","Diciembre"}, 0),
    _xlpm.obra_sel, $A$1,
    _xlpm.conteos, _xlfn.MAP(_xlpm.lista_areas, _xlfn.LAMBDA(_xlpm.area,
        SUMPRODUCT(
            (IFERROR(MONTH(Accidentes!$D$2:$D$4995), 0) = _xlpm.mes_num) * (Accidentes!$D$2:$D$4995 &lt;&gt; "") * (_xlfn.XLOOKUP(Accidentes!$B$2:$B$4995, Trabajadores!$C$2:$C$5096, Trabajadores!$G$2:$G$5096, "") = _xlpm.obra_sel) * (_xlfn.XLOOKUP(Accidentes!$B$2:$B$4995, Trabajadores!$C$2:$C$5096, Trabajadores!$H$2:$H$5096, "") = _xlpm.area)
        )
    )),
    _xlfn.HSTACK(_xlpm.lista_areas, _xlpm.conteos)
)</f>
        <v>Almacen</v>
      </c>
      <c r="N11" s="1">
        <v>0</v>
      </c>
      <c r="O11" s="18"/>
      <c r="P11" s="18"/>
      <c r="Q11" s="18"/>
      <c r="R11" s="18"/>
      <c r="W11" s="90" t="s">
        <v>163</v>
      </c>
      <c r="X11" s="92">
        <f t="shared" si="0"/>
        <v>0</v>
      </c>
    </row>
    <row r="12" spans="1:24" ht="30" customHeight="1" x14ac:dyDescent="0.3">
      <c r="A12" s="104" t="s">
        <v>164</v>
      </c>
      <c r="B12" s="96" cm="1">
        <f t="array" ref="B12">SUMPRODUCT((Trabajadores!$G:$G = STATS!$A$1) * (IFERROR(MONTH(Trabajadores!$L:$L), 0) = 8) * (IFERROR(YEAR(Trabajadores!$L:$L), 0) = $G$8))</f>
        <v>5</v>
      </c>
      <c r="C12" s="96" cm="1">
        <f t="array" ref="C12">SUMPRODUCT((Historial_Trabajadores!$E:$E = STATS!$A$1) * ((IFERROR(YEAR(Historial_Trabajadores!$F:$F), 0) &lt; $G$8) + ((IFERROR(YEAR(Historial_Trabajadores!$F:$F), 0) = $G$8) * (IFERROR(MONTH(Historial_Trabajadores!$F:$F), 0) &lt;= 8))) * ((Historial_Trabajadores!$G:$G = "") + (IFERROR(YEAR(Historial_Trabajadores!$G:$G), 0) &gt; $G$8) + ((IFERROR(YEAR(Historial_Trabajadores!$G:$G), 0) = $G$8) * (IFERROR(MONTH(Historial_Trabajadores!$G:$G), 0) &gt; 8))))</f>
        <v>93</v>
      </c>
      <c r="D12" s="96" cm="1">
        <f t="array" ref="D12">SUMPRODUCT((Trabajadores!$G:$G = STATS!$A$1) * (IFERROR(MONTH(Trabajadores!$M:$M), 0) = 8) * (IFERROR(YEAR(Trabajadores!$M:$M), 0) = $G$8))</f>
        <v>0</v>
      </c>
      <c r="E12" s="146">
        <f>IFERROR(D12 /B17, 0)</f>
        <v>0</v>
      </c>
      <c r="F12" s="96" cm="1">
        <f t="array" ref="F12">SUMPRODUCT((Trabajadores!$G:$G = STATS!$A$1) * (Trabajadores!$O:$O = "SI") * (IFERROR(MONTH(Trabajadores!$P:$P), 0) = 8) * (IFERROR(YEAR(Trabajadores!$P:$P), 0) = $G$8))</f>
        <v>0</v>
      </c>
      <c r="G12" s="1"/>
      <c r="H12" s="1"/>
      <c r="M12" s="1" t="str">
        <v>Imprenta</v>
      </c>
      <c r="N12" s="1">
        <v>0</v>
      </c>
      <c r="W12" s="90" t="s">
        <v>165</v>
      </c>
      <c r="X12" s="92">
        <f t="shared" si="0"/>
        <v>0</v>
      </c>
    </row>
    <row r="13" spans="1:24" ht="30" customHeight="1" x14ac:dyDescent="0.3">
      <c r="A13" s="104" t="s">
        <v>166</v>
      </c>
      <c r="B13" s="96" cm="1">
        <f t="array" ref="B13">SUMPRODUCT((Trabajadores!$G:$G = STATS!$A$1) * (IFERROR(MONTH(Trabajadores!$L:$L), 0) = 9) * (IFERROR(YEAR(Trabajadores!$L:$L), 0) = $G$8))</f>
        <v>6</v>
      </c>
      <c r="C13" s="96" cm="1">
        <f t="array" ref="C13">SUMPRODUCT((Historial_Trabajadores!$E:$E = STATS!$A$1) * ((IFERROR(YEAR(Historial_Trabajadores!$F:$F), 0) &lt; $G$8) + ((IFERROR(YEAR(Historial_Trabajadores!$F:$F), 0) = $G$8) * (IFERROR(MONTH(Historial_Trabajadores!$F:$F), 0) &lt;= 9))) * ((Historial_Trabajadores!$G:$G = "") + (IFERROR(YEAR(Historial_Trabajadores!$G:$G), 0) &gt; $G$8) + ((IFERROR(YEAR(Historial_Trabajadores!$G:$G), 0) = $G$8) * (IFERROR(MONTH(Historial_Trabajadores!$G:$G), 0) &gt; 9))))</f>
        <v>99</v>
      </c>
      <c r="D13" s="96" cm="1">
        <f t="array" ref="D13">SUMPRODUCT((Trabajadores!$G:$G = STATS!$A$1) * (IFERROR(MONTH(Trabajadores!$M:$M), 0) = 9) * (IFERROR(YEAR(Trabajadores!$M:$M), 0) = $G$8))</f>
        <v>0</v>
      </c>
      <c r="E13" s="146">
        <f>IFERROR(D13 /B17, 0)</f>
        <v>0</v>
      </c>
      <c r="F13" s="96" cm="1">
        <f t="array" ref="F13">SUMPRODUCT((Trabajadores!$G:$G = STATS!$A$1) * (Trabajadores!$O:$O = "SI") * (IFERROR(MONTH(Trabajadores!$P:$P), 0) = 9) * (IFERROR(YEAR(Trabajadores!$P:$P), 0) = $G$8))</f>
        <v>0</v>
      </c>
      <c r="G13" s="1"/>
      <c r="H13" s="51" t="s">
        <v>122</v>
      </c>
      <c r="I13" s="105" t="s">
        <v>612</v>
      </c>
      <c r="K13" s="170" t="s">
        <v>167</v>
      </c>
      <c r="L13" s="171"/>
      <c r="M13" s="1" t="str">
        <v>Compras</v>
      </c>
      <c r="N13" s="1">
        <v>0</v>
      </c>
      <c r="W13" s="90" t="s">
        <v>168</v>
      </c>
      <c r="X13" s="92">
        <f t="shared" si="0"/>
        <v>0</v>
      </c>
    </row>
    <row r="14" spans="1:24" ht="25.2" customHeight="1" x14ac:dyDescent="0.3">
      <c r="A14" s="104" t="s">
        <v>169</v>
      </c>
      <c r="B14" s="96" cm="1">
        <f t="array" ref="B14">SUMPRODUCT((Trabajadores!$G:$G = STATS!$A$1) * (IFERROR(MONTH(Trabajadores!$L:$L), 0) = 10) * (IFERROR(YEAR(Trabajadores!$L:$L), 0) = $G$8))</f>
        <v>5</v>
      </c>
      <c r="C14" s="96" cm="1">
        <f t="array" ref="C14">SUMPRODUCT((Historial_Trabajadores!$E:$E = STATS!$A$1) * ((IFERROR(YEAR(Historial_Trabajadores!$F:$F), 0) &lt; $G$8) + ((IFERROR(YEAR(Historial_Trabajadores!$F:$F), 0) = $G$8) * (IFERROR(MONTH(Historial_Trabajadores!$F:$F), 0) &lt;= 10))) * ((Historial_Trabajadores!$G:$G = "") + (IFERROR(YEAR(Historial_Trabajadores!$G:$G), 0) &gt; $G$8) + ((IFERROR(YEAR(Historial_Trabajadores!$G:$G), 0) = $G$8) * (IFERROR(MONTH(Historial_Trabajadores!$G:$G), 0) &gt; 10))))</f>
        <v>104</v>
      </c>
      <c r="D14" s="96" cm="1">
        <f t="array" ref="D14">SUMPRODUCT((Trabajadores!$G:$G = STATS!$A$1) * (IFERROR(MONTH(Trabajadores!$M:$M), 0) = 10) * (IFERROR(YEAR(Trabajadores!$M:$M), 0) = $G$8))</f>
        <v>0</v>
      </c>
      <c r="E14" s="146">
        <f>IFERROR(D14 /B17, 0)</f>
        <v>0</v>
      </c>
      <c r="F14" s="96" cm="1">
        <f t="array" ref="F14">SUMPRODUCT((Trabajadores!$G:$G = STATS!$A$1) * (Trabajadores!$O:$O = "SI") * (IFERROR(MONTH(Trabajadores!$P:$P), 0) = 10) * (IFERROR(YEAR(Trabajadores!$P:$P), 0) = $G$8))</f>
        <v>0</v>
      </c>
      <c r="G14" s="1"/>
      <c r="H14" s="104" t="s">
        <v>133</v>
      </c>
      <c r="I14" s="78" cm="1">
        <f t="array" ref="I14">SUMPRODUCT((IFERROR(MONTH(Accidentes!$D$2:$D$4995),0)=1) * (_xlfn.XLOOKUP(Accidentes!$C$2:$C$4995, Trabajadores!$B$2:$B$5096, Trabajadores!$G$2:$G$5096, "")=$A$1))</f>
        <v>0</v>
      </c>
      <c r="J14" s="1"/>
      <c r="K14" s="1" t="str" cm="1">
        <f t="array" ref="K14:L15">_xlfn.LET(
    _xlpm.perfiles_unicos, _xlfn.UNIQUE(tbl_Trabajadores[Perfil]),
    _xlpm.lista_perfiles, _xlfn._xlws.FILTER(_xlpm.perfiles_unicos, _xlpm.perfiles_unicos &lt;&gt; ""),
    _xlpm.mes_num, MATCH($H$8, {"Enero","Febrero","Marzo","Abril","Mayo","Junio","Julio","Agosto","Septiembre","Octubre","Noviembre","Diciembre"}, 0),
    _xlpm.obra_sel, $A$1,
    _xlpm.conteos, _xlfn.MAP(_xlpm.lista_perfiles, _xlfn.LAMBDA(_xlpm.p,
        SUMPRODUCT(
            (IFERROR(MONTH(Accidentes!$D$2:$D$4995), 0) = _xlpm.mes_num) * (Accidentes!$D$2:$D$4995 &lt;&gt; "") * (_xlfn.XLOOKUP(Accidentes!$B$2:$B$4995, Trabajadores!$C$2:$C$5096, Trabajadores!$G$2:$G$5096, "") = _xlpm.obra_sel) * (_xlfn.XLOOKUP(Accidentes!$B$2:$B$4995, Trabajadores!$C$2:$C$5096, Trabajadores!$K$2:$K$5096, "") = _xlpm.p)
        )
    )),
    _xlfn.HSTACK(_xlpm.lista_perfiles, _xlpm.conteos)
)</f>
        <v>Técnico</v>
      </c>
      <c r="L14" s="1">
        <v>0</v>
      </c>
      <c r="M14" s="1" t="str">
        <v>Logística</v>
      </c>
      <c r="N14" s="1">
        <v>0</v>
      </c>
      <c r="W14" s="90" t="s">
        <v>170</v>
      </c>
      <c r="X14" s="92">
        <f t="shared" si="0"/>
        <v>0</v>
      </c>
    </row>
    <row r="15" spans="1:24" ht="25.2" customHeight="1" x14ac:dyDescent="0.3">
      <c r="A15" s="104" t="s">
        <v>171</v>
      </c>
      <c r="B15" s="96" cm="1">
        <f t="array" ref="B15">SUMPRODUCT((Trabajadores!$G:$G = STATS!$A$1) * (IFERROR(MONTH(Trabajadores!$L:$L), 0) = 11) * (IFERROR(YEAR(Trabajadores!$L:$L), 0) = $G$8))</f>
        <v>1</v>
      </c>
      <c r="C15" s="96" cm="1">
        <f t="array" ref="C15">SUMPRODUCT((Historial_Trabajadores!$E:$E = STATS!$A$1) * ((IFERROR(YEAR(Historial_Trabajadores!$F:$F), 0) &lt; $G$8) + ((IFERROR(YEAR(Historial_Trabajadores!$F:$F), 0) = $G$8) * (IFERROR(MONTH(Historial_Trabajadores!$F:$F), 0) &lt;= 11))) * ((Historial_Trabajadores!$G:$G = "") + (IFERROR(YEAR(Historial_Trabajadores!$G:$G), 0) &gt; $G$8) + ((IFERROR(YEAR(Historial_Trabajadores!$G:$G), 0) = $G$8) * (IFERROR(MONTH(Historial_Trabajadores!$G:$G), 0) &gt; 11))))</f>
        <v>105</v>
      </c>
      <c r="D15" s="96" cm="1">
        <f t="array" ref="D15">SUMPRODUCT((Trabajadores!$G:$G = STATS!$A$1) * (IFERROR(MONTH(Trabajadores!$M:$M), 0) = 11) * (IFERROR(YEAR(Trabajadores!$M:$M), 0) = $G$8))</f>
        <v>100</v>
      </c>
      <c r="E15" s="146">
        <f>IFERROR(D15 /B17, 0)</f>
        <v>2.6315789473684212</v>
      </c>
      <c r="F15" s="96" cm="1">
        <f t="array" ref="F15">SUMPRODUCT((Trabajadores!$G:$G = STATS!$A$1) * (Trabajadores!$O:$O = "SI") * (IFERROR(MONTH(Trabajadores!$P:$P), 0) = 11) * (IFERROR(YEAR(Trabajadores!$P:$P), 0) = $G$8))</f>
        <v>13</v>
      </c>
      <c r="G15" s="1"/>
      <c r="H15" s="104" t="s">
        <v>134</v>
      </c>
      <c r="I15" s="79" cm="1">
        <f t="array" ref="I15">SUMPRODUCT((IFERROR(MONTH(Accidentes!$D$2:$D$4995),0)=2) * (_xlfn.XLOOKUP(Accidentes!$C$2:$C$4995, Trabajadores!$B$2:$B$5096, Trabajadores!$G$2:$G$5096, "")=$A$1))</f>
        <v>1</v>
      </c>
      <c r="J15" s="1"/>
      <c r="K15" s="1" t="str">
        <v>Oficina</v>
      </c>
      <c r="L15" s="1">
        <v>0</v>
      </c>
      <c r="M15" s="1" t="str">
        <v>Control de Calidad</v>
      </c>
      <c r="N15" s="1">
        <v>0</v>
      </c>
      <c r="W15" s="91" t="s">
        <v>172</v>
      </c>
      <c r="X15" s="92">
        <f t="shared" si="0"/>
        <v>0</v>
      </c>
    </row>
    <row r="16" spans="1:24" ht="25.2" customHeight="1" x14ac:dyDescent="0.3">
      <c r="A16" s="104" t="s">
        <v>173</v>
      </c>
      <c r="B16" s="96" cm="1">
        <f t="array" ref="B16">SUMPRODUCT((Trabajadores!$G:$G = STATS!$A$1) * (IFERROR(MONTH(Trabajadores!$L:$L), 0) = 12) * (IFERROR(YEAR(Trabajadores!$L:$L), 0) = $G$8))</f>
        <v>3</v>
      </c>
      <c r="C16" s="96" cm="1">
        <f t="array" ref="C16">SUMPRODUCT((Historial_Trabajadores!$E:$E = STATS!$A$1) * ((IFERROR(YEAR(Historial_Trabajadores!$F:$F), 0) &lt; $G$8) + ((IFERROR(YEAR(Historial_Trabajadores!$F:$F), 0) = $G$8) * (IFERROR(MONTH(Historial_Trabajadores!$F:$F), 0) &lt;= 12))) * ((Historial_Trabajadores!$G:$G = "") + (IFERROR(YEAR(Historial_Trabajadores!$G:$G), 0) &gt; $G$8) + ((IFERROR(YEAR(Historial_Trabajadores!$G:$G), 0) = $G$8) * (IFERROR(MONTH(Historial_Trabajadores!$G:$G), 0) &gt; 12))))</f>
        <v>108</v>
      </c>
      <c r="D16" s="96" cm="1">
        <f t="array" ref="D16">SUMPRODUCT((Trabajadores!$G:$G = STATS!$A$1) * (IFERROR(MONTH(Trabajadores!$M:$M), 0) = 12) * (IFERROR(YEAR(Trabajadores!$M:$M), 0) = $G$8))</f>
        <v>0</v>
      </c>
      <c r="E16" s="146">
        <f>IFERROR(D16 /B17, 0)</f>
        <v>0</v>
      </c>
      <c r="F16" s="96" cm="1">
        <f t="array" ref="F16">SUMPRODUCT((Trabajadores!$G:$G = STATS!$A$1) * (Trabajadores!$O:$O = "SI") * (IFERROR(MONTH(Trabajadores!$P:$P), 0) = 12) * (IFERROR(YEAR(Trabajadores!$P:$P), 0) = $G$8))</f>
        <v>74</v>
      </c>
      <c r="G16" s="1"/>
      <c r="H16" s="104" t="s">
        <v>141</v>
      </c>
      <c r="I16" s="79" cm="1">
        <f t="array" ref="I16">SUMPRODUCT((IFERROR(MONTH(Accidentes!$D$2:$D$4995),0)=3) * (_xlfn.XLOOKUP(Accidentes!$C$2:$C$4995, Trabajadores!$B$2:$B$5096, Trabajadores!$G$2:$G$5096, "")=$A$1))</f>
        <v>0</v>
      </c>
      <c r="J16" s="1"/>
      <c r="K16" s="170" t="s">
        <v>174</v>
      </c>
      <c r="L16" s="171"/>
      <c r="M16" s="1" t="str">
        <v>Producción</v>
      </c>
      <c r="N16" s="1">
        <v>0</v>
      </c>
    </row>
    <row r="17" spans="1:14" ht="25.2" customHeight="1" x14ac:dyDescent="0.3">
      <c r="A17" s="104" t="s">
        <v>175</v>
      </c>
      <c r="B17" s="69">
        <f>SUM(B5:B16)</f>
        <v>38</v>
      </c>
      <c r="C17" s="69">
        <f>C16</f>
        <v>108</v>
      </c>
      <c r="D17" s="53">
        <f>SUM(D5:D16)</f>
        <v>100</v>
      </c>
      <c r="E17" s="88">
        <f>SUM(E5:E16)</f>
        <v>2.6315789473684212</v>
      </c>
      <c r="H17" s="104" t="s">
        <v>143</v>
      </c>
      <c r="I17" s="79" cm="1">
        <f t="array" ref="I17">SUMPRODUCT((IFERROR(MONTH(Accidentes!$D$2:$D$4995),0)=4) * (_xlfn.XLOOKUP(Accidentes!$C$2:$C$4995, Trabajadores!$B$2:$B$5096, Trabajadores!$G$2:$G$5096, "")=$A$1))</f>
        <v>0</v>
      </c>
      <c r="K17" t="str" cm="1">
        <f t="array" ref="K17:L32">_xlfn.LET(
_xlpm.m, MATCH($H$8,{"Enero","Febrero","Marzo","Abril","Mayo","Junio","Julio","Agosto","Septiembre","Octubre","Noviembre","Diciembre"},0),
_xlpm.o, $A$1,
_xlpm.id_h, Historial_Trabajadores!$B$2:$B$4982,
_xlpm.act, (Historial_Trabajadores!$E$2:$E$4982=_xlpm.o)*(IFERROR(MONTH(Historial_Trabajadores!$F$2:$F$4982),0)&lt;=_xlpm.m)*((Historial_Trabajadores!$G$2:$G$4982="")+(IFERROR(MONTH(Historial_Trabajadores!$G$2:$G$4982),0)&gt;_xlpm.m)),
_xlpm.list, _xlfn._xlws.FILTER(_xlfn.XLOOKUP(_xlpm.id_h, Trabajadores!$C$2:$C$5096, Trabajadores!$H$2:$H$5096, "Sin Área"), _xlpm.act, "No hay datos"),
_xlpm.u, _xlfn.UNIQUE(_xlpm.list),
_xlfn._xlws.SORT(_xlfn.HSTACK(_xlpm.u, _xlfn.MAP(_xlpm.u, _xlfn.LAMBDA(_xlpm.x, SUM(--(_xlpm.list=_xlpm.x))))), 2, -1)
)</f>
        <v>Almacen</v>
      </c>
      <c r="L17">
        <v>6</v>
      </c>
      <c r="M17" s="1" t="str">
        <v>Contabilidad</v>
      </c>
      <c r="N17" s="1">
        <v>0</v>
      </c>
    </row>
    <row r="18" spans="1:14" x14ac:dyDescent="0.3">
      <c r="H18" s="104" t="s">
        <v>152</v>
      </c>
      <c r="I18" s="79" cm="1">
        <f t="array" ref="I18">SUMPRODUCT((IFERROR(MONTH(Accidentes!$D$2:$D$4995),0)=5) * (_xlfn.XLOOKUP(Accidentes!$C$2:$C$4995, Trabajadores!$B$2:$B$5096, Trabajadores!$G$2:$G$5096, "")=$A$1))</f>
        <v>0</v>
      </c>
      <c r="K18" t="str">
        <v>Control de Calidad</v>
      </c>
      <c r="L18">
        <v>5</v>
      </c>
      <c r="M18" s="1" t="str">
        <v>Limpieza</v>
      </c>
      <c r="N18" s="1">
        <v>0</v>
      </c>
    </row>
    <row r="19" spans="1:14" x14ac:dyDescent="0.3">
      <c r="H19" s="104" t="s">
        <v>155</v>
      </c>
      <c r="I19" s="79" cm="1">
        <f t="array" ref="I19">SUMPRODUCT((IFERROR(MONTH(Accidentes!$D$2:$D$4995),0)=6) * (_xlfn.XLOOKUP(Accidentes!$C$2:$C$4995, Trabajadores!$B$2:$B$5096, Trabajadores!$G$2:$G$5096, "")=$A$1))</f>
        <v>0</v>
      </c>
      <c r="K19" t="str">
        <v>Logística</v>
      </c>
      <c r="L19">
        <v>4</v>
      </c>
      <c r="M19" s="1" t="str">
        <v>Ventas</v>
      </c>
      <c r="N19" s="1">
        <v>0</v>
      </c>
    </row>
    <row r="20" spans="1:14" ht="25.2" customHeight="1" x14ac:dyDescent="0.3">
      <c r="A20" s="51" t="s">
        <v>176</v>
      </c>
      <c r="B20" s="51" t="s">
        <v>153</v>
      </c>
      <c r="C20" s="51" t="s">
        <v>177</v>
      </c>
      <c r="D20" s="51" t="s">
        <v>178</v>
      </c>
      <c r="F20" s="170" t="s">
        <v>179</v>
      </c>
      <c r="G20" s="171"/>
      <c r="H20" s="104" t="s">
        <v>162</v>
      </c>
      <c r="I20" s="79" cm="1">
        <f t="array" ref="I20">SUMPRODUCT((IFERROR(MONTH(Accidentes!$D$2:$D$4995),0)=7) * (_xlfn.XLOOKUP(Accidentes!$C$2:$C$4995, Trabajadores!$B$2:$B$5096, Trabajadores!$G$2:$G$5096, "")=$A$1))</f>
        <v>0</v>
      </c>
      <c r="K20" t="str">
        <v>Producción</v>
      </c>
      <c r="L20">
        <v>4</v>
      </c>
      <c r="M20" s="1" t="str">
        <v>Lavandería</v>
      </c>
      <c r="N20" s="1">
        <v>0</v>
      </c>
    </row>
    <row r="21" spans="1:14" ht="25.2" customHeight="1" x14ac:dyDescent="0.3">
      <c r="A21" s="51" t="s">
        <v>180</v>
      </c>
      <c r="B21">
        <f>COUNTIFS(Trabajadores!$G:$G, STATS!A1, Trabajadores!$F:$F, "M")</f>
        <v>109</v>
      </c>
      <c r="C21" s="41">
        <f>IFERROR(B21/B17, 0)</f>
        <v>2.8684210526315788</v>
      </c>
      <c r="D21" s="66">
        <f ca="1">IFERROR(AVERAGEIFS(Trabajadores!$E:$E, Trabajadores!$G:$G, STATS!A1, Trabajadores!$F:$F, "M"), 0)</f>
        <v>38.779816513761467</v>
      </c>
      <c r="F21" t="str" cm="1">
        <f t="array" ref="F21">_xlfn.LET(
_xlpm.m, MATCH($H$8,{"Enero","Febrero","Marzo","Abril","Mayo","Junio","Julio","Agosto","Septiembre","Octubre","Noviembre","Diciembre"},0),
_xlpm.o, $A$1,
_xlpm.dn, 'Capacitaciones'!$C$2:$C$4981,
_xlpm.tp, 'Capacitaciones'!$D$2:$D$4981,
_xlpm.fil, (IFERROR(MONTH('Capacitaciones'!$E$2:$E$4981),0)=_xlpm.m)*(_xlfn.XLOOKUP(_xlpm.dn, Trabajadores!$B$2:$B$5096, Trabajadores!$G$2:$G$5096,"")=_xlpm.o),
_xlpm.u, _xlfn.UNIQUE(_xlfn._xlws.FILTER(_xlfn.HSTACK(_xlpm.dn,_xlpm.tp),_xlpm.fil,{"",""})),
_xlpm.t, INDEX(_xlpm.u,,2),
_xlpm.ut, _xlfn.UNIQUE(_xlpm.t),
IF(INDEX(_xlpm.ut,1)="", "Sin datos", _xlfn._xlws.SORT(_xlfn.HSTACK(_xlpm.ut, _xlfn.MAP(_xlpm.ut, _xlfn.LAMBDA(_xlpm.x, SUM(--(_xlpm.t=_xlpm.x))))), 2, -1))
)</f>
        <v>Sin datos</v>
      </c>
      <c r="H21" s="104" t="s">
        <v>164</v>
      </c>
      <c r="I21" s="79" cm="1">
        <f t="array" ref="I21">SUMPRODUCT((IFERROR(MONTH(Accidentes!$D$2:$D$4995),0)=8) * (_xlfn.XLOOKUP(Accidentes!$C$2:$C$4995, Trabajadores!$B$2:$B$5096, Trabajadores!$G$2:$G$5096, "")=$A$1))</f>
        <v>0</v>
      </c>
      <c r="K21" t="str">
        <v>Asuntos Regulatorios</v>
      </c>
      <c r="L21">
        <v>3</v>
      </c>
      <c r="M21" t="str">
        <v>Facturación</v>
      </c>
      <c r="N21">
        <v>0</v>
      </c>
    </row>
    <row r="22" spans="1:14" ht="25.2" customHeight="1" x14ac:dyDescent="0.3">
      <c r="A22" s="51" t="s">
        <v>181</v>
      </c>
      <c r="B22">
        <f>COUNTIFS(Trabajadores!$G:$G, STATS!A1, Trabajadores!$F:$F, "F")</f>
        <v>5</v>
      </c>
      <c r="C22" s="41">
        <f>IFERROR(B22/B17, 0)</f>
        <v>0.13157894736842105</v>
      </c>
      <c r="D22" s="67">
        <f ca="1">IFERROR(AVERAGEIFS(Trabajadores!$E:$E, Trabajadores!$G:$G, STATS!A1, Trabajadores!$F:$F, "F"), 0)</f>
        <v>37.799999999999997</v>
      </c>
      <c r="H22" s="104" t="s">
        <v>166</v>
      </c>
      <c r="I22" s="79" cm="1">
        <f t="array" ref="I22">SUMPRODUCT((IFERROR(MONTH(Accidentes!$D$2:$D$4995),0)=9) * (_xlfn.XLOOKUP(Accidentes!$C$2:$C$4995, Trabajadores!$B$2:$B$5096, Trabajadores!$G$2:$G$5096, "")=$A$1))</f>
        <v>0</v>
      </c>
      <c r="K22" t="str">
        <v>Vigilancia</v>
      </c>
      <c r="L22">
        <v>2</v>
      </c>
      <c r="M22" t="str">
        <v>Sistemas</v>
      </c>
      <c r="N22">
        <v>0</v>
      </c>
    </row>
    <row r="23" spans="1:14" ht="25.2" customHeight="1" x14ac:dyDescent="0.3">
      <c r="A23" s="51" t="s">
        <v>175</v>
      </c>
      <c r="B23" s="60">
        <f>SUM(B21:B22)</f>
        <v>114</v>
      </c>
      <c r="C23" s="62">
        <f>SUM(C21:C22)</f>
        <v>3</v>
      </c>
      <c r="D23" s="61">
        <f>IFERROR( AVERAGEIFS(Trabajadores!$E:$E, Trabajadores!$G:$G,#REF!), 0)</f>
        <v>0</v>
      </c>
      <c r="H23" s="104" t="s">
        <v>169</v>
      </c>
      <c r="I23" s="79" cm="1">
        <f t="array" ref="I23">SUMPRODUCT((IFERROR(MONTH(Accidentes!$D$2:$D$4995),0)=10) * (_xlfn.XLOOKUP(Accidentes!$C$2:$C$4995, Trabajadores!$B$2:$B$5096, Trabajadores!$G$2:$G$5096, "")=$A$1))</f>
        <v>0</v>
      </c>
      <c r="K23" t="str">
        <v>Mantenimiento</v>
      </c>
      <c r="L23">
        <v>2</v>
      </c>
      <c r="M23" t="str">
        <v>Marketing</v>
      </c>
      <c r="N23">
        <v>0</v>
      </c>
    </row>
    <row r="24" spans="1:14" ht="25.2" customHeight="1" x14ac:dyDescent="0.3">
      <c r="H24" s="104" t="s">
        <v>171</v>
      </c>
      <c r="I24" s="79" cm="1">
        <f t="array" ref="I24">SUMPRODUCT((IFERROR(MONTH(Accidentes!$D$2:$D$4995),0)=11) * (_xlfn.XLOOKUP(Accidentes!$C$2:$C$4995, Trabajadores!$B$2:$B$5096, Trabajadores!$G$2:$G$5096, "")=$A$1))</f>
        <v>0</v>
      </c>
      <c r="K24" t="str">
        <v>Limpieza</v>
      </c>
      <c r="L24">
        <v>2</v>
      </c>
      <c r="M24" t="str">
        <v>Gerencia</v>
      </c>
      <c r="N24">
        <v>0</v>
      </c>
    </row>
    <row r="25" spans="1:14" ht="25.2" customHeight="1" x14ac:dyDescent="0.3">
      <c r="H25" s="104" t="s">
        <v>173</v>
      </c>
      <c r="I25" s="80" cm="1">
        <f t="array" ref="I25">SUMPRODUCT((IFERROR(MONTH(Accidentes!$D$2:$D$4995),0)=12) * (_xlfn.XLOOKUP(Accidentes!$C$2:$C$4995, Trabajadores!$B$2:$B$5096, Trabajadores!$G$2:$G$5096, "")=$A$1))</f>
        <v>0</v>
      </c>
      <c r="K25" t="str">
        <v>Compras</v>
      </c>
      <c r="L25">
        <v>1</v>
      </c>
      <c r="M25" t="str">
        <v>Vigilancia</v>
      </c>
      <c r="N25">
        <v>0</v>
      </c>
    </row>
    <row r="26" spans="1:14" ht="25.2" customHeight="1" x14ac:dyDescent="0.3">
      <c r="A26" s="51" t="s">
        <v>182</v>
      </c>
      <c r="B26" s="51" t="s">
        <v>183</v>
      </c>
      <c r="C26" s="51" t="s">
        <v>184</v>
      </c>
      <c r="D26" s="51" t="s">
        <v>177</v>
      </c>
      <c r="K26" t="str">
        <v>Lavandería</v>
      </c>
      <c r="L26">
        <v>1</v>
      </c>
      <c r="M26" t="str">
        <v>Mantenimiento</v>
      </c>
      <c r="N26">
        <v>0</v>
      </c>
    </row>
    <row r="27" spans="1:14" ht="25.2" customHeight="1" x14ac:dyDescent="0.3">
      <c r="A27" s="51" t="s">
        <v>185</v>
      </c>
      <c r="B27">
        <f ca="1">COUNTIFS(Trabajadores!$G:$G, STATS!A1, Trabajadores!$F:$F, "M", Trabajadores!$E:$E, "&lt;20")</f>
        <v>1</v>
      </c>
      <c r="C27">
        <f ca="1">COUNTIFS(Trabajadores!$G:$G, STATS!A1, Trabajadores!$F:$F, "F", Trabajadores!$E:$E, "&lt;20")</f>
        <v>0</v>
      </c>
      <c r="D27" s="63">
        <f ca="1">IFERROR((B27+C27)/B17, 0)</f>
        <v>2.6315789473684209E-2</v>
      </c>
      <c r="K27" t="str">
        <v>Sistemas</v>
      </c>
      <c r="L27">
        <v>1</v>
      </c>
      <c r="M27" t="str">
        <v>Capital Humano</v>
      </c>
      <c r="N27">
        <v>0</v>
      </c>
    </row>
    <row r="28" spans="1:14" ht="25.2" customHeight="1" x14ac:dyDescent="0.3">
      <c r="A28" s="51" t="s">
        <v>186</v>
      </c>
      <c r="B28">
        <f ca="1">COUNTIFS(Trabajadores!$G:$G, STATS!A1, Trabajadores!$F:$F, "M", Trabajadores!$E:$E, "&gt;=20", Trabajadores!$E:$E, "&lt;=29")</f>
        <v>21</v>
      </c>
      <c r="C28">
        <f ca="1">COUNTIFS(Trabajadores!$G:$G, STATS!A1, Trabajadores!$F:$F, "F", Trabajadores!$E:$E, "&gt;=20", Trabajadores!$E:$E, "&lt;=29")</f>
        <v>1</v>
      </c>
      <c r="D28" s="64">
        <f ca="1">IFERROR((B28+C28)/B17, 0)</f>
        <v>0.57894736842105265</v>
      </c>
      <c r="K28" t="str">
        <v>Imprenta</v>
      </c>
      <c r="L28">
        <v>1</v>
      </c>
      <c r="M28" t="str">
        <v>Aseguramiento de la Calidad</v>
      </c>
      <c r="N28">
        <v>0</v>
      </c>
    </row>
    <row r="29" spans="1:14" ht="25.2" customHeight="1" x14ac:dyDescent="0.3">
      <c r="A29" s="51" t="s">
        <v>187</v>
      </c>
      <c r="B29">
        <f ca="1">COUNTIFS(Trabajadores!$G:$G, STATS!A1, Trabajadores!$F:$F, "M", Trabajadores!$E:$E, "&gt;=30", Trabajadores!$E:$E, "&lt;=39")</f>
        <v>39</v>
      </c>
      <c r="C29">
        <f ca="1">COUNTIFS(Trabajadores!$G:$G, STATS!A1, Trabajadores!$F:$F, "F", Trabajadores!$E:$E, "&gt;=30", Trabajadores!$E:$E, "&lt;=39")</f>
        <v>2</v>
      </c>
      <c r="D29" s="64">
        <f ca="1">IFERROR((B29+C29)/B17, 0)</f>
        <v>1.0789473684210527</v>
      </c>
      <c r="K29" t="str">
        <v>Aseguramiento de la Calidad</v>
      </c>
      <c r="L29">
        <v>1</v>
      </c>
      <c r="M29">
        <v>0</v>
      </c>
      <c r="N29">
        <v>0</v>
      </c>
    </row>
    <row r="30" spans="1:14" ht="25.2" customHeight="1" x14ac:dyDescent="0.3">
      <c r="A30" s="51" t="s">
        <v>188</v>
      </c>
      <c r="B30">
        <f ca="1">COUNTIFS(Trabajadores!$G:$G, STATS!A1, Trabajadores!$F:$F, "M", Trabajadores!$E:$E, "&gt;=40", Trabajadores!$E:$E, "&lt;=49")</f>
        <v>32</v>
      </c>
      <c r="C30">
        <f ca="1">COUNTIFS(Trabajadores!$G:$G, STATS!A1, Trabajadores!$F:$F, "F", Trabajadores!$E:$E, "&gt;=40", Trabajadores!$E:$E, "&lt;=49")</f>
        <v>1</v>
      </c>
      <c r="D30" s="64">
        <f ca="1">IFERROR((B30+C30)/B17, 0)</f>
        <v>0.86842105263157898</v>
      </c>
      <c r="K30" t="str">
        <v>Contabilidad</v>
      </c>
      <c r="L30">
        <v>1</v>
      </c>
      <c r="M30" t="str">
        <v>Despacho</v>
      </c>
      <c r="N30">
        <v>0</v>
      </c>
    </row>
    <row r="31" spans="1:14" ht="25.2" customHeight="1" x14ac:dyDescent="0.3">
      <c r="A31" s="51" t="s">
        <v>189</v>
      </c>
      <c r="B31">
        <f ca="1">COUNTIFS(Trabajadores!$G:$G, STATS!A1, Trabajadores!$F:$F, "M", Trabajadores!$E:$E, "&gt;=50", Trabajadores!$E:$E, "&lt;=59")</f>
        <v>12</v>
      </c>
      <c r="C31">
        <f ca="1">COUNTIFS(Trabajadores!$G:$G, STATS!A1, Trabajadores!$F:$F, "F", Trabajadores!$E:$E, "&gt;=50", Trabajadores!$E:$E, "&lt;=59")</f>
        <v>1</v>
      </c>
      <c r="D31" s="64">
        <f ca="1">IFERROR((B31+C31)/B17, 0)</f>
        <v>0.34210526315789475</v>
      </c>
      <c r="K31" t="str">
        <v>Investigación y Desarrollo</v>
      </c>
      <c r="L31">
        <v>1</v>
      </c>
      <c r="M31" t="str">
        <v>Tesorería</v>
      </c>
      <c r="N31">
        <v>0</v>
      </c>
    </row>
    <row r="32" spans="1:14" ht="25.2" customHeight="1" x14ac:dyDescent="0.3">
      <c r="A32" s="51" t="s">
        <v>190</v>
      </c>
      <c r="B32">
        <f ca="1">COUNTIFS(Trabajadores!$G:$G, STATS!A1, Trabajadores!$F:$F, "M", Trabajadores!$E:$E, "&gt;=60")</f>
        <v>4</v>
      </c>
      <c r="C32">
        <f ca="1">COUNTIFS(Trabajadores!$G:$G, STATS!A1, Trabajadores!$F:$F, "F", Trabajadores!$E:$E, "&gt;=60")</f>
        <v>0</v>
      </c>
      <c r="D32" s="64">
        <f ca="1">IFERROR((B32+C32)/17, 0)</f>
        <v>0.23529411764705882</v>
      </c>
      <c r="K32" t="str">
        <v>Ventas</v>
      </c>
      <c r="L32">
        <v>1</v>
      </c>
      <c r="M32" t="str">
        <v>Asuntos Regulatorios</v>
      </c>
      <c r="N32">
        <v>0</v>
      </c>
    </row>
    <row r="33" spans="1:14" x14ac:dyDescent="0.3">
      <c r="A33" s="51" t="s">
        <v>175</v>
      </c>
      <c r="B33" s="60">
        <f ca="1">SUM(B27:B32)</f>
        <v>109</v>
      </c>
      <c r="C33" s="58">
        <f ca="1">SUM(C27:C32)</f>
        <v>5</v>
      </c>
      <c r="D33" s="65">
        <f ca="1">IFERROR((B33+C33)/B17, 0)</f>
        <v>3</v>
      </c>
      <c r="M33" t="str">
        <v>Transporte</v>
      </c>
      <c r="N33">
        <v>0</v>
      </c>
    </row>
    <row r="34" spans="1:14" x14ac:dyDescent="0.3">
      <c r="M34" t="str">
        <v>Investigación y Desarrollo</v>
      </c>
      <c r="N34">
        <v>0</v>
      </c>
    </row>
    <row r="37" spans="1:14" ht="19.95" customHeight="1" x14ac:dyDescent="0.3">
      <c r="A37" s="106"/>
      <c r="B37" s="175" t="s">
        <v>183</v>
      </c>
      <c r="C37" s="176"/>
      <c r="D37" s="176"/>
      <c r="E37" s="177"/>
      <c r="F37" s="178" t="s">
        <v>191</v>
      </c>
      <c r="G37" s="175" t="s">
        <v>184</v>
      </c>
      <c r="H37" s="176"/>
      <c r="I37" s="176"/>
      <c r="J37" s="177"/>
      <c r="K37" s="178" t="s">
        <v>192</v>
      </c>
    </row>
    <row r="38" spans="1:14" ht="30" customHeight="1" x14ac:dyDescent="0.3">
      <c r="A38" s="107"/>
      <c r="B38" s="105" t="s">
        <v>193</v>
      </c>
      <c r="C38" s="105" t="s">
        <v>194</v>
      </c>
      <c r="D38" s="105" t="s">
        <v>195</v>
      </c>
      <c r="E38" s="105" t="s">
        <v>196</v>
      </c>
      <c r="F38" s="179"/>
      <c r="G38" s="105" t="s">
        <v>193</v>
      </c>
      <c r="H38" s="105" t="s">
        <v>194</v>
      </c>
      <c r="I38" s="105" t="s">
        <v>195</v>
      </c>
      <c r="J38" s="105" t="s">
        <v>196</v>
      </c>
      <c r="K38" s="179"/>
    </row>
    <row r="39" spans="1:14" ht="19.95" customHeight="1" x14ac:dyDescent="0.3">
      <c r="A39" s="104" t="s">
        <v>175</v>
      </c>
      <c r="B39" s="69" cm="1">
        <f t="array" ref="B39">_xlfn.LET(_xlpm.m, MATCH($H$8,{"Enero","Febrero","Marzo","Abril","Mayo","Junio","Julio","Agosto","Septiembre","Octubre","Noviembre","Diciembre"},0), _xlpm.o, $A$1, SUMPRODUCT((IFERROR(MONTH(Trabajadores!$L$2:$L$5094),0)=_xlpm.m)*(Trabajadores!$L$2:$L$5094&lt;&gt;"")*(Trabajadores!$G$2:$G$5094=_xlpm.o)*(Trabajadores!$F$2:$F$5094="M")*(Trabajadores!$V$2:$V$5094="Apto")))</f>
        <v>13</v>
      </c>
      <c r="C39" s="69" cm="1">
        <f t="array" ref="C39">_xlfn.LET(_xlpm.m, MATCH($H$8,{"Enero","Febrero","Marzo","Abril","Mayo","Junio","Julio","Agosto","Septiembre","Octubre","Noviembre","Diciembre"},0), _xlpm.o, $A$1, SUMPRODUCT((IFERROR(MONTH(Trabajadores!$L$2:$L$5094),0)=_xlpm.m)*(Trabajadores!$L$2:$L$5094&lt;&gt;"")*(Trabajadores!$G$2:$G$5094=_xlpm.o)*(Trabajadores!$F$2:$F$5094="M")*(Trabajadores!$V$2:$V$5094="Apto con Restricción")))</f>
        <v>17</v>
      </c>
      <c r="D39" s="69" cm="1">
        <f t="array" ref="D39">_xlfn.LET(_xlpm.m, MATCH($H$8,{"Enero","Febrero","Marzo","Abril","Mayo","Junio","Julio","Agosto","Septiembre","Octubre","Noviembre","Diciembre"},0), _xlpm.o, $A$1, SUMPRODUCT((IFERROR(MONTH(Trabajadores!$L$2:$L$5094),0)=_xlpm.m)*(Trabajadores!$L$2:$L$5094&lt;&gt;"")*(Trabajadores!$G$2:$G$5094=_xlpm.o)*(Trabajadores!$F$2:$F$5094="M")*(Trabajadores!$V$2:$V$5094="Observado")))</f>
        <v>3</v>
      </c>
      <c r="E39" s="69" cm="1">
        <f t="array" ref="E39">_xlfn.LET(_xlpm.m, MATCH($H$8,{"Enero","Febrero","Marzo","Abril","Mayo","Junio","Julio","Agosto","Septiembre","Octubre","Noviembre","Diciembre"},0), _xlpm.o, $A$1, SUMPRODUCT((IFERROR(MONTH(Trabajadores!$L$2:$L$5094),0)=_xlpm.m)*(Trabajadores!$L$2:$L$5094&lt;&gt;"")*(Trabajadores!$G$2:$G$5094=_xlpm.o)*(Trabajadores!$F$2:$F$5094="M")*(Trabajadores!$V$2:$V$5094="No Apto")))</f>
        <v>0</v>
      </c>
      <c r="F39" s="96">
        <f>SUM(B39:E39)</f>
        <v>33</v>
      </c>
      <c r="G39" s="69" cm="1">
        <f t="array" ref="G39">_xlfn.LET(_xlpm.m, MATCH($H$8,{"Enero","Febrero","Marzo","Abril","Mayo","Junio","Julio","Agosto","Septiembre","Octubre","Noviembre","Diciembre"},0), _xlpm.o, $A$1, SUMPRODUCT((IFERROR(MONTH(Trabajadores!$L$2:$L$5094),0)=_xlpm.m)*(Trabajadores!$L$2:$L$5094&lt;&gt;"")*(Trabajadores!$G$2:$G$5094=_xlpm.o)*(Trabajadores!$F$2:$F$5094="F")*(Trabajadores!$V$2:$V$5094="Apto")))</f>
        <v>0</v>
      </c>
      <c r="H39" s="69" cm="1">
        <f t="array" ref="H39">_xlfn.LET(_xlpm.m, MATCH($H$8,{"Enero","Febrero","Marzo","Abril","Mayo","Junio","Julio","Agosto","Septiembre","Octubre","Noviembre","Diciembre"},0), _xlpm.o, $A$1, SUMPRODUCT((IFERROR(MONTH(Trabajadores!$L$2:$L$5094),0)=_xlpm.m)*(Trabajadores!$L$2:$L$5094&lt;&gt;"")*(Trabajadores!$G$2:$G$5094=_xlpm.o)*(Trabajadores!$F$2:$F$5094="F")*(Trabajadores!$V$2:$V$5094="Apto con Restricción")))</f>
        <v>1</v>
      </c>
      <c r="I39" s="69" cm="1">
        <f t="array" ref="I39">_xlfn.LET(_xlpm.m, MATCH($H$8,{"Enero","Febrero","Marzo","Abril","Mayo","Junio","Julio","Agosto","Septiembre","Octubre","Noviembre","Diciembre"},0), _xlpm.o, $A$1, SUMPRODUCT((IFERROR(MONTH(Trabajadores!$L$2:$L$5094),0)=_xlpm.m)*(Trabajadores!$L$2:$L$5094&lt;&gt;"")*(Trabajadores!$G$2:$G$5094=_xlpm.o)*(Trabajadores!$F$2:$F$5094="F")*(Trabajadores!$V$2:$V$5094="Observado")))</f>
        <v>0</v>
      </c>
      <c r="J39" s="69" cm="1">
        <f t="array" ref="J39">_xlfn.LET(_xlpm.m, MATCH($H$8,{"Enero","Febrero","Marzo","Abril","Mayo","Junio","Julio","Agosto","Septiembre","Octubre","Noviembre","Diciembre"},0), _xlpm.o, $A$1, SUMPRODUCT((IFERROR(MONTH(Trabajadores!$L$2:$L$5094),0)=_xlpm.m)*(Trabajadores!$L$2:$L$5094&lt;&gt;"")*(Trabajadores!$G$2:$G$5094=_xlpm.o)*(Trabajadores!$F$2:$F$5094="F")*(Trabajadores!$V$2:$V$5094="No Apto")))</f>
        <v>0</v>
      </c>
      <c r="K39" s="96">
        <f>SUM(G39:J39)</f>
        <v>1</v>
      </c>
    </row>
    <row r="40" spans="1:14" x14ac:dyDescent="0.3">
      <c r="D40" s="108"/>
    </row>
    <row r="47" spans="1:14" ht="19.95" customHeight="1" x14ac:dyDescent="0.3">
      <c r="A47" s="51"/>
      <c r="B47" s="51" t="s">
        <v>197</v>
      </c>
      <c r="C47" s="109" t="s">
        <v>198</v>
      </c>
      <c r="D47" s="109" t="s">
        <v>175</v>
      </c>
    </row>
    <row r="48" spans="1:14" ht="19.95" customHeight="1" x14ac:dyDescent="0.3">
      <c r="A48" s="51" t="s">
        <v>199</v>
      </c>
      <c r="B48" s="1">
        <f>COUNTIFS(Trabajadores!$G:$G, STATS!A1, Trabajadores!$F:$F, "M", Trabajadores!$K:$K, "Oficina")</f>
        <v>3</v>
      </c>
      <c r="C48" s="1">
        <f>COUNTIFS(Trabajadores!$G:$G, STATS!A1, Trabajadores!$F:$F, "F", Trabajadores!$K:$K, "Oficina")</f>
        <v>0</v>
      </c>
      <c r="D48" s="68">
        <f>SUM(B48:C48)</f>
        <v>3</v>
      </c>
    </row>
    <row r="49" spans="1:6" ht="19.95" customHeight="1" x14ac:dyDescent="0.3">
      <c r="A49" s="51" t="s">
        <v>200</v>
      </c>
      <c r="B49" s="1">
        <f>COUNTIFS(Trabajadores!$G:$G, STATS!A1, Trabajadores!$F:$F, "M", Trabajadores!$K:$K, "Técnico")</f>
        <v>106</v>
      </c>
      <c r="C49" s="1">
        <f>COUNTIFS(Trabajadores!$G:$G, STATS!A1, Trabajadores!$F:$F, "F", Trabajadores!$K:$K, "Técnico")</f>
        <v>5</v>
      </c>
      <c r="D49" s="56">
        <f>SUM(B49:C49)</f>
        <v>111</v>
      </c>
    </row>
    <row r="50" spans="1:6" ht="19.95" customHeight="1" x14ac:dyDescent="0.3">
      <c r="A50" s="110" t="s">
        <v>175</v>
      </c>
      <c r="B50" s="55">
        <f>SUM(B48:B49)</f>
        <v>109</v>
      </c>
      <c r="C50" s="55">
        <f>SUM(C48:C49)</f>
        <v>5</v>
      </c>
      <c r="D50" s="57">
        <f>SUM(D48:D49)</f>
        <v>114</v>
      </c>
    </row>
    <row r="51" spans="1:6" ht="25.2" customHeight="1" x14ac:dyDescent="0.3"/>
    <row r="52" spans="1:6" ht="25.2" customHeight="1" x14ac:dyDescent="0.3"/>
    <row r="53" spans="1:6" ht="25.2" customHeight="1" x14ac:dyDescent="0.3"/>
    <row r="56" spans="1:6" x14ac:dyDescent="0.3">
      <c r="A56" s="51" t="s">
        <v>201</v>
      </c>
      <c r="B56" s="51" t="s">
        <v>202</v>
      </c>
      <c r="C56" s="51" t="s">
        <v>203</v>
      </c>
      <c r="D56" s="51" t="s">
        <v>204</v>
      </c>
      <c r="E56" s="51" t="s">
        <v>205</v>
      </c>
      <c r="F56" s="105" t="s">
        <v>206</v>
      </c>
    </row>
    <row r="57" spans="1:6" x14ac:dyDescent="0.3">
      <c r="A57" s="51" t="s">
        <v>133</v>
      </c>
      <c r="B57" s="1" cm="1">
        <f t="array" ref="B57">SUMPRODUCT((MONTH('Capacitaciones'!$E$2:$E$4981)=1)*('Capacitaciones'!$E$2:$E$4981&lt;&gt;"")*('Capacitaciones'!$D$2:$D$4981="GOLPE DE CALOR")*(_xlfn.XLOOKUP('Capacitaciones'!$C$2:$C$4981, Trabajadores!$B$2:$B$5094, Trabajadores!$G$2:$G$5094, "")=STATS!A1))</f>
        <v>0</v>
      </c>
      <c r="C57" s="1" cm="1">
        <f t="array" ref="C57">SUMPRODUCT((MONTH('Capacitaciones'!$E$2:$E$4981)=1)*('Capacitaciones'!$E$2:$E$4981&lt;&gt;"")*('Capacitaciones'!$D$2:$D$4981="VIGILANCIA")*(_xlfn.XLOOKUP('Capacitaciones'!$C$2:$C$4981, Trabajadores!$B$2:$B$5094, Trabajadores!$G$2:$G$5094, "")=STATS!A1))</f>
        <v>0</v>
      </c>
      <c r="D57" s="1" cm="1">
        <f t="array" ref="D57">SUMPRODUCT((MONTH('Capacitaciones'!$E$2:$E$4981)=1)*('Capacitaciones'!$E$2:$E$4981&lt;&gt;"")*('Capacitaciones'!$D$2:$D$4981="ERGONOMIA")*(_xlfn.XLOOKUP('Capacitaciones'!$C$2:$C$4981, Trabajadores!$B$2:$B$5094, Trabajadores!$G$2:$G$5094, "")=STATS!A1))</f>
        <v>0</v>
      </c>
      <c r="E57" s="1" cm="1">
        <f t="array" ref="E57">SUMPRODUCT((MONTH('Capacitaciones'!$E$2:$E$4981)=1)*('Capacitaciones'!$E$2:$E$4981&lt;&gt;"")*('Capacitaciones'!$D$2:$D$4981="TME")*(_xlfn.XLOOKUP('Capacitaciones'!$C$2:$C$4981, Trabajadores!$B$2:$B$5094, Trabajadores!$G$2:$G$5094, "")=STATS!A1))</f>
        <v>0</v>
      </c>
      <c r="F57" s="75" cm="1">
        <f t="array" ref="F57">SUMPRODUCT((MONTH('Capacitaciones'!$E$2:$E$4981)=1)*('Capacitaciones'!$E$2:$E$4981&lt;&gt;"")*('Capacitaciones'!$D$2:$D$4981="PSICOSOCIAL")*(_xlfn.XLOOKUP('Capacitaciones'!$C$2:$C$4981, Trabajadores!$B$2:$B$5094, Trabajadores!$G$2:$G$5094, "")=STATS!A1))</f>
        <v>0</v>
      </c>
    </row>
    <row r="58" spans="1:6" x14ac:dyDescent="0.3">
      <c r="A58" s="51" t="s">
        <v>134</v>
      </c>
      <c r="B58" s="1" cm="1">
        <f t="array" ref="B58">SUMPRODUCT((MONTH('Capacitaciones'!$E$2:$E$4981)=2)*('Capacitaciones'!$E$2:$E$4981&lt;&gt;"")*('Capacitaciones'!$D$2:$D$4981="GOLPE DE CALOR")*(_xlfn.XLOOKUP('Capacitaciones'!$C$2:$C$4981, Trabajadores!$B$2:$B$5094, Trabajadores!$G$2:$G$5094, "")=STATS!A1))</f>
        <v>0</v>
      </c>
      <c r="C58" s="1" cm="1">
        <f t="array" ref="C58">SUMPRODUCT((MONTH('Capacitaciones'!$E$2:$E$4981)=2)*('Capacitaciones'!$E$2:$E$4981&lt;&gt;"")*('Capacitaciones'!$D$2:$D$4981="VIGILANCIA")*(_xlfn.XLOOKUP('Capacitaciones'!$C$2:$C$4981, Trabajadores!$B$2:$B$5094, Trabajadores!$G$2:$G$5094, "")=STATS!A1))</f>
        <v>0</v>
      </c>
      <c r="D58" s="1" cm="1">
        <f t="array" ref="D58">SUMPRODUCT((MONTH('Capacitaciones'!$E$2:$E$4981)=2)*('Capacitaciones'!$E$2:$E$4981&lt;&gt;"")*('Capacitaciones'!$D$2:$D$4981="ERGONOMIA")*(_xlfn.XLOOKUP('Capacitaciones'!$C$2:$C$4981, Trabajadores!$B$2:$B$5094, Trabajadores!$G$2:$G$5094, "")=STATS!A1))</f>
        <v>0</v>
      </c>
      <c r="E58" s="1" cm="1">
        <f t="array" ref="E58">SUMPRODUCT((MONTH('Capacitaciones'!$E$2:$E$4981)=2)*('Capacitaciones'!$E$2:$E$4981&lt;&gt;"")*('Capacitaciones'!$D$2:$D$4981="TME")*(_xlfn.XLOOKUP('Capacitaciones'!$C$2:$C$4981, Trabajadores!$B$2:$B$5094, Trabajadores!$G$2:$G$5094, "")=STATS!A1))</f>
        <v>0</v>
      </c>
      <c r="F58" s="56" cm="1">
        <f t="array" ref="F58">SUMPRODUCT((MONTH('Capacitaciones'!$E$2:$E$4981)=2)*('Capacitaciones'!$E$2:$E$4981&lt;&gt;"")*('Capacitaciones'!$D$2:$D$4981="PSICOSOCIAL")*(_xlfn.XLOOKUP('Capacitaciones'!$C$2:$C$4981, Trabajadores!$B$2:$B$5094, Trabajadores!$G$2:$G$5094, "")=STATS!A1))</f>
        <v>0</v>
      </c>
    </row>
    <row r="59" spans="1:6" x14ac:dyDescent="0.3">
      <c r="A59" s="51" t="s">
        <v>141</v>
      </c>
      <c r="B59" s="1" cm="1">
        <f t="array" ref="B59">SUMPRODUCT((MONTH('Capacitaciones'!$E$2:$E$4981)=3)*('Capacitaciones'!$E$2:$E$4981&lt;&gt;"")*('Capacitaciones'!$D$2:$D$4981="GOLPE DE CALOR")*(_xlfn.XLOOKUP('Capacitaciones'!$C$2:$C$4981, Trabajadores!$B$2:$B$5094, Trabajadores!$G$2:$G$5094, "")=STATS!A1))</f>
        <v>0</v>
      </c>
      <c r="C59" s="1" cm="1">
        <f t="array" ref="C59">SUMPRODUCT((MONTH('Capacitaciones'!$E$2:$E$4981)=3)*('Capacitaciones'!$E$2:$E$4981&lt;&gt;"")*('Capacitaciones'!$D$2:$D$4981="VIGILANCIA")*(_xlfn.XLOOKUP('Capacitaciones'!$C$2:$C$4981, Trabajadores!$B$2:$B$5094, Trabajadores!$G$2:$G$5094, "")=STATS!A1))</f>
        <v>0</v>
      </c>
      <c r="D59" s="1" cm="1">
        <f t="array" ref="D59">SUMPRODUCT((MONTH('Capacitaciones'!$E$2:$E$4981)=3)*('Capacitaciones'!$E$2:$E$4981&lt;&gt;"")*('Capacitaciones'!$D$2:$D$4981="ERGONOMIA")*(_xlfn.XLOOKUP('Capacitaciones'!$C$2:$C$4981, Trabajadores!$B$2:$B$5094, Trabajadores!$G$2:$G$5094, "")=STATS!A1))</f>
        <v>0</v>
      </c>
      <c r="E59" s="1" cm="1">
        <f t="array" ref="E59">SUMPRODUCT((MONTH('Capacitaciones'!$E$2:$E$4981)=3)*('Capacitaciones'!$E$2:$E$4981&lt;&gt;"")*('Capacitaciones'!$D$2:$D$4981="TME")*(_xlfn.XLOOKUP('Capacitaciones'!$C$2:$C$4981, Trabajadores!$B$2:$B$5094, Trabajadores!$G$2:$G$5094, "")=STATS!A1))</f>
        <v>0</v>
      </c>
      <c r="F59" s="56" cm="1">
        <f t="array" ref="F59">SUMPRODUCT((MONTH('Capacitaciones'!$E$2:$E$4981)=3)*('Capacitaciones'!$E$2:$E$4981&lt;&gt;"")*('Capacitaciones'!$D$2:$D$4981="PSICOSOCIAL")*(_xlfn.XLOOKUP('Capacitaciones'!$C$2:$C$4981, Trabajadores!$B$2:$B$5094, Trabajadores!$G$2:$G$5094, "")=STATS!A1))</f>
        <v>0</v>
      </c>
    </row>
    <row r="60" spans="1:6" x14ac:dyDescent="0.3">
      <c r="A60" s="51" t="s">
        <v>143</v>
      </c>
      <c r="B60" s="1" cm="1">
        <f t="array" ref="B60">SUMPRODUCT((MONTH('Capacitaciones'!$E$2:$E$4981)=4)*('Capacitaciones'!$E$2:$E$4981&lt;&gt;"")*('Capacitaciones'!$D$2:$D$4981="GOLPE DE CALOR")*(_xlfn.XLOOKUP('Capacitaciones'!$C$2:$C$4981, Trabajadores!$B$2:$B$5094, Trabajadores!$G$2:$G$5094, "")=STATS!A1))</f>
        <v>0</v>
      </c>
      <c r="C60" s="1" cm="1">
        <f t="array" ref="C60">SUMPRODUCT((MONTH('Capacitaciones'!$E$2:$E$4981)=4)*('Capacitaciones'!$E$2:$E$4981&lt;&gt;"")*('Capacitaciones'!$D$2:$D$4981="VIGILANCIA")*(_xlfn.XLOOKUP('Capacitaciones'!$C$2:$C$4981, Trabajadores!$B$2:$B$5094, Trabajadores!$G$2:$G$5094, "")=STATS!A1))</f>
        <v>0</v>
      </c>
      <c r="D60" s="1" cm="1">
        <f t="array" ref="D60">SUMPRODUCT((MONTH('Capacitaciones'!$E$2:$E$4981)=4)*('Capacitaciones'!$E$2:$E$4981&lt;&gt;"")*('Capacitaciones'!$D$2:$D$4981="ERGONOMIA")*(_xlfn.XLOOKUP('Capacitaciones'!$C$2:$C$4981, Trabajadores!$B$2:$B$5094, Trabajadores!$G$2:$G$5094, "")=STATS!A1))</f>
        <v>0</v>
      </c>
      <c r="E60" s="1" cm="1">
        <f t="array" ref="E60">SUMPRODUCT((MONTH('Capacitaciones'!$E$2:$E$4981)=4)*('Capacitaciones'!$E$2:$E$4981&lt;&gt;"")*('Capacitaciones'!$D$2:$D$4981="TME")*(_xlfn.XLOOKUP('Capacitaciones'!$C$2:$C$4981, Trabajadores!$B$2:$B$5094, Trabajadores!$G$2:$G$5094, "")=STATS!A1))</f>
        <v>0</v>
      </c>
      <c r="F60" s="56" cm="1">
        <f t="array" ref="F60">SUMPRODUCT((MONTH('Capacitaciones'!$E$2:$E$4981)=4)*('Capacitaciones'!$E$2:$E$4981&lt;&gt;"")*('Capacitaciones'!$D$2:$D$4981="PSICOSOCIAL")*(_xlfn.XLOOKUP('Capacitaciones'!$C$2:$C$4981, Trabajadores!$B$2:$B$5094, Trabajadores!$G$2:$G$5094, "")=STATS!A1))</f>
        <v>0</v>
      </c>
    </row>
    <row r="61" spans="1:6" x14ac:dyDescent="0.3">
      <c r="A61" s="51" t="s">
        <v>152</v>
      </c>
      <c r="B61" s="1" cm="1">
        <f t="array" ref="B61">SUMPRODUCT((MONTH('Capacitaciones'!$E$2:$E$4981)=5)*('Capacitaciones'!$E$2:$E$4981&lt;&gt;"")*('Capacitaciones'!$D$2:$D$4981="GOLPE DE CALOR")*(_xlfn.XLOOKUP('Capacitaciones'!$C$2:$C$4981, Trabajadores!$B$2:$B$5094, Trabajadores!$G$2:$G$5094, "")=STATS!A1))</f>
        <v>0</v>
      </c>
      <c r="C61" s="1" cm="1">
        <f t="array" ref="C61">SUMPRODUCT((MONTH('Capacitaciones'!$E$2:$E$4981)=5)*('Capacitaciones'!$E$2:$E$4981&lt;&gt;"")*('Capacitaciones'!$D$2:$D$4981="VIGILANCIA")*(_xlfn.XLOOKUP('Capacitaciones'!$C$2:$C$4981, Trabajadores!$B$2:$B$5094, Trabajadores!$G$2:$G$5094, "")=STATS!A1))</f>
        <v>0</v>
      </c>
      <c r="D61" s="1" cm="1">
        <f t="array" ref="D61">SUMPRODUCT((MONTH('Capacitaciones'!$E$2:$E$4981)=5)*('Capacitaciones'!$E$2:$E$4981&lt;&gt;"")*('Capacitaciones'!$D$2:$D$4981="ERGONOMIA")*(_xlfn.XLOOKUP('Capacitaciones'!$C$2:$C$4981, Trabajadores!$B$2:$B$5094, Trabajadores!$G$2:$G$5094, "")=STATS!A1))</f>
        <v>0</v>
      </c>
      <c r="E61" s="1" cm="1">
        <f t="array" ref="E61">SUMPRODUCT((MONTH('Capacitaciones'!$E$2:$E$4981)=5)*('Capacitaciones'!$E$2:$E$4981&lt;&gt;"")*('Capacitaciones'!$D$2:$D$4981="TME")*(_xlfn.XLOOKUP('Capacitaciones'!$C$2:$C$4981, Trabajadores!$B$2:$B$5094, Trabajadores!$G$2:$G$5094, "")=STATS!A1))</f>
        <v>0</v>
      </c>
      <c r="F61" s="56" cm="1">
        <f t="array" ref="F61">SUMPRODUCT((MONTH('Capacitaciones'!$E$2:$E$4981)=5)*('Capacitaciones'!$E$2:$E$4981&lt;&gt;"")*('Capacitaciones'!$D$2:$D$4981="PSICOSOCIAL")*(_xlfn.XLOOKUP('Capacitaciones'!$C$2:$C$4981, Trabajadores!$B$2:$B$5094, Trabajadores!$G$2:$G$5094, "")=STATS!A1))</f>
        <v>0</v>
      </c>
    </row>
    <row r="62" spans="1:6" x14ac:dyDescent="0.3">
      <c r="A62" s="51" t="s">
        <v>155</v>
      </c>
      <c r="B62" s="1" cm="1">
        <f t="array" ref="B62">SUMPRODUCT((MONTH('Capacitaciones'!$E$2:$E$4981)=6)*('Capacitaciones'!$E$2:$E$4981&lt;&gt;"")*('Capacitaciones'!$D$2:$D$4981="GOLPE DE CALOR")*(_xlfn.XLOOKUP('Capacitaciones'!$C$2:$C$4981, Trabajadores!$B$2:$B$5094, Trabajadores!$G$2:$G$5094, "")=STATS!A1))</f>
        <v>0</v>
      </c>
      <c r="C62" s="1" cm="1">
        <f t="array" ref="C62">SUMPRODUCT((MONTH('Capacitaciones'!$E$2:$E$4981)=6)*('Capacitaciones'!$E$2:$E$4981&lt;&gt;"")*('Capacitaciones'!$D$2:$D$4981="VIGILANCIA")*(_xlfn.XLOOKUP('Capacitaciones'!$C$2:$C$4981, Trabajadores!$B$2:$B$5094, Trabajadores!$G$2:$G$5094, "")=STATS!A1))</f>
        <v>0</v>
      </c>
      <c r="D62" s="1" cm="1">
        <f t="array" ref="D62">SUMPRODUCT((MONTH('Capacitaciones'!$E$2:$E$4981)=6)*('Capacitaciones'!$E$2:$E$4981&lt;&gt;"")*('Capacitaciones'!$D$2:$D$4981="ERGONOMIA")*(_xlfn.XLOOKUP('Capacitaciones'!$C$2:$C$4981, Trabajadores!$B$2:$B$5094, Trabajadores!$G$2:$G$5094, "")=STATS!A1))</f>
        <v>0</v>
      </c>
      <c r="E62" s="1" cm="1">
        <f t="array" ref="E62">SUMPRODUCT((MONTH('Capacitaciones'!$E$2:$E$4981)=6)*('Capacitaciones'!$E$2:$E$4981&lt;&gt;"")*('Capacitaciones'!$D$2:$D$4981="TME")*(_xlfn.XLOOKUP('Capacitaciones'!$C$2:$C$4981, Trabajadores!$B$2:$B$5094, Trabajadores!$G$2:$G$5094, "")=STATS!A1))</f>
        <v>0</v>
      </c>
      <c r="F62" s="56" cm="1">
        <f t="array" ref="F62">SUMPRODUCT((MONTH('Capacitaciones'!$E$2:$E$4981)=6)*('Capacitaciones'!$E$2:$E$4981&lt;&gt;"")*('Capacitaciones'!$D$2:$D$4981="PSICOSOCIAL")*(_xlfn.XLOOKUP('Capacitaciones'!$C$2:$C$4981, Trabajadores!$B$2:$B$5094, Trabajadores!$G$2:$G$5094, "")=STATS!A1))</f>
        <v>0</v>
      </c>
    </row>
    <row r="63" spans="1:6" x14ac:dyDescent="0.3">
      <c r="A63" s="51" t="s">
        <v>162</v>
      </c>
      <c r="B63" s="1" cm="1">
        <f t="array" ref="B63">SUMPRODUCT((MONTH('Capacitaciones'!$E$2:$E$4981)=7)*('Capacitaciones'!$E$2:$E$4981&lt;&gt;"")*('Capacitaciones'!$D$2:$D$4981="GOLPE DE CALOR")*(_xlfn.XLOOKUP('Capacitaciones'!$C$2:$C$4981, Trabajadores!$B$2:$B$5094, Trabajadores!$G$2:$G$5094, "")=STATS!A1))</f>
        <v>0</v>
      </c>
      <c r="C63" s="1" cm="1">
        <f t="array" ref="C63">SUMPRODUCT((MONTH('Capacitaciones'!$E$2:$E$4981)=7)*('Capacitaciones'!$E$2:$E$4981&lt;&gt;"")*('Capacitaciones'!$D$2:$D$4981="VIGILANCIA")*(_xlfn.XLOOKUP('Capacitaciones'!$C$2:$C$4981, Trabajadores!$B$2:$B$5094, Trabajadores!$G$2:$G$5094, "")=STATS!A1))</f>
        <v>0</v>
      </c>
      <c r="D63" s="1" cm="1">
        <f t="array" ref="D63">SUMPRODUCT((MONTH('Capacitaciones'!$E$2:$E$4981)=7)*('Capacitaciones'!$E$2:$E$4981&lt;&gt;"")*('Capacitaciones'!$D$2:$D$4981="ERGONOMIA")*(_xlfn.XLOOKUP('Capacitaciones'!$C$2:$C$4981, Trabajadores!$B$2:$B$5094, Trabajadores!$G$2:$G$5094, "")=STATS!A1))</f>
        <v>0</v>
      </c>
      <c r="E63" s="1" cm="1">
        <f t="array" ref="E63">SUMPRODUCT((MONTH('Capacitaciones'!$E$2:$E$4981)=7)*('Capacitaciones'!$E$2:$E$4981&lt;&gt;"")*('Capacitaciones'!$D$2:$D$4981="TME")*(_xlfn.XLOOKUP('Capacitaciones'!$C$2:$C$4981, Trabajadores!$B$2:$B$5094, Trabajadores!$G$2:$G$5094, "")=STATS!A1))</f>
        <v>0</v>
      </c>
      <c r="F63" s="56" cm="1">
        <f t="array" ref="F63">SUMPRODUCT((MONTH('Capacitaciones'!$E$2:$E$4981)=7)*('Capacitaciones'!$E$2:$E$4981&lt;&gt;"")*('Capacitaciones'!$D$2:$D$4981="PSICOSOCIAL")*(_xlfn.XLOOKUP('Capacitaciones'!$C$2:$C$4981, Trabajadores!$B$2:$B$5094, Trabajadores!$G$2:$G$5094, "")=STATS!A1))</f>
        <v>0</v>
      </c>
    </row>
    <row r="64" spans="1:6" x14ac:dyDescent="0.3">
      <c r="A64" s="51" t="s">
        <v>164</v>
      </c>
      <c r="B64" s="1" cm="1">
        <f t="array" ref="B64">SUMPRODUCT((MONTH('Capacitaciones'!$E$2:$E$4981)=8)*('Capacitaciones'!$E$2:$E$4981&lt;&gt;"")*('Capacitaciones'!$D$2:$D$4981="GOLPE DE CALOR")*(_xlfn.XLOOKUP('Capacitaciones'!$C$2:$C$4981, Trabajadores!$B$2:$B$5094, Trabajadores!$G$2:$G$5094, "")=STATS!A1))</f>
        <v>0</v>
      </c>
      <c r="C64" s="1" cm="1">
        <f t="array" ref="C64">SUMPRODUCT((MONTH('Capacitaciones'!$E$2:$E$4981)=8)*('Capacitaciones'!$E$2:$E$4981&lt;&gt;"")*('Capacitaciones'!$D$2:$D$4981="VIGILANCIA")*(_xlfn.XLOOKUP('Capacitaciones'!$C$2:$C$4981, Trabajadores!$B$2:$B$5094, Trabajadores!$G$2:$G$5094, "")=STATS!A1))</f>
        <v>0</v>
      </c>
      <c r="D64" s="1" cm="1">
        <f t="array" ref="D64">SUMPRODUCT((MONTH('Capacitaciones'!$E$2:$E$4981)=8)*('Capacitaciones'!$E$2:$E$4981&lt;&gt;"")*('Capacitaciones'!$D$2:$D$4981="ERGONOMIA")*(_xlfn.XLOOKUP('Capacitaciones'!$C$2:$C$4981, Trabajadores!$B$2:$B$5094, Trabajadores!$G$2:$G$5094, "")=STATS!A1))</f>
        <v>0</v>
      </c>
      <c r="E64" s="1" cm="1">
        <f t="array" ref="E64">SUMPRODUCT((MONTH('Capacitaciones'!$E$2:$E$4981)=8)*('Capacitaciones'!$E$2:$E$4981&lt;&gt;"")*('Capacitaciones'!$D$2:$D$4981="TME")*(_xlfn.XLOOKUP('Capacitaciones'!$C$2:$C$4981, Trabajadores!$B$2:$B$5094, Trabajadores!$G$2:$G$5094, "")=STATS!A1))</f>
        <v>0</v>
      </c>
      <c r="F64" s="56" cm="1">
        <f t="array" ref="F64">SUMPRODUCT((MONTH('Capacitaciones'!$E$2:$E$4981)=8)*('Capacitaciones'!$E$2:$E$4981&lt;&gt;"")*('Capacitaciones'!$D$2:$D$4981="PSICOSOCIAL")*(_xlfn.XLOOKUP('Capacitaciones'!$C$2:$C$4981, Trabajadores!$B$2:$B$5094, Trabajadores!$G$2:$G$5094, "")=STATS!A1))</f>
        <v>0</v>
      </c>
    </row>
    <row r="65" spans="1:6" x14ac:dyDescent="0.3">
      <c r="A65" s="51" t="s">
        <v>166</v>
      </c>
      <c r="B65" s="1" cm="1">
        <f t="array" ref="B65">SUMPRODUCT((MONTH('Capacitaciones'!$E$2:$E$4981)=9)*('Capacitaciones'!$E$2:$E$4981&lt;&gt;"")*('Capacitaciones'!$D$2:$D$4981="GOLPE DE CALOR")*(_xlfn.XLOOKUP('Capacitaciones'!$C$2:$C$4981, Trabajadores!$B$2:$B$5094, Trabajadores!$G$2:$G$5094, "")=STATS!A1))</f>
        <v>0</v>
      </c>
      <c r="C65" s="1" cm="1">
        <f t="array" ref="C65">SUMPRODUCT((MONTH('Capacitaciones'!$E$2:$E$4981)=9)*('Capacitaciones'!$E$2:$E$4981&lt;&gt;"")*('Capacitaciones'!$D$2:$D$4981="VIGILANCIA")*(_xlfn.XLOOKUP('Capacitaciones'!$C$2:$C$4981, Trabajadores!$B$2:$B$5094, Trabajadores!$G$2:$G$5094, "")=STATS!A1))</f>
        <v>0</v>
      </c>
      <c r="D65" s="1" cm="1">
        <f t="array" ref="D65">SUMPRODUCT((MONTH('Capacitaciones'!$E$2:$E$4981)=9)*('Capacitaciones'!$E$2:$E$4981&lt;&gt;"")*('Capacitaciones'!$D$2:$D$4981="ERGONOMIA")*(_xlfn.XLOOKUP('Capacitaciones'!$C$2:$C$4981, Trabajadores!$B$2:$B$5094, Trabajadores!$G$2:$G$5094, "")=STATS!A1))</f>
        <v>0</v>
      </c>
      <c r="E65" s="1" cm="1">
        <f t="array" ref="E65">SUMPRODUCT((MONTH('Capacitaciones'!$E$2:$E$4981)=9)*('Capacitaciones'!$E$2:$E$4981&lt;&gt;"")*('Capacitaciones'!$D$2:$D$4981="TME")*(_xlfn.XLOOKUP('Capacitaciones'!$C$2:$C$4981, Trabajadores!$B$2:$B$5094, Trabajadores!$G$2:$G$5094, "")=STATS!A1))</f>
        <v>0</v>
      </c>
      <c r="F65" s="56" cm="1">
        <f t="array" ref="F65">SUMPRODUCT((MONTH('Capacitaciones'!$E$2:$E$4981)=9)*('Capacitaciones'!$E$2:$E$4981&lt;&gt;"")*('Capacitaciones'!$D$2:$D$4981="PSICOSOCIAL")*(_xlfn.XLOOKUP('Capacitaciones'!$C$2:$C$4981, Trabajadores!$B$2:$B$5094, Trabajadores!$G$2:$G$5094, "")=STATS!A1))</f>
        <v>0</v>
      </c>
    </row>
    <row r="66" spans="1:6" x14ac:dyDescent="0.3">
      <c r="A66" s="51" t="s">
        <v>169</v>
      </c>
      <c r="B66" s="1" cm="1">
        <f t="array" ref="B66">SUMPRODUCT((MONTH('Capacitaciones'!$E$2:$E$4981)=10)*('Capacitaciones'!$E$2:$E$4981&lt;&gt;"")*('Capacitaciones'!$D$2:$D$4981="GOLPE DE CALOR")*(_xlfn.XLOOKUP('Capacitaciones'!$C$2:$C$4981, Trabajadores!$B$2:$B$5094, Trabajadores!$G$2:$G$5094, "")=STATS!A1))</f>
        <v>0</v>
      </c>
      <c r="C66" s="1" cm="1">
        <f t="array" ref="C66">SUMPRODUCT((MONTH('Capacitaciones'!$E$2:$E$4981)=10)*('Capacitaciones'!$E$2:$E$4981&lt;&gt;"")*('Capacitaciones'!$D$2:$D$4981="VIGILANCIA")*(_xlfn.XLOOKUP('Capacitaciones'!$C$2:$C$4981, Trabajadores!$B$2:$B$5094, Trabajadores!$G$2:$G$5094, "")=STATS!A1))</f>
        <v>0</v>
      </c>
      <c r="D66" s="1" cm="1">
        <f t="array" ref="D66">SUMPRODUCT((MONTH('Capacitaciones'!$E$2:$E$4981)=10)*('Capacitaciones'!$E$2:$E$4981&lt;&gt;"")*('Capacitaciones'!$D$2:$D$4981="ERGONOMIA")*(_xlfn.XLOOKUP('Capacitaciones'!$C$2:$C$4981, Trabajadores!$B$2:$B$5094, Trabajadores!$G$2:$G$5094, "")=STATS!A1))</f>
        <v>0</v>
      </c>
      <c r="E66" s="1" cm="1">
        <f t="array" ref="E66">SUMPRODUCT((MONTH('Capacitaciones'!$E$2:$E$4981)=10)*('Capacitaciones'!$E$2:$E$4981&lt;&gt;"")*('Capacitaciones'!$D$2:$D$4981="TME")*(_xlfn.XLOOKUP('Capacitaciones'!$C$2:$C$4981, Trabajadores!$B$2:$B$5094, Trabajadores!$G$2:$G$5094, "")=STATS!A1))</f>
        <v>0</v>
      </c>
      <c r="F66" s="56" cm="1">
        <f t="array" ref="F66">SUMPRODUCT((MONTH('Capacitaciones'!$E$2:$E$4981)=10)*('Capacitaciones'!$E$2:$E$4981&lt;&gt;"")*('Capacitaciones'!$D$2:$D$4981="PSICOSOCIAL")*(_xlfn.XLOOKUP('Capacitaciones'!$C$2:$C$4981, Trabajadores!$B$2:$B$5094, Trabajadores!$G$2:$G$5094, "")=STATS!A1))</f>
        <v>0</v>
      </c>
    </row>
    <row r="67" spans="1:6" x14ac:dyDescent="0.3">
      <c r="A67" s="51" t="s">
        <v>171</v>
      </c>
      <c r="B67" s="1" cm="1">
        <f t="array" ref="B67">SUMPRODUCT((MONTH('Capacitaciones'!$E$2:$E$4981)=11)*('Capacitaciones'!$E$2:$E$4981&lt;&gt;"")*('Capacitaciones'!$D$2:$D$4981="GOLPE DE CALOR")*(_xlfn.XLOOKUP('Capacitaciones'!$C$2:$C$4981, Trabajadores!$B$2:$B$5094, Trabajadores!$G$2:$G$5094, "")=STATS!A1))</f>
        <v>0</v>
      </c>
      <c r="C67" s="1" cm="1">
        <f t="array" ref="C67">SUMPRODUCT((MONTH('Capacitaciones'!$E$2:$E$4981)=11)*('Capacitaciones'!$E$2:$E$4981&lt;&gt;"")*('Capacitaciones'!$D$2:$D$4981="VIGILANCIA")*(_xlfn.XLOOKUP('Capacitaciones'!$C$2:$C$4981, Trabajadores!$B$2:$B$5094, Trabajadores!$G$2:$G$5094, "")=STATS!A1))</f>
        <v>0</v>
      </c>
      <c r="D67" s="1" cm="1">
        <f t="array" ref="D67">SUMPRODUCT((MONTH('Capacitaciones'!$E$2:$E$4981)=11)*('Capacitaciones'!$E$2:$E$4981&lt;&gt;"")*('Capacitaciones'!$D$2:$D$4981="ERGONOMIA")*(_xlfn.XLOOKUP('Capacitaciones'!$C$2:$C$4981, Trabajadores!$B$2:$B$5094, Trabajadores!$G$2:$G$5094, "")=STATS!A1))</f>
        <v>0</v>
      </c>
      <c r="E67" s="1" cm="1">
        <f t="array" ref="E67">SUMPRODUCT((MONTH('Capacitaciones'!$E$2:$E$4981)=11)*('Capacitaciones'!$E$2:$E$4981&lt;&gt;"")*('Capacitaciones'!$D$2:$D$4981="TME")*(_xlfn.XLOOKUP('Capacitaciones'!$C$2:$C$4981, Trabajadores!$B$2:$B$5094, Trabajadores!$G$2:$G$5094, "")=STATS!A1))</f>
        <v>0</v>
      </c>
      <c r="F67" s="56" cm="1">
        <f t="array" ref="F67">SUMPRODUCT((MONTH('Capacitaciones'!$E$2:$E$4981)=11)*('Capacitaciones'!$E$2:$E$4981&lt;&gt;"")*('Capacitaciones'!$D$2:$D$4981="PSICOSOCIAL")*(_xlfn.XLOOKUP('Capacitaciones'!$C$2:$C$4981, Trabajadores!$B$2:$B$5094, Trabajadores!$G$2:$G$5094, "")=STATS!A1))</f>
        <v>0</v>
      </c>
    </row>
    <row r="68" spans="1:6" x14ac:dyDescent="0.3">
      <c r="A68" s="51" t="s">
        <v>173</v>
      </c>
      <c r="B68" s="1" cm="1">
        <f t="array" ref="B68">SUMPRODUCT((MONTH('Capacitaciones'!$E$2:$E$4981)=12)*('Capacitaciones'!$E$2:$E$4981&lt;&gt;"")*('Capacitaciones'!$D$2:$D$4981="GOLPE DE CALOR")*(_xlfn.XLOOKUP('Capacitaciones'!$C$2:$C$4981, Trabajadores!$B$2:$B$5094, Trabajadores!$G$2:$G$5094, "")=STATS!A1))</f>
        <v>0</v>
      </c>
      <c r="C68" s="1" cm="1">
        <f t="array" ref="C68">SUMPRODUCT((MONTH('Capacitaciones'!$E$2:$E$4981)=12)*('Capacitaciones'!$E$2:$E$4981&lt;&gt;"")*('Capacitaciones'!$D$2:$D$4981="VIGILANCIA")*(_xlfn.XLOOKUP('Capacitaciones'!$C$2:$C$4981, Trabajadores!$B$2:$B$5094, Trabajadores!$G$2:$G$5094, "")=STATS!A1))</f>
        <v>0</v>
      </c>
      <c r="D68" s="1" cm="1">
        <f t="array" ref="D68">SUMPRODUCT((MONTH('Capacitaciones'!$E$2:$E$4981)=12)*('Capacitaciones'!$E$2:$E$4981&lt;&gt;"")*('Capacitaciones'!$D$2:$D$4981="ERGONOMIA")*(_xlfn.XLOOKUP('Capacitaciones'!$C$2:$C$4981, Trabajadores!$B$2:$B$5094, Trabajadores!$G$2:$G$5094, "")=STATS!A1))</f>
        <v>0</v>
      </c>
      <c r="E68" s="1" cm="1">
        <f t="array" ref="E68">SUMPRODUCT((MONTH('Capacitaciones'!$E$2:$E$4981)=12)*('Capacitaciones'!$E$2:$E$4981&lt;&gt;"")*('Capacitaciones'!$D$2:$D$4981="TME")*(_xlfn.XLOOKUP('Capacitaciones'!$C$2:$C$4981, Trabajadores!$B$2:$B$5094, Trabajadores!$G$2:$G$5094, "")=STATS!A1))</f>
        <v>0</v>
      </c>
      <c r="F68" s="56" cm="1">
        <f t="array" ref="F68">SUMPRODUCT((MONTH('Capacitaciones'!$E$2:$E$4981)=12)*('Capacitaciones'!$E$2:$E$4981&lt;&gt;"")*('Capacitaciones'!$D$2:$D$4981="PSICOSOCIAL")*(_xlfn.XLOOKUP('Capacitaciones'!$C$2:$C$4981, Trabajadores!$B$2:$B$5094, Trabajadores!$G$2:$G$5094, "")=STATS!A1))</f>
        <v>0</v>
      </c>
    </row>
    <row r="69" spans="1:6" x14ac:dyDescent="0.3">
      <c r="A69" s="104" t="s">
        <v>175</v>
      </c>
      <c r="B69" s="69">
        <f>SUM(B57:B68)</f>
        <v>0</v>
      </c>
      <c r="C69" s="53">
        <f>SUM(C57:C68)</f>
        <v>0</v>
      </c>
      <c r="D69" s="53">
        <f>SUM(D57:D68)</f>
        <v>0</v>
      </c>
      <c r="E69" s="53">
        <f>SUM(E57:E68)</f>
        <v>0</v>
      </c>
      <c r="F69" s="59">
        <f>SUM(F57:F68)</f>
        <v>0</v>
      </c>
    </row>
    <row r="70" spans="1:6" x14ac:dyDescent="0.3">
      <c r="C70" s="111"/>
    </row>
    <row r="71" spans="1:6" ht="19.95" customHeight="1" x14ac:dyDescent="0.3">
      <c r="A71" s="181" t="s">
        <v>207</v>
      </c>
      <c r="B71" s="182"/>
      <c r="C71" s="70">
        <f>C72*1</f>
        <v>114</v>
      </c>
    </row>
    <row r="72" spans="1:6" ht="19.95" customHeight="1" x14ac:dyDescent="0.3">
      <c r="A72" s="181" t="s">
        <v>208</v>
      </c>
      <c r="B72" s="182"/>
      <c r="C72" s="71" cm="1">
        <f t="array" ref="C72">IFERROR(COUNTA(_xlfn.UNIQUE(_xlfn._xlws.FILTER('Capacitaciones'!$C$2:$C$4981, _xlfn.XLOOKUP('Capacitaciones'!$C$2:$C$4981, Trabajadores!$B$2:$B$5094, Trabajadores!$G$2:$G$5094, "")=STATS!A1))), 0)</f>
        <v>114</v>
      </c>
    </row>
    <row r="73" spans="1:6" ht="19.95" customHeight="1" x14ac:dyDescent="0.3">
      <c r="A73" s="181" t="s">
        <v>209</v>
      </c>
      <c r="B73" s="182"/>
      <c r="C73" s="72">
        <f>IFERROR(C71 / C72, 0)</f>
        <v>1</v>
      </c>
    </row>
    <row r="74" spans="1:6" ht="19.95" customHeight="1" x14ac:dyDescent="0.3">
      <c r="C74" s="111"/>
    </row>
    <row r="75" spans="1:6" ht="19.95" customHeight="1" x14ac:dyDescent="0.3">
      <c r="A75" s="112" t="s">
        <v>210</v>
      </c>
      <c r="B75" s="70" cm="1">
        <f t="array" ref="B75">SUMPRODUCT((Trabajadores!$G$2:$G$5094=STATS!A1) * (COUNTIF('Capacitaciones'!$C$2:$C$4981, Trabajadores!$B$2:$B$5094)=0))</f>
        <v>0</v>
      </c>
    </row>
    <row r="76" spans="1:6" ht="19.95" customHeight="1" x14ac:dyDescent="0.3">
      <c r="A76" s="112" t="s">
        <v>211</v>
      </c>
      <c r="B76" s="71" cm="1">
        <f t="array" ref="B76">SUMPRODUCT((Trabajadores!$G$2:$G$5094=STATS!A1) * (COUNTIF('Capacitaciones'!$C$2:$C$4981, Trabajadores!$B$2:$B$5094)=1))</f>
        <v>114</v>
      </c>
    </row>
    <row r="77" spans="1:6" ht="19.95" customHeight="1" x14ac:dyDescent="0.3">
      <c r="A77" s="112" t="s">
        <v>212</v>
      </c>
      <c r="B77" s="71" cm="1">
        <f t="array" ref="B77">SUMPRODUCT((Trabajadores!$G$2:$G$5094=STATS!A1) * (COUNTIF('Capacitaciones'!$C$2:$C$4981, Trabajadores!$B$2:$B$5094)=2))</f>
        <v>0</v>
      </c>
    </row>
    <row r="78" spans="1:6" ht="19.95" customHeight="1" x14ac:dyDescent="0.3">
      <c r="A78" s="112" t="s">
        <v>213</v>
      </c>
      <c r="B78" s="71" cm="1">
        <f t="array" ref="B78">SUMPRODUCT((Trabajadores!$G$2:$G$5094=STATS!A1) * (COUNTIF('Capacitaciones'!$C$2:$C$4981, Trabajadores!$B$2:$B$5094)=3))</f>
        <v>0</v>
      </c>
    </row>
    <row r="79" spans="1:6" ht="19.95" customHeight="1" x14ac:dyDescent="0.3">
      <c r="A79" s="112" t="s">
        <v>214</v>
      </c>
      <c r="B79" s="71" cm="1">
        <f t="array" ref="B79">SUMPRODUCT((Trabajadores!$G$2:$G$5094=STATS!A1) * (COUNTIF('Capacitaciones'!$C$2:$C$4981, Trabajadores!$B$2:$B$5094)=4))</f>
        <v>0</v>
      </c>
    </row>
    <row r="80" spans="1:6" ht="19.95" customHeight="1" x14ac:dyDescent="0.3">
      <c r="A80" s="112" t="s">
        <v>215</v>
      </c>
      <c r="B80" s="71" cm="1">
        <f t="array" ref="B80">SUMPRODUCT((Trabajadores!$G$2:$G$5094=STATS!A1) * (COUNTIF('Capacitaciones'!$C$2:$C$4981, Trabajadores!$B$2:$B$5094)=5))</f>
        <v>0</v>
      </c>
    </row>
    <row r="81" spans="1:6" ht="19.95" customHeight="1" x14ac:dyDescent="0.3">
      <c r="A81" s="112" t="s">
        <v>216</v>
      </c>
      <c r="B81" s="73">
        <f>SUM(B75:B80)</f>
        <v>114</v>
      </c>
    </row>
    <row r="84" spans="1:6" ht="30" customHeight="1" x14ac:dyDescent="0.3">
      <c r="A84" s="178" t="s">
        <v>217</v>
      </c>
      <c r="B84" s="175" t="s">
        <v>218</v>
      </c>
      <c r="C84" s="177"/>
      <c r="D84" s="175" t="s">
        <v>219</v>
      </c>
      <c r="E84" s="177"/>
      <c r="F84" s="178" t="s">
        <v>175</v>
      </c>
    </row>
    <row r="85" spans="1:6" ht="30" customHeight="1" x14ac:dyDescent="0.3">
      <c r="A85" s="180"/>
      <c r="B85" s="51" t="s">
        <v>220</v>
      </c>
      <c r="C85" s="51" t="s">
        <v>221</v>
      </c>
      <c r="D85" s="51" t="s">
        <v>220</v>
      </c>
      <c r="E85" s="51" t="s">
        <v>221</v>
      </c>
      <c r="F85" s="179"/>
    </row>
    <row r="86" spans="1:6" ht="30" customHeight="1" x14ac:dyDescent="0.3">
      <c r="A86" s="51" t="s">
        <v>153</v>
      </c>
      <c r="B86" s="74">
        <f ca="1">COUNTIFS(Trabajadores!$G:$G,STATS!A1, Trabajadores!$F:$F, "F", Trabajadores!$E:$E, "&gt;=15", Trabajadores!$E:$E, "&lt;=45", Trabajadores!$Y:$Y, "&lt;&gt;Gestante", Trabajadores!$K:$K, "Técnico")</f>
        <v>4</v>
      </c>
      <c r="C86" s="52">
        <f ca="1">COUNTIFS(Trabajadores!$G:$G,STATS!A1, Trabajadores!$F:$F, "F", Trabajadores!$E:$E, "&gt;=15", Trabajadores!$E:$E, "&lt;=45", Trabajadores!$Y:$Y, "&lt;&gt;Gestante", Trabajadores!$K:$K, "Oficina")</f>
        <v>0</v>
      </c>
      <c r="D86" s="52">
        <f ca="1">COUNTIFS(Trabajadores!$G:$G,STATS!A1, Trabajadores!$F:$F, "F", Trabajadores!$E:$E, "&gt;=15", Trabajadores!$E:$E, "&lt;=45", Trabajadores!$Y:$Y, "Gestante", Trabajadores!$K:$K, "Técnico")</f>
        <v>0</v>
      </c>
      <c r="E86" s="52">
        <f ca="1">COUNTIFS(Trabajadores!$G:$G,STATS!A1, Trabajadores!$F:$F, "F", Trabajadores!$E:$E, "&gt;=15", Trabajadores!$E:$E, "&lt;=45", Trabajadores!$Y:$Y, "Gestante", Trabajadores!$K:$K, "Oficina")</f>
        <v>0</v>
      </c>
      <c r="F86" s="77">
        <f ca="1">SUM(B86:E86)</f>
        <v>4</v>
      </c>
    </row>
    <row r="328" spans="2:4" x14ac:dyDescent="0.3">
      <c r="B328" s="86" t="s">
        <v>222</v>
      </c>
      <c r="C328" s="86" t="s">
        <v>222</v>
      </c>
      <c r="D328" s="86" t="s">
        <v>222</v>
      </c>
    </row>
    <row r="329" spans="2:4" x14ac:dyDescent="0.3">
      <c r="B329" s="87" t="s">
        <v>133</v>
      </c>
      <c r="C329" s="87" t="s">
        <v>512</v>
      </c>
      <c r="D329" s="87">
        <v>2025</v>
      </c>
    </row>
    <row r="330" spans="2:4" x14ac:dyDescent="0.3">
      <c r="B330" s="87" t="s">
        <v>223</v>
      </c>
      <c r="C330" s="87" t="s">
        <v>223</v>
      </c>
      <c r="D330" s="87">
        <v>2026</v>
      </c>
    </row>
    <row r="331" spans="2:4" x14ac:dyDescent="0.3">
      <c r="D331" s="87" t="s">
        <v>223</v>
      </c>
    </row>
  </sheetData>
  <mergeCells count="18">
    <mergeCell ref="F84:F85"/>
    <mergeCell ref="A84:A85"/>
    <mergeCell ref="B84:C84"/>
    <mergeCell ref="D84:E84"/>
    <mergeCell ref="A71:B71"/>
    <mergeCell ref="A72:B72"/>
    <mergeCell ref="A73:B73"/>
    <mergeCell ref="O8:P8"/>
    <mergeCell ref="Q8:R8"/>
    <mergeCell ref="A1:K1"/>
    <mergeCell ref="B37:E37"/>
    <mergeCell ref="K37:K38"/>
    <mergeCell ref="G37:J37"/>
    <mergeCell ref="F37:F38"/>
    <mergeCell ref="M10:N10"/>
    <mergeCell ref="K13:L13"/>
    <mergeCell ref="K16:L16"/>
    <mergeCell ref="F20:G20"/>
  </mergeCells>
  <phoneticPr fontId="8" type="noConversion"/>
  <pageMargins left="0.7" right="0.7" top="0.75" bottom="0.75" header="0.3" footer="0.3"/>
  <ignoredErrors>
    <ignoredError sqref="F39 C17"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87766-A823-49ED-AEAD-5ACEDB1BA975}">
  <sheetPr codeName="Hoja6">
    <tabColor rgb="FF00B0F0"/>
  </sheetPr>
  <dimension ref="A1:AL79"/>
  <sheetViews>
    <sheetView showGridLines="0" topLeftCell="C3" zoomScale="38" zoomScaleNormal="38" workbookViewId="0">
      <selection activeCell="AM26" sqref="AM26"/>
    </sheetView>
  </sheetViews>
  <sheetFormatPr baseColWidth="10" defaultColWidth="11.44140625" defaultRowHeight="14.4" x14ac:dyDescent="0.3"/>
  <cols>
    <col min="1" max="29" width="15.6640625" customWidth="1"/>
    <col min="30" max="30" width="30.6640625" customWidth="1"/>
  </cols>
  <sheetData>
    <row r="1" spans="1:38" x14ac:dyDescent="0.3">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x14ac:dyDescent="0.3">
      <c r="A2" s="85"/>
      <c r="B2" s="85"/>
      <c r="C2" s="85"/>
      <c r="D2" s="85"/>
      <c r="E2" s="85"/>
      <c r="F2" s="85"/>
      <c r="G2" s="85"/>
      <c r="H2" s="85"/>
      <c r="I2" s="85"/>
      <c r="J2" s="85"/>
      <c r="K2" s="85"/>
      <c r="L2" s="85"/>
      <c r="M2" s="85"/>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x14ac:dyDescent="0.3">
      <c r="A3" s="85"/>
      <c r="B3" s="85"/>
      <c r="C3" s="85"/>
      <c r="D3" s="85"/>
      <c r="E3" s="85"/>
      <c r="F3" s="85"/>
      <c r="G3" s="85"/>
      <c r="H3" s="85"/>
      <c r="I3" s="85"/>
      <c r="J3" s="85"/>
      <c r="K3" s="85"/>
      <c r="L3" s="85"/>
      <c r="M3" s="85"/>
      <c r="N3" s="85"/>
      <c r="O3" s="85"/>
      <c r="P3" s="85"/>
      <c r="Q3" s="85"/>
      <c r="R3" s="85"/>
      <c r="S3" s="85"/>
      <c r="T3" s="85"/>
      <c r="U3" s="85"/>
      <c r="V3" s="85"/>
      <c r="W3" s="85"/>
      <c r="X3" s="85"/>
      <c r="Y3" s="85"/>
      <c r="Z3" s="85"/>
      <c r="AA3" s="85"/>
      <c r="AB3" s="85"/>
      <c r="AC3" s="85"/>
      <c r="AD3" s="85"/>
      <c r="AE3" s="85"/>
      <c r="AF3" s="85"/>
      <c r="AG3" s="85"/>
      <c r="AH3" s="85"/>
      <c r="AI3" s="85"/>
      <c r="AJ3" s="85"/>
      <c r="AK3" s="85"/>
      <c r="AL3" s="85"/>
    </row>
    <row r="4" spans="1:38" x14ac:dyDescent="0.3">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row>
    <row r="5" spans="1:38" x14ac:dyDescent="0.3">
      <c r="A5" s="85"/>
      <c r="B5" s="85"/>
      <c r="C5" s="85"/>
      <c r="D5" s="85"/>
      <c r="E5" s="85"/>
      <c r="F5" s="85"/>
      <c r="G5" s="85"/>
      <c r="H5" s="85"/>
      <c r="I5" s="85"/>
      <c r="J5" s="85"/>
      <c r="K5" s="85"/>
      <c r="L5" s="85"/>
      <c r="M5" s="85"/>
      <c r="N5" s="85"/>
      <c r="O5" s="85"/>
      <c r="P5" s="85"/>
      <c r="Q5" s="85"/>
      <c r="R5" s="85"/>
      <c r="S5" s="85"/>
      <c r="T5" s="85"/>
      <c r="U5" s="85"/>
      <c r="V5" s="85"/>
      <c r="W5" s="85"/>
      <c r="X5" s="85"/>
      <c r="Y5" s="85"/>
      <c r="Z5" s="85"/>
      <c r="AA5" s="85"/>
      <c r="AB5" s="85"/>
      <c r="AC5" s="85"/>
      <c r="AD5" s="85"/>
      <c r="AE5" s="85"/>
      <c r="AF5" s="85"/>
      <c r="AG5" s="85"/>
      <c r="AH5" s="85"/>
      <c r="AI5" s="85"/>
      <c r="AJ5" s="85"/>
      <c r="AK5" s="85"/>
      <c r="AL5" s="85"/>
    </row>
    <row r="6" spans="1:38" x14ac:dyDescent="0.3">
      <c r="A6" s="85"/>
      <c r="B6" s="85"/>
      <c r="C6" s="85"/>
      <c r="D6" s="85"/>
      <c r="E6" s="85"/>
      <c r="F6" s="85"/>
      <c r="G6" s="85"/>
      <c r="H6" s="85"/>
      <c r="I6" s="85"/>
      <c r="J6" s="85"/>
      <c r="K6" s="85"/>
      <c r="L6" s="85"/>
      <c r="M6" s="85"/>
      <c r="N6" s="85"/>
      <c r="O6" s="85"/>
      <c r="P6" s="85"/>
      <c r="Q6" s="85"/>
      <c r="R6" s="85"/>
      <c r="S6" s="85"/>
      <c r="T6" s="85"/>
      <c r="U6" s="85"/>
      <c r="V6" s="85"/>
      <c r="W6" s="85"/>
      <c r="X6" s="85"/>
      <c r="Y6" s="85"/>
      <c r="Z6" s="85"/>
      <c r="AA6" s="85"/>
      <c r="AB6" s="85"/>
      <c r="AC6" s="85"/>
      <c r="AD6" s="85"/>
      <c r="AE6" s="85"/>
      <c r="AF6" s="85"/>
      <c r="AG6" s="85"/>
      <c r="AH6" s="85"/>
      <c r="AI6" s="85"/>
      <c r="AJ6" s="85"/>
      <c r="AK6" s="85"/>
      <c r="AL6" s="85"/>
    </row>
    <row r="7" spans="1:38" x14ac:dyDescent="0.3">
      <c r="A7" s="85"/>
      <c r="B7" s="85"/>
      <c r="C7" s="85"/>
      <c r="D7" s="85"/>
      <c r="E7" s="85"/>
      <c r="F7" s="85"/>
      <c r="G7" s="85"/>
      <c r="H7" s="85"/>
      <c r="I7" s="85"/>
      <c r="J7" s="85"/>
      <c r="K7" s="85"/>
      <c r="L7" s="85"/>
      <c r="M7" s="85"/>
      <c r="N7" s="85"/>
      <c r="O7" s="85"/>
      <c r="P7" s="85"/>
      <c r="Q7" s="85"/>
      <c r="R7" s="85"/>
      <c r="S7" s="85"/>
      <c r="T7" s="85"/>
      <c r="U7" s="85"/>
      <c r="V7" s="85"/>
      <c r="W7" s="85"/>
      <c r="X7" s="85"/>
      <c r="Y7" s="85"/>
      <c r="Z7" s="85"/>
      <c r="AA7" s="85"/>
      <c r="AB7" s="85"/>
      <c r="AC7" s="85"/>
      <c r="AD7" s="85"/>
      <c r="AE7" s="85"/>
      <c r="AF7" s="85"/>
      <c r="AG7" s="85"/>
      <c r="AH7" s="85"/>
      <c r="AI7" s="85"/>
      <c r="AJ7" s="85"/>
      <c r="AK7" s="85"/>
      <c r="AL7" s="85"/>
    </row>
    <row r="8" spans="1:38" x14ac:dyDescent="0.3">
      <c r="A8" s="85"/>
      <c r="B8" s="85"/>
      <c r="C8" s="85"/>
      <c r="D8" s="85"/>
      <c r="E8" s="85"/>
      <c r="F8" s="85"/>
      <c r="G8" s="85"/>
      <c r="H8" s="85"/>
      <c r="I8" s="85"/>
      <c r="J8" s="85"/>
      <c r="K8" s="85"/>
      <c r="L8" s="85"/>
      <c r="M8" s="85"/>
      <c r="N8" s="85"/>
      <c r="O8" s="85"/>
      <c r="P8" s="85"/>
      <c r="Q8" s="85"/>
      <c r="R8" s="85"/>
      <c r="S8" s="85"/>
      <c r="T8" s="85"/>
      <c r="U8" s="85"/>
      <c r="V8" s="85"/>
      <c r="W8" s="85"/>
      <c r="X8" s="85"/>
      <c r="Y8" s="85"/>
      <c r="Z8" s="85"/>
      <c r="AA8" s="85"/>
      <c r="AB8" s="85"/>
      <c r="AC8" s="85"/>
      <c r="AD8" s="85"/>
      <c r="AE8" s="85"/>
      <c r="AF8" s="85"/>
      <c r="AG8" s="85"/>
      <c r="AH8" s="85"/>
      <c r="AI8" s="85"/>
      <c r="AJ8" s="85"/>
      <c r="AK8" s="85"/>
      <c r="AL8" s="85"/>
    </row>
    <row r="9" spans="1:38" x14ac:dyDescent="0.3">
      <c r="A9" s="85"/>
      <c r="B9" s="85"/>
      <c r="C9" s="85"/>
      <c r="D9" s="85"/>
      <c r="E9" s="85"/>
      <c r="F9" s="85"/>
      <c r="G9" s="85"/>
      <c r="H9" s="85"/>
      <c r="I9" s="85"/>
      <c r="J9" s="85"/>
      <c r="K9" s="85"/>
      <c r="L9" s="85"/>
      <c r="M9" s="85"/>
      <c r="N9" s="85"/>
      <c r="O9" s="85"/>
      <c r="P9" s="85"/>
      <c r="Q9" s="85"/>
      <c r="R9" s="85"/>
      <c r="S9" s="85"/>
      <c r="T9" s="85"/>
      <c r="U9" s="85"/>
      <c r="V9" s="85"/>
      <c r="W9" s="85"/>
      <c r="X9" s="85"/>
      <c r="Y9" s="85"/>
      <c r="Z9" s="85"/>
      <c r="AA9" s="85"/>
      <c r="AB9" s="85"/>
      <c r="AC9" s="85"/>
      <c r="AD9" s="85"/>
      <c r="AE9" s="85"/>
      <c r="AF9" s="85"/>
      <c r="AG9" s="85"/>
      <c r="AH9" s="85"/>
      <c r="AI9" s="85"/>
      <c r="AJ9" s="85"/>
      <c r="AK9" s="85"/>
      <c r="AL9" s="85"/>
    </row>
    <row r="10" spans="1:38" x14ac:dyDescent="0.3">
      <c r="A10" s="85"/>
      <c r="B10" s="85"/>
      <c r="C10" s="85"/>
      <c r="D10" s="85"/>
      <c r="E10" s="85"/>
      <c r="F10" s="85"/>
      <c r="G10" s="85"/>
      <c r="H10" s="85"/>
      <c r="I10" s="85"/>
      <c r="J10" s="85"/>
      <c r="K10" s="85"/>
      <c r="L10" s="85"/>
      <c r="M10" s="85"/>
      <c r="N10" s="85"/>
      <c r="O10" s="85"/>
      <c r="P10" s="85"/>
      <c r="Q10" s="85"/>
      <c r="R10" s="85"/>
      <c r="S10" s="85"/>
      <c r="T10" s="85"/>
      <c r="U10" s="85"/>
      <c r="V10" s="85"/>
      <c r="W10" s="85"/>
      <c r="X10" s="85"/>
      <c r="Y10" s="85"/>
      <c r="Z10" s="85"/>
      <c r="AA10" s="85"/>
      <c r="AB10" s="85"/>
      <c r="AC10" s="85"/>
      <c r="AD10" s="85"/>
      <c r="AE10" s="85"/>
      <c r="AF10" s="85"/>
      <c r="AG10" s="85"/>
      <c r="AH10" s="85"/>
      <c r="AI10" s="85"/>
      <c r="AJ10" s="85"/>
      <c r="AK10" s="85"/>
      <c r="AL10" s="85"/>
    </row>
    <row r="11" spans="1:38" x14ac:dyDescent="0.3">
      <c r="A11" s="85"/>
      <c r="B11" s="85"/>
      <c r="C11" s="85"/>
      <c r="D11" s="85"/>
      <c r="E11" s="85"/>
      <c r="F11" s="85"/>
      <c r="G11" s="85"/>
      <c r="H11" s="85"/>
      <c r="I11" s="85"/>
      <c r="J11" s="85"/>
      <c r="K11" s="85"/>
      <c r="L11" s="85"/>
      <c r="M11" s="85"/>
      <c r="N11" s="85"/>
      <c r="O11" s="85"/>
      <c r="P11" s="85"/>
      <c r="Q11" s="85"/>
      <c r="R11" s="85"/>
      <c r="S11" s="85"/>
      <c r="T11" s="85"/>
      <c r="U11" s="85"/>
      <c r="V11" s="85"/>
      <c r="W11" s="85"/>
      <c r="X11" s="85"/>
      <c r="Y11" s="85"/>
      <c r="Z11" s="85"/>
      <c r="AA11" s="85"/>
      <c r="AB11" s="85"/>
      <c r="AC11" s="85"/>
      <c r="AD11" s="85"/>
      <c r="AE11" s="85"/>
      <c r="AF11" s="85"/>
      <c r="AG11" s="85"/>
      <c r="AH11" s="85"/>
      <c r="AI11" s="85"/>
      <c r="AJ11" s="85"/>
      <c r="AK11" s="85"/>
      <c r="AL11" s="85"/>
    </row>
    <row r="12" spans="1:38" x14ac:dyDescent="0.3">
      <c r="A12" s="85"/>
      <c r="B12" s="85"/>
      <c r="C12" s="85"/>
      <c r="D12" s="85"/>
      <c r="E12" s="85"/>
      <c r="F12" s="85"/>
      <c r="G12" s="85"/>
      <c r="H12" s="85"/>
      <c r="I12" s="85"/>
      <c r="J12" s="85"/>
      <c r="K12" s="85"/>
      <c r="L12" s="85"/>
      <c r="M12" s="85"/>
      <c r="N12" s="85"/>
      <c r="O12" s="85"/>
      <c r="P12" s="85"/>
      <c r="Q12" s="85"/>
      <c r="R12" s="85"/>
      <c r="S12" s="85"/>
      <c r="T12" s="85"/>
      <c r="U12" s="85"/>
      <c r="V12" s="85"/>
      <c r="W12" s="85"/>
      <c r="X12" s="85"/>
      <c r="Y12" s="85"/>
      <c r="Z12" s="85"/>
      <c r="AA12" s="85"/>
      <c r="AB12" s="85"/>
      <c r="AC12" s="85"/>
      <c r="AD12" s="85"/>
      <c r="AE12" s="85"/>
      <c r="AF12" s="85"/>
      <c r="AG12" s="85"/>
      <c r="AH12" s="85"/>
      <c r="AI12" s="85"/>
      <c r="AJ12" s="85"/>
      <c r="AK12" s="85"/>
      <c r="AL12" s="85"/>
    </row>
    <row r="13" spans="1:38" x14ac:dyDescent="0.3">
      <c r="A13" s="85"/>
      <c r="B13" s="85"/>
      <c r="C13" s="85"/>
      <c r="D13" s="85"/>
      <c r="E13" s="85"/>
      <c r="F13" s="85"/>
      <c r="G13" s="85"/>
      <c r="H13" s="85"/>
      <c r="I13" s="85"/>
      <c r="J13" s="85"/>
      <c r="K13" s="85"/>
      <c r="L13" s="85"/>
      <c r="M13" s="85"/>
      <c r="N13" s="85"/>
      <c r="O13" s="85"/>
      <c r="P13" s="85"/>
      <c r="Q13" s="85"/>
      <c r="R13" s="85"/>
      <c r="S13" s="85"/>
      <c r="T13" s="85"/>
      <c r="U13" s="85"/>
      <c r="V13" s="85"/>
      <c r="W13" s="85"/>
      <c r="X13" s="85"/>
      <c r="Y13" s="85"/>
      <c r="Z13" s="85"/>
      <c r="AA13" s="85"/>
      <c r="AB13" s="85"/>
      <c r="AC13" s="85"/>
      <c r="AD13" s="85"/>
      <c r="AE13" s="85"/>
      <c r="AF13" s="85"/>
      <c r="AG13" s="85"/>
      <c r="AH13" s="85"/>
      <c r="AI13" s="85"/>
      <c r="AJ13" s="85"/>
      <c r="AK13" s="85"/>
      <c r="AL13" s="85"/>
    </row>
    <row r="14" spans="1:38" x14ac:dyDescent="0.3">
      <c r="A14" s="85"/>
      <c r="B14" s="85"/>
      <c r="C14" s="85"/>
      <c r="D14" s="85"/>
      <c r="E14" s="85"/>
      <c r="F14" s="85"/>
      <c r="G14" s="85"/>
      <c r="H14" s="85"/>
      <c r="I14" s="85"/>
      <c r="J14" s="85"/>
      <c r="K14" s="85"/>
      <c r="L14" s="85"/>
      <c r="M14" s="85"/>
      <c r="N14" s="85"/>
      <c r="O14" s="85"/>
      <c r="P14" s="85"/>
      <c r="Q14" s="85"/>
      <c r="R14" s="85"/>
      <c r="S14" s="85"/>
      <c r="T14" s="85"/>
      <c r="U14" s="85"/>
      <c r="V14" s="85"/>
      <c r="W14" s="85"/>
      <c r="X14" s="85"/>
      <c r="Y14" s="85"/>
      <c r="Z14" s="85"/>
      <c r="AA14" s="85"/>
      <c r="AB14" s="85"/>
      <c r="AC14" s="85"/>
      <c r="AD14" s="85"/>
      <c r="AE14" s="85"/>
      <c r="AF14" s="85"/>
      <c r="AG14" s="85"/>
      <c r="AH14" s="85"/>
      <c r="AI14" s="85"/>
      <c r="AJ14" s="85"/>
      <c r="AK14" s="85"/>
      <c r="AL14" s="85"/>
    </row>
    <row r="15" spans="1:38" x14ac:dyDescent="0.3">
      <c r="A15" s="85"/>
      <c r="B15" s="85"/>
      <c r="C15" s="85"/>
      <c r="D15" s="85"/>
      <c r="E15" s="85"/>
      <c r="F15" s="85"/>
      <c r="G15" s="85"/>
      <c r="H15" s="85"/>
      <c r="I15" s="85"/>
      <c r="J15" s="85"/>
      <c r="K15" s="85"/>
      <c r="L15" s="85"/>
      <c r="M15" s="85"/>
      <c r="N15" s="85"/>
      <c r="O15" s="85"/>
      <c r="P15" s="85"/>
      <c r="Q15" s="85"/>
      <c r="R15" s="85"/>
      <c r="S15" s="85"/>
      <c r="T15" s="85"/>
      <c r="U15" s="85"/>
      <c r="V15" s="85"/>
      <c r="W15" s="85"/>
      <c r="X15" s="85"/>
      <c r="Y15" s="85"/>
      <c r="Z15" s="85"/>
      <c r="AA15" s="85"/>
      <c r="AB15" s="85"/>
      <c r="AC15" s="85"/>
      <c r="AD15" s="85"/>
      <c r="AE15" s="85"/>
      <c r="AF15" s="85"/>
      <c r="AG15" s="85"/>
      <c r="AH15" s="85"/>
      <c r="AI15" s="85"/>
      <c r="AJ15" s="85"/>
      <c r="AK15" s="85"/>
      <c r="AL15" s="85"/>
    </row>
    <row r="16" spans="1:38" x14ac:dyDescent="0.3">
      <c r="A16" s="85"/>
      <c r="B16" s="85"/>
      <c r="C16" s="85"/>
      <c r="D16" s="85"/>
      <c r="E16" s="85"/>
      <c r="F16" s="85"/>
      <c r="G16" s="85"/>
      <c r="H16" s="85"/>
      <c r="I16" s="85"/>
      <c r="J16" s="85"/>
      <c r="K16" s="85"/>
      <c r="L16" s="85"/>
      <c r="M16" s="85"/>
      <c r="N16" s="85"/>
      <c r="O16" s="85"/>
      <c r="P16" s="85"/>
      <c r="Q16" s="85"/>
      <c r="R16" s="85"/>
      <c r="S16" s="85"/>
      <c r="T16" s="85"/>
      <c r="U16" s="85"/>
      <c r="V16" s="85"/>
      <c r="W16" s="85"/>
      <c r="X16" s="85"/>
      <c r="Y16" s="85"/>
      <c r="Z16" s="85"/>
      <c r="AA16" s="85"/>
      <c r="AB16" s="85"/>
      <c r="AC16" s="85"/>
      <c r="AD16" s="85"/>
      <c r="AE16" s="85"/>
      <c r="AF16" s="85"/>
      <c r="AG16" s="85"/>
      <c r="AH16" s="85"/>
      <c r="AI16" s="85"/>
      <c r="AJ16" s="85"/>
      <c r="AK16" s="85"/>
      <c r="AL16" s="85"/>
    </row>
    <row r="17" spans="1:38" x14ac:dyDescent="0.3">
      <c r="A17" s="85"/>
      <c r="B17" s="85"/>
      <c r="C17" s="85"/>
      <c r="D17" s="85"/>
      <c r="E17" s="85"/>
      <c r="F17" s="85"/>
      <c r="G17" s="85"/>
      <c r="H17" s="85"/>
      <c r="I17" s="85"/>
      <c r="J17" s="85"/>
      <c r="K17" s="85"/>
      <c r="L17" s="85"/>
      <c r="M17" s="85"/>
      <c r="N17" s="85"/>
      <c r="O17" s="85"/>
      <c r="P17" s="85"/>
      <c r="Q17" s="85"/>
      <c r="R17" s="85"/>
      <c r="S17" s="85"/>
      <c r="T17" s="85"/>
      <c r="U17" s="85"/>
      <c r="V17" s="85"/>
      <c r="W17" s="85"/>
      <c r="X17" s="85"/>
      <c r="Y17" s="85"/>
      <c r="Z17" s="85"/>
      <c r="AA17" s="85"/>
      <c r="AB17" s="85"/>
      <c r="AC17" s="85"/>
      <c r="AD17" s="85"/>
      <c r="AE17" s="85"/>
      <c r="AF17" s="85"/>
      <c r="AG17" s="85"/>
      <c r="AH17" s="85"/>
      <c r="AI17" s="85"/>
      <c r="AJ17" s="85"/>
      <c r="AK17" s="85"/>
      <c r="AL17" s="85"/>
    </row>
    <row r="18" spans="1:38" x14ac:dyDescent="0.3">
      <c r="A18" s="85"/>
      <c r="B18" s="85"/>
      <c r="C18" s="85"/>
      <c r="D18" s="85"/>
      <c r="E18" s="85"/>
      <c r="F18" s="85"/>
      <c r="G18" s="85"/>
      <c r="H18" s="85"/>
      <c r="I18" s="85"/>
      <c r="J18" s="85"/>
      <c r="K18" s="85"/>
      <c r="L18" s="85"/>
      <c r="M18" s="85"/>
      <c r="N18" s="85"/>
      <c r="O18" s="85"/>
      <c r="P18" s="85"/>
      <c r="Q18" s="85"/>
      <c r="R18" s="85"/>
      <c r="S18" s="85"/>
      <c r="T18" s="85"/>
      <c r="U18" s="85"/>
      <c r="V18" s="85"/>
      <c r="W18" s="85"/>
      <c r="X18" s="85"/>
      <c r="Y18" s="85"/>
      <c r="Z18" s="85"/>
      <c r="AA18" s="85"/>
      <c r="AB18" s="85"/>
      <c r="AC18" s="85"/>
      <c r="AD18" s="85"/>
      <c r="AE18" s="85"/>
      <c r="AF18" s="85"/>
      <c r="AG18" s="85"/>
      <c r="AH18" s="85"/>
      <c r="AI18" s="85"/>
      <c r="AJ18" s="85"/>
      <c r="AK18" s="85"/>
      <c r="AL18" s="85"/>
    </row>
    <row r="19" spans="1:38" x14ac:dyDescent="0.3">
      <c r="A19" s="85"/>
      <c r="B19" s="85"/>
      <c r="C19" s="85"/>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c r="AF19" s="85"/>
      <c r="AG19" s="85"/>
      <c r="AH19" s="85"/>
      <c r="AI19" s="85"/>
      <c r="AJ19" s="85"/>
      <c r="AK19" s="85"/>
      <c r="AL19" s="85"/>
    </row>
    <row r="20" spans="1:38" x14ac:dyDescent="0.3">
      <c r="A20" s="85"/>
      <c r="B20" s="85"/>
      <c r="C20" s="85"/>
      <c r="D20" s="85"/>
      <c r="E20" s="85"/>
      <c r="F20" s="85"/>
      <c r="G20" s="85"/>
      <c r="H20" s="85"/>
      <c r="I20" s="85"/>
      <c r="J20" s="85"/>
      <c r="K20" s="85"/>
      <c r="L20" s="85"/>
      <c r="M20" s="85"/>
      <c r="N20" s="85"/>
      <c r="O20" s="85"/>
      <c r="P20" s="85"/>
      <c r="Q20" s="85"/>
      <c r="R20" s="85"/>
      <c r="S20" s="85"/>
      <c r="T20" s="85"/>
      <c r="U20" s="85"/>
      <c r="V20" s="85"/>
      <c r="W20" s="85"/>
      <c r="X20" s="85"/>
      <c r="Y20" s="85"/>
      <c r="Z20" s="85"/>
      <c r="AA20" s="85"/>
      <c r="AB20" s="85"/>
      <c r="AC20" s="85"/>
      <c r="AD20" s="85"/>
      <c r="AE20" s="85"/>
      <c r="AF20" s="85"/>
      <c r="AG20" s="85"/>
      <c r="AH20" s="85"/>
      <c r="AI20" s="85"/>
      <c r="AJ20" s="85"/>
      <c r="AK20" s="85"/>
      <c r="AL20" s="85"/>
    </row>
    <row r="21" spans="1:38" x14ac:dyDescent="0.3">
      <c r="A21" s="85"/>
      <c r="B21" s="85"/>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c r="AF21" s="85"/>
      <c r="AG21" s="85"/>
      <c r="AH21" s="85"/>
      <c r="AI21" s="85"/>
      <c r="AJ21" s="85"/>
      <c r="AK21" s="85"/>
      <c r="AL21" s="85"/>
    </row>
    <row r="22" spans="1:38" x14ac:dyDescent="0.3">
      <c r="A22" s="85"/>
      <c r="B22" s="8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85"/>
      <c r="AG22" s="85"/>
      <c r="AH22" s="85"/>
      <c r="AI22" s="85"/>
      <c r="AJ22" s="85"/>
      <c r="AK22" s="85"/>
      <c r="AL22" s="85"/>
    </row>
    <row r="23" spans="1:38" x14ac:dyDescent="0.3">
      <c r="A23" s="85"/>
      <c r="B23" s="85"/>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85"/>
      <c r="AI23" s="85"/>
      <c r="AJ23" s="85"/>
      <c r="AK23" s="85"/>
      <c r="AL23" s="85"/>
    </row>
    <row r="24" spans="1:38" x14ac:dyDescent="0.3">
      <c r="A24" s="85"/>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85"/>
      <c r="AI24" s="85"/>
      <c r="AJ24" s="85"/>
      <c r="AK24" s="85"/>
      <c r="AL24" s="85"/>
    </row>
    <row r="25" spans="1:38" x14ac:dyDescent="0.3">
      <c r="A25" s="85"/>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85"/>
      <c r="AI25" s="85"/>
      <c r="AJ25" s="85"/>
      <c r="AK25" s="85"/>
      <c r="AL25" s="85"/>
    </row>
    <row r="26" spans="1:38" x14ac:dyDescent="0.3">
      <c r="A26" s="85"/>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85"/>
      <c r="AI26" s="85"/>
      <c r="AJ26" s="85"/>
      <c r="AK26" s="85"/>
      <c r="AL26" s="85"/>
    </row>
    <row r="27" spans="1:38" x14ac:dyDescent="0.3">
      <c r="A27" s="85"/>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c r="AF27" s="85"/>
      <c r="AG27" s="85"/>
      <c r="AH27" s="85"/>
      <c r="AI27" s="85"/>
      <c r="AJ27" s="85"/>
      <c r="AK27" s="85"/>
      <c r="AL27" s="85"/>
    </row>
    <row r="28" spans="1:38" x14ac:dyDescent="0.3">
      <c r="A28" s="85"/>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c r="AF28" s="85"/>
      <c r="AG28" s="85"/>
      <c r="AH28" s="85"/>
      <c r="AI28" s="85"/>
      <c r="AJ28" s="85"/>
      <c r="AK28" s="85"/>
      <c r="AL28" s="85"/>
    </row>
    <row r="29" spans="1:38" x14ac:dyDescent="0.3">
      <c r="A29" s="85"/>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c r="AF29" s="85"/>
      <c r="AG29" s="85"/>
      <c r="AH29" s="85"/>
      <c r="AI29" s="85"/>
      <c r="AJ29" s="85"/>
      <c r="AK29" s="85"/>
      <c r="AL29" s="85"/>
    </row>
    <row r="30" spans="1:38" x14ac:dyDescent="0.3">
      <c r="A30" s="85"/>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c r="AF30" s="85"/>
      <c r="AG30" s="85"/>
      <c r="AH30" s="85"/>
      <c r="AI30" s="85"/>
      <c r="AJ30" s="85"/>
      <c r="AK30" s="85"/>
      <c r="AL30" s="85"/>
    </row>
    <row r="31" spans="1:38" x14ac:dyDescent="0.3">
      <c r="A31" s="85"/>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row>
    <row r="32" spans="1:38" x14ac:dyDescent="0.3">
      <c r="A32" s="85"/>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c r="AF32" s="85"/>
      <c r="AG32" s="85"/>
      <c r="AH32" s="85"/>
      <c r="AI32" s="85"/>
      <c r="AJ32" s="85"/>
      <c r="AK32" s="85"/>
      <c r="AL32" s="85"/>
    </row>
    <row r="33" spans="1:38" x14ac:dyDescent="0.3">
      <c r="A33" s="85"/>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row>
    <row r="34" spans="1:38" x14ac:dyDescent="0.3">
      <c r="A34" s="85"/>
      <c r="B34" s="85"/>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c r="AF34" s="85"/>
      <c r="AG34" s="85"/>
      <c r="AH34" s="85"/>
      <c r="AI34" s="85"/>
      <c r="AJ34" s="85"/>
      <c r="AK34" s="85"/>
      <c r="AL34" s="85"/>
    </row>
    <row r="35" spans="1:38" x14ac:dyDescent="0.3">
      <c r="A35" s="85"/>
      <c r="B35" s="85"/>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c r="AF35" s="85"/>
      <c r="AG35" s="85"/>
      <c r="AH35" s="85"/>
      <c r="AI35" s="85"/>
      <c r="AJ35" s="85"/>
      <c r="AK35" s="85"/>
      <c r="AL35" s="85"/>
    </row>
    <row r="36" spans="1:38" x14ac:dyDescent="0.3">
      <c r="A36" s="85"/>
      <c r="B36" s="85"/>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c r="AF36" s="85"/>
      <c r="AG36" s="85"/>
      <c r="AH36" s="85"/>
      <c r="AI36" s="85"/>
      <c r="AJ36" s="85"/>
      <c r="AK36" s="85"/>
      <c r="AL36" s="85"/>
    </row>
    <row r="37" spans="1:38" x14ac:dyDescent="0.3">
      <c r="A37" s="85"/>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c r="AF37" s="85"/>
      <c r="AG37" s="85"/>
      <c r="AH37" s="85"/>
      <c r="AI37" s="85"/>
      <c r="AJ37" s="85"/>
      <c r="AK37" s="85"/>
      <c r="AL37" s="85"/>
    </row>
    <row r="38" spans="1:38" x14ac:dyDescent="0.3">
      <c r="A38" s="85"/>
      <c r="B38" s="85"/>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c r="AF38" s="85"/>
      <c r="AG38" s="85"/>
      <c r="AH38" s="85"/>
      <c r="AI38" s="85"/>
      <c r="AJ38" s="85"/>
      <c r="AK38" s="85"/>
      <c r="AL38" s="85"/>
    </row>
    <row r="39" spans="1:38" x14ac:dyDescent="0.3">
      <c r="A39" s="85"/>
      <c r="B39" s="85"/>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c r="AF39" s="85"/>
      <c r="AG39" s="85"/>
      <c r="AH39" s="85"/>
      <c r="AI39" s="85"/>
      <c r="AJ39" s="85"/>
      <c r="AK39" s="85"/>
      <c r="AL39" s="85"/>
    </row>
    <row r="40" spans="1:38" x14ac:dyDescent="0.3">
      <c r="A40" s="85"/>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row>
    <row r="41" spans="1:38" x14ac:dyDescent="0.3">
      <c r="A41" s="85"/>
      <c r="B41" s="85"/>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c r="AF41" s="85"/>
      <c r="AG41" s="85"/>
      <c r="AH41" s="85"/>
      <c r="AI41" s="85"/>
      <c r="AJ41" s="85"/>
      <c r="AK41" s="85"/>
      <c r="AL41" s="85"/>
    </row>
    <row r="42" spans="1:38" x14ac:dyDescent="0.3">
      <c r="A42" s="85"/>
      <c r="B42" s="8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85"/>
      <c r="AG42" s="85"/>
      <c r="AH42" s="85"/>
      <c r="AI42" s="85"/>
      <c r="AJ42" s="85"/>
      <c r="AK42" s="85"/>
      <c r="AL42" s="85"/>
    </row>
    <row r="43" spans="1:38" x14ac:dyDescent="0.3">
      <c r="A43" s="85"/>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c r="AF43" s="85"/>
      <c r="AG43" s="85"/>
      <c r="AH43" s="85"/>
      <c r="AI43" s="85"/>
      <c r="AJ43" s="85"/>
      <c r="AK43" s="85"/>
      <c r="AL43" s="85"/>
    </row>
    <row r="44" spans="1:38" x14ac:dyDescent="0.3">
      <c r="A44" s="85"/>
      <c r="B44" s="85"/>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c r="AF44" s="85"/>
      <c r="AG44" s="85"/>
      <c r="AH44" s="85"/>
      <c r="AI44" s="85"/>
      <c r="AJ44" s="85"/>
      <c r="AK44" s="85"/>
      <c r="AL44" s="85"/>
    </row>
    <row r="45" spans="1:38" x14ac:dyDescent="0.3">
      <c r="A45" s="85"/>
      <c r="B45" s="85"/>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c r="AF45" s="85"/>
      <c r="AG45" s="85"/>
      <c r="AH45" s="85"/>
      <c r="AI45" s="85"/>
      <c r="AJ45" s="85"/>
      <c r="AK45" s="85"/>
      <c r="AL45" s="85"/>
    </row>
    <row r="46" spans="1:38" x14ac:dyDescent="0.3">
      <c r="A46" s="85"/>
      <c r="B46" s="85"/>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c r="AF46" s="85"/>
      <c r="AG46" s="85"/>
      <c r="AH46" s="85"/>
      <c r="AI46" s="85"/>
      <c r="AJ46" s="85"/>
      <c r="AK46" s="85"/>
      <c r="AL46" s="85"/>
    </row>
    <row r="47" spans="1:38" x14ac:dyDescent="0.3">
      <c r="A47" s="85"/>
      <c r="B47" s="85"/>
      <c r="C47" s="85"/>
      <c r="D47" s="85"/>
      <c r="E47" s="85"/>
      <c r="F47" s="85"/>
      <c r="G47" s="85"/>
      <c r="H47" s="85"/>
      <c r="I47" s="85"/>
      <c r="J47" s="85"/>
      <c r="K47" s="85"/>
      <c r="L47" s="85"/>
      <c r="M47" s="85"/>
      <c r="N47" s="85"/>
      <c r="O47" s="85"/>
      <c r="P47" s="85"/>
      <c r="Q47" s="85"/>
      <c r="R47" s="85"/>
      <c r="S47" s="85"/>
      <c r="T47" s="85"/>
      <c r="U47" s="85"/>
      <c r="V47" s="85"/>
      <c r="W47" s="85"/>
      <c r="X47" s="85"/>
      <c r="Y47" s="85"/>
      <c r="Z47" s="85"/>
      <c r="AA47" s="85"/>
      <c r="AB47" s="85"/>
      <c r="AC47" s="85"/>
      <c r="AD47" s="85"/>
      <c r="AE47" s="85"/>
      <c r="AF47" s="85"/>
      <c r="AG47" s="85"/>
      <c r="AH47" s="85"/>
      <c r="AI47" s="85"/>
      <c r="AJ47" s="85"/>
      <c r="AK47" s="85"/>
      <c r="AL47" s="85"/>
    </row>
    <row r="48" spans="1:38" x14ac:dyDescent="0.3">
      <c r="A48" s="85"/>
      <c r="B48" s="85"/>
      <c r="C48" s="85"/>
      <c r="D48" s="85"/>
      <c r="E48" s="85"/>
      <c r="F48" s="85"/>
      <c r="G48" s="85"/>
      <c r="H48" s="85"/>
      <c r="I48" s="85"/>
      <c r="J48" s="85"/>
      <c r="K48" s="85"/>
      <c r="L48" s="85"/>
      <c r="M48" s="85"/>
      <c r="N48" s="85"/>
      <c r="O48" s="85"/>
      <c r="P48" s="85"/>
      <c r="Q48" s="85"/>
      <c r="R48" s="85"/>
      <c r="S48" s="85"/>
      <c r="T48" s="85"/>
      <c r="U48" s="85"/>
      <c r="V48" s="85"/>
      <c r="W48" s="85"/>
      <c r="X48" s="85"/>
      <c r="Y48" s="85"/>
      <c r="Z48" s="85"/>
      <c r="AA48" s="85"/>
      <c r="AB48" s="85"/>
      <c r="AC48" s="85"/>
      <c r="AD48" s="85"/>
      <c r="AE48" s="85"/>
      <c r="AF48" s="85"/>
      <c r="AG48" s="85"/>
      <c r="AH48" s="85"/>
      <c r="AI48" s="85"/>
      <c r="AJ48" s="85"/>
      <c r="AK48" s="85"/>
      <c r="AL48" s="85"/>
    </row>
    <row r="49" spans="1:38" x14ac:dyDescent="0.3">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c r="AA49" s="85"/>
      <c r="AB49" s="85"/>
      <c r="AC49" s="85"/>
      <c r="AD49" s="85"/>
      <c r="AE49" s="85"/>
      <c r="AF49" s="85"/>
      <c r="AG49" s="85"/>
      <c r="AH49" s="85"/>
      <c r="AI49" s="85"/>
      <c r="AJ49" s="85"/>
      <c r="AK49" s="85"/>
      <c r="AL49" s="85"/>
    </row>
    <row r="50" spans="1:38" x14ac:dyDescent="0.3">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85"/>
      <c r="AA50" s="85"/>
      <c r="AB50" s="85"/>
      <c r="AC50" s="85"/>
      <c r="AD50" s="85"/>
      <c r="AE50" s="85"/>
      <c r="AF50" s="85"/>
      <c r="AG50" s="85"/>
      <c r="AH50" s="85"/>
      <c r="AI50" s="85"/>
      <c r="AJ50" s="85"/>
      <c r="AK50" s="85"/>
      <c r="AL50" s="85"/>
    </row>
    <row r="51" spans="1:38" x14ac:dyDescent="0.3">
      <c r="A51" s="85"/>
      <c r="B51" s="85"/>
      <c r="C51" s="85"/>
      <c r="D51" s="85"/>
      <c r="E51" s="85"/>
      <c r="F51" s="85"/>
      <c r="G51" s="85"/>
      <c r="H51" s="85"/>
      <c r="I51" s="85"/>
      <c r="J51" s="85"/>
      <c r="K51" s="85"/>
      <c r="L51" s="85"/>
      <c r="M51" s="85"/>
      <c r="N51" s="85"/>
      <c r="O51" s="85"/>
      <c r="P51" s="85"/>
      <c r="Q51" s="85"/>
      <c r="R51" s="85"/>
      <c r="S51" s="85"/>
      <c r="T51" s="85"/>
      <c r="U51" s="85"/>
      <c r="V51" s="85"/>
      <c r="W51" s="85"/>
      <c r="X51" s="85"/>
      <c r="Y51" s="85"/>
      <c r="Z51" s="85"/>
      <c r="AA51" s="85"/>
      <c r="AB51" s="85"/>
      <c r="AC51" s="85"/>
      <c r="AD51" s="85"/>
      <c r="AE51" s="85"/>
      <c r="AF51" s="85"/>
      <c r="AG51" s="85"/>
      <c r="AH51" s="85"/>
      <c r="AI51" s="85"/>
      <c r="AJ51" s="85"/>
      <c r="AK51" s="85"/>
      <c r="AL51" s="85"/>
    </row>
    <row r="52" spans="1:38" x14ac:dyDescent="0.3">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85"/>
      <c r="AA52" s="85"/>
      <c r="AB52" s="85"/>
      <c r="AC52" s="85"/>
      <c r="AD52" s="85"/>
      <c r="AE52" s="85"/>
      <c r="AF52" s="85"/>
      <c r="AG52" s="85"/>
      <c r="AH52" s="85"/>
      <c r="AI52" s="85"/>
      <c r="AJ52" s="85"/>
      <c r="AK52" s="85"/>
      <c r="AL52" s="85"/>
    </row>
    <row r="53" spans="1:38" x14ac:dyDescent="0.3">
      <c r="A53" s="85"/>
      <c r="B53" s="85"/>
      <c r="C53" s="85"/>
      <c r="D53" s="85"/>
      <c r="E53" s="85"/>
      <c r="F53" s="85"/>
      <c r="G53" s="85"/>
      <c r="H53" s="85"/>
      <c r="I53" s="85"/>
      <c r="J53" s="85"/>
      <c r="K53" s="85"/>
      <c r="L53" s="85"/>
      <c r="M53" s="85"/>
      <c r="N53" s="85"/>
      <c r="O53" s="85"/>
      <c r="P53" s="85"/>
      <c r="Q53" s="85"/>
      <c r="R53" s="85"/>
      <c r="S53" s="85"/>
      <c r="T53" s="85"/>
      <c r="U53" s="85"/>
      <c r="V53" s="85"/>
      <c r="W53" s="85"/>
      <c r="X53" s="85"/>
      <c r="Y53" s="85"/>
      <c r="Z53" s="85"/>
      <c r="AA53" s="85"/>
      <c r="AB53" s="85"/>
      <c r="AC53" s="85"/>
      <c r="AD53" s="85"/>
      <c r="AE53" s="85"/>
      <c r="AF53" s="85"/>
      <c r="AG53" s="85"/>
      <c r="AH53" s="85"/>
      <c r="AI53" s="85"/>
      <c r="AJ53" s="85"/>
      <c r="AK53" s="85"/>
      <c r="AL53" s="85"/>
    </row>
    <row r="54" spans="1:38" x14ac:dyDescent="0.3">
      <c r="A54" s="85"/>
      <c r="B54" s="85"/>
      <c r="C54" s="85"/>
      <c r="D54" s="85"/>
      <c r="E54" s="85"/>
      <c r="F54" s="85"/>
      <c r="G54" s="85"/>
      <c r="H54" s="85"/>
      <c r="I54" s="85"/>
      <c r="J54" s="85"/>
      <c r="K54" s="85"/>
      <c r="L54" s="85"/>
      <c r="M54" s="85"/>
      <c r="N54" s="85"/>
      <c r="O54" s="85"/>
      <c r="P54" s="85"/>
      <c r="Q54" s="85"/>
      <c r="R54" s="85"/>
      <c r="S54" s="85"/>
      <c r="T54" s="85"/>
      <c r="U54" s="85"/>
      <c r="V54" s="85"/>
      <c r="W54" s="85"/>
      <c r="X54" s="85"/>
      <c r="Y54" s="85"/>
      <c r="Z54" s="85"/>
      <c r="AA54" s="85"/>
      <c r="AB54" s="85"/>
      <c r="AC54" s="85"/>
      <c r="AD54" s="85"/>
      <c r="AE54" s="85"/>
      <c r="AF54" s="85"/>
      <c r="AG54" s="85"/>
      <c r="AH54" s="85"/>
      <c r="AI54" s="85"/>
      <c r="AJ54" s="85"/>
      <c r="AK54" s="85"/>
      <c r="AL54" s="85"/>
    </row>
    <row r="55" spans="1:38" x14ac:dyDescent="0.3">
      <c r="A55" s="85"/>
      <c r="B55" s="85"/>
      <c r="C55" s="85"/>
      <c r="D55" s="85"/>
      <c r="E55" s="85"/>
      <c r="F55" s="85"/>
      <c r="G55" s="85"/>
      <c r="H55" s="85"/>
      <c r="I55" s="85"/>
      <c r="J55" s="85"/>
      <c r="K55" s="85"/>
      <c r="L55" s="85"/>
      <c r="M55" s="85"/>
      <c r="N55" s="85"/>
      <c r="O55" s="85"/>
      <c r="P55" s="85"/>
      <c r="Q55" s="85"/>
      <c r="R55" s="85"/>
      <c r="S55" s="85"/>
      <c r="T55" s="85"/>
      <c r="U55" s="85"/>
      <c r="V55" s="85"/>
      <c r="W55" s="85"/>
      <c r="X55" s="85"/>
      <c r="Y55" s="85"/>
      <c r="Z55" s="85"/>
      <c r="AA55" s="85"/>
      <c r="AB55" s="85"/>
      <c r="AC55" s="85"/>
      <c r="AD55" s="85"/>
      <c r="AE55" s="85"/>
      <c r="AF55" s="85"/>
      <c r="AG55" s="85"/>
      <c r="AH55" s="85"/>
      <c r="AI55" s="85"/>
      <c r="AJ55" s="85"/>
      <c r="AK55" s="85"/>
      <c r="AL55" s="85"/>
    </row>
    <row r="56" spans="1:38" x14ac:dyDescent="0.3">
      <c r="A56" s="85"/>
      <c r="B56" s="85"/>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row>
    <row r="57" spans="1:38" x14ac:dyDescent="0.3">
      <c r="A57" s="85"/>
      <c r="B57" s="85"/>
      <c r="C57" s="85"/>
      <c r="D57" s="85"/>
      <c r="E57" s="85"/>
      <c r="F57" s="85"/>
      <c r="G57" s="85"/>
      <c r="H57" s="85"/>
      <c r="I57" s="85"/>
      <c r="J57" s="85"/>
      <c r="K57" s="85"/>
      <c r="L57" s="85"/>
      <c r="M57" s="85"/>
      <c r="N57" s="85"/>
      <c r="O57" s="85"/>
      <c r="P57" s="85"/>
      <c r="Q57" s="85"/>
      <c r="R57" s="85"/>
      <c r="S57" s="85"/>
      <c r="T57" s="85"/>
      <c r="U57" s="85"/>
      <c r="V57" s="85"/>
      <c r="W57" s="85"/>
      <c r="X57" s="85"/>
      <c r="Y57" s="85"/>
      <c r="Z57" s="85"/>
      <c r="AA57" s="85"/>
      <c r="AB57" s="85"/>
      <c r="AC57" s="85"/>
      <c r="AD57" s="85"/>
      <c r="AE57" s="85"/>
      <c r="AF57" s="85"/>
      <c r="AG57" s="85"/>
      <c r="AH57" s="85"/>
      <c r="AI57" s="85"/>
      <c r="AJ57" s="85"/>
      <c r="AK57" s="85"/>
      <c r="AL57" s="85"/>
    </row>
    <row r="58" spans="1:38" x14ac:dyDescent="0.3">
      <c r="A58" s="85"/>
      <c r="B58" s="85"/>
      <c r="C58" s="85"/>
      <c r="D58" s="85"/>
      <c r="E58" s="85"/>
      <c r="F58" s="85"/>
      <c r="G58" s="85"/>
      <c r="H58" s="85"/>
      <c r="I58" s="85"/>
      <c r="J58" s="85"/>
      <c r="K58" s="85"/>
      <c r="L58" s="85"/>
      <c r="M58" s="85"/>
      <c r="N58" s="85"/>
      <c r="O58" s="85"/>
      <c r="P58" s="85"/>
      <c r="Q58" s="85"/>
      <c r="R58" s="85"/>
      <c r="S58" s="85"/>
      <c r="T58" s="85"/>
      <c r="U58" s="85"/>
      <c r="V58" s="85"/>
      <c r="W58" s="85"/>
      <c r="X58" s="85"/>
      <c r="Y58" s="85"/>
      <c r="Z58" s="85"/>
      <c r="AA58" s="85"/>
      <c r="AB58" s="85"/>
      <c r="AC58" s="85"/>
      <c r="AD58" s="85"/>
      <c r="AE58" s="85"/>
      <c r="AF58" s="85"/>
      <c r="AG58" s="85"/>
      <c r="AH58" s="85"/>
      <c r="AI58" s="85"/>
      <c r="AJ58" s="85"/>
      <c r="AK58" s="85"/>
      <c r="AL58" s="85"/>
    </row>
    <row r="59" spans="1:38" x14ac:dyDescent="0.3">
      <c r="A59" s="85"/>
      <c r="B59" s="85"/>
      <c r="C59" s="85"/>
      <c r="D59" s="85"/>
      <c r="E59" s="85"/>
      <c r="F59" s="85"/>
      <c r="G59" s="85"/>
      <c r="H59" s="85"/>
      <c r="I59" s="85"/>
      <c r="J59" s="85"/>
      <c r="K59" s="85"/>
      <c r="L59" s="85"/>
      <c r="M59" s="85"/>
      <c r="N59" s="85"/>
      <c r="O59" s="85"/>
      <c r="P59" s="85"/>
      <c r="Q59" s="85"/>
      <c r="R59" s="85"/>
      <c r="S59" s="85"/>
      <c r="T59" s="85"/>
      <c r="U59" s="85"/>
      <c r="V59" s="85"/>
      <c r="W59" s="85"/>
      <c r="X59" s="85"/>
      <c r="Y59" s="85"/>
      <c r="Z59" s="85"/>
      <c r="AA59" s="85"/>
      <c r="AB59" s="85"/>
      <c r="AC59" s="85"/>
      <c r="AD59" s="85"/>
      <c r="AE59" s="85"/>
      <c r="AF59" s="85"/>
      <c r="AG59" s="85"/>
      <c r="AH59" s="85"/>
      <c r="AI59" s="85"/>
      <c r="AJ59" s="85"/>
      <c r="AK59" s="85"/>
      <c r="AL59" s="85"/>
    </row>
    <row r="60" spans="1:38" x14ac:dyDescent="0.3">
      <c r="A60" s="85"/>
      <c r="B60" s="85"/>
      <c r="C60" s="85"/>
      <c r="D60" s="85"/>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c r="AF60" s="85"/>
      <c r="AG60" s="85"/>
      <c r="AH60" s="85"/>
      <c r="AI60" s="85"/>
      <c r="AJ60" s="85"/>
      <c r="AK60" s="85"/>
      <c r="AL60" s="85"/>
    </row>
    <row r="61" spans="1:38" x14ac:dyDescent="0.3">
      <c r="A61" s="85"/>
      <c r="B61" s="85"/>
      <c r="C61" s="85"/>
      <c r="D61" s="85"/>
      <c r="E61" s="85"/>
      <c r="F61" s="85"/>
      <c r="G61" s="85"/>
      <c r="H61" s="85"/>
      <c r="I61" s="85"/>
      <c r="J61" s="85"/>
      <c r="K61" s="85"/>
      <c r="L61" s="85"/>
      <c r="M61" s="85"/>
      <c r="N61" s="85"/>
      <c r="O61" s="85"/>
      <c r="P61" s="85"/>
      <c r="Q61" s="85"/>
      <c r="R61" s="85"/>
      <c r="S61" s="85"/>
      <c r="T61" s="85"/>
      <c r="U61" s="85"/>
      <c r="V61" s="85"/>
      <c r="W61" s="85"/>
      <c r="X61" s="85"/>
      <c r="Y61" s="85"/>
      <c r="Z61" s="85"/>
      <c r="AA61" s="85"/>
      <c r="AB61" s="85"/>
      <c r="AC61" s="85"/>
      <c r="AD61" s="85"/>
      <c r="AE61" s="85"/>
      <c r="AF61" s="85"/>
      <c r="AG61" s="85"/>
      <c r="AH61" s="85"/>
      <c r="AI61" s="85"/>
      <c r="AJ61" s="85"/>
      <c r="AK61" s="85"/>
      <c r="AL61" s="85"/>
    </row>
    <row r="62" spans="1:38" x14ac:dyDescent="0.3">
      <c r="A62" s="85"/>
      <c r="B62" s="85"/>
      <c r="C62" s="85"/>
      <c r="D62" s="85"/>
      <c r="E62" s="85"/>
      <c r="F62" s="85"/>
      <c r="G62" s="85"/>
      <c r="H62" s="85"/>
      <c r="I62" s="85"/>
      <c r="J62" s="85"/>
      <c r="K62" s="85"/>
      <c r="L62" s="85"/>
      <c r="M62" s="85"/>
      <c r="N62" s="85"/>
      <c r="O62" s="85"/>
      <c r="P62" s="85"/>
      <c r="Q62" s="85"/>
      <c r="R62" s="85"/>
      <c r="S62" s="85"/>
      <c r="T62" s="85"/>
      <c r="U62" s="85"/>
      <c r="V62" s="85"/>
      <c r="W62" s="85"/>
      <c r="X62" s="85"/>
      <c r="Y62" s="85"/>
      <c r="Z62" s="85"/>
      <c r="AA62" s="85"/>
      <c r="AB62" s="85"/>
      <c r="AC62" s="85"/>
      <c r="AD62" s="85"/>
      <c r="AE62" s="85"/>
      <c r="AF62" s="85"/>
      <c r="AG62" s="85"/>
      <c r="AH62" s="85"/>
      <c r="AI62" s="85"/>
      <c r="AJ62" s="85"/>
      <c r="AK62" s="85"/>
      <c r="AL62" s="85"/>
    </row>
    <row r="63" spans="1:38" x14ac:dyDescent="0.3">
      <c r="A63" s="85"/>
      <c r="B63" s="85"/>
      <c r="C63" s="85"/>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5"/>
      <c r="AJ63" s="85"/>
      <c r="AK63" s="85"/>
      <c r="AL63" s="85"/>
    </row>
    <row r="64" spans="1:38" x14ac:dyDescent="0.3">
      <c r="A64" s="85"/>
      <c r="B64" s="85"/>
      <c r="C64" s="85"/>
      <c r="D64" s="85"/>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5"/>
      <c r="AJ64" s="85"/>
      <c r="AK64" s="85"/>
      <c r="AL64" s="85"/>
    </row>
    <row r="65" spans="1:38" x14ac:dyDescent="0.3">
      <c r="A65" s="85"/>
      <c r="B65" s="85"/>
      <c r="C65" s="85"/>
      <c r="D65" s="85"/>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5"/>
      <c r="AJ65" s="85"/>
      <c r="AK65" s="85"/>
      <c r="AL65" s="85"/>
    </row>
    <row r="66" spans="1:38" x14ac:dyDescent="0.3">
      <c r="A66" s="85"/>
      <c r="B66" s="85"/>
      <c r="C66" s="85"/>
      <c r="D66" s="85"/>
      <c r="E66" s="85"/>
      <c r="F66" s="85"/>
      <c r="G66" s="85"/>
      <c r="H66" s="85"/>
      <c r="I66" s="85"/>
      <c r="J66" s="85"/>
      <c r="K66" s="85"/>
      <c r="L66" s="85"/>
      <c r="M66" s="85"/>
      <c r="N66" s="85"/>
      <c r="O66" s="85"/>
      <c r="P66" s="85"/>
      <c r="Q66" s="85"/>
      <c r="R66" s="85"/>
      <c r="S66" s="85"/>
      <c r="T66" s="85"/>
      <c r="U66" s="85"/>
      <c r="V66" s="85"/>
      <c r="W66" s="85"/>
      <c r="X66" s="85"/>
      <c r="Y66" s="85"/>
      <c r="Z66" s="85"/>
      <c r="AA66" s="85"/>
      <c r="AB66" s="85"/>
      <c r="AC66" s="85"/>
      <c r="AD66" s="85"/>
      <c r="AE66" s="85"/>
      <c r="AF66" s="85"/>
      <c r="AG66" s="85"/>
      <c r="AH66" s="85"/>
      <c r="AI66" s="85"/>
      <c r="AJ66" s="85"/>
      <c r="AK66" s="85"/>
      <c r="AL66" s="85"/>
    </row>
    <row r="67" spans="1:38" x14ac:dyDescent="0.3">
      <c r="A67" s="85"/>
      <c r="B67" s="85"/>
      <c r="C67" s="85"/>
      <c r="D67" s="85"/>
      <c r="E67" s="85"/>
      <c r="F67" s="85"/>
      <c r="G67" s="85"/>
      <c r="H67" s="85"/>
      <c r="I67" s="85"/>
      <c r="J67" s="85"/>
      <c r="K67" s="85"/>
      <c r="L67" s="85"/>
      <c r="M67" s="85"/>
      <c r="N67" s="85"/>
      <c r="O67" s="85"/>
      <c r="P67" s="85"/>
      <c r="Q67" s="85"/>
      <c r="R67" s="85"/>
      <c r="S67" s="85"/>
      <c r="T67" s="85"/>
      <c r="U67" s="85"/>
      <c r="V67" s="85"/>
      <c r="W67" s="85"/>
      <c r="X67" s="85"/>
      <c r="Y67" s="85"/>
      <c r="Z67" s="85"/>
      <c r="AA67" s="85"/>
      <c r="AB67" s="85"/>
      <c r="AC67" s="85"/>
      <c r="AD67" s="85"/>
      <c r="AE67" s="85"/>
      <c r="AF67" s="85"/>
      <c r="AG67" s="85"/>
      <c r="AH67" s="85"/>
      <c r="AI67" s="85"/>
      <c r="AJ67" s="85"/>
      <c r="AK67" s="85"/>
      <c r="AL67" s="85"/>
    </row>
    <row r="68" spans="1:38" x14ac:dyDescent="0.3">
      <c r="A68" s="85"/>
      <c r="B68" s="85"/>
      <c r="C68" s="85"/>
      <c r="D68" s="85"/>
      <c r="E68" s="85"/>
      <c r="F68" s="85"/>
      <c r="G68" s="85"/>
      <c r="H68" s="85"/>
      <c r="I68" s="85"/>
      <c r="J68" s="85"/>
      <c r="K68" s="85"/>
      <c r="L68" s="85"/>
      <c r="M68" s="85"/>
      <c r="N68" s="85"/>
      <c r="O68" s="85"/>
      <c r="P68" s="85"/>
      <c r="Q68" s="85"/>
      <c r="R68" s="85"/>
      <c r="S68" s="85"/>
      <c r="T68" s="85"/>
      <c r="U68" s="85"/>
      <c r="V68" s="85"/>
      <c r="W68" s="85"/>
      <c r="X68" s="85"/>
      <c r="Y68" s="85"/>
      <c r="Z68" s="85"/>
      <c r="AA68" s="85"/>
      <c r="AB68" s="85"/>
      <c r="AC68" s="85"/>
      <c r="AD68" s="85"/>
      <c r="AE68" s="85"/>
      <c r="AF68" s="85"/>
      <c r="AG68" s="85"/>
      <c r="AH68" s="85"/>
      <c r="AI68" s="85"/>
      <c r="AJ68" s="85"/>
      <c r="AK68" s="85"/>
      <c r="AL68" s="85"/>
    </row>
    <row r="69" spans="1:38" x14ac:dyDescent="0.3">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c r="AA69" s="85"/>
      <c r="AB69" s="85"/>
      <c r="AC69" s="85"/>
      <c r="AD69" s="85"/>
      <c r="AE69" s="85"/>
      <c r="AF69" s="85"/>
      <c r="AG69" s="85"/>
      <c r="AH69" s="85"/>
      <c r="AI69" s="85"/>
      <c r="AJ69" s="85"/>
      <c r="AK69" s="85"/>
      <c r="AL69" s="85"/>
    </row>
    <row r="70" spans="1:38" x14ac:dyDescent="0.3">
      <c r="A70" s="85"/>
      <c r="B70" s="85"/>
      <c r="C70" s="85"/>
      <c r="D70" s="85"/>
      <c r="E70" s="85"/>
      <c r="F70" s="85"/>
      <c r="G70" s="85"/>
      <c r="H70" s="85"/>
      <c r="I70" s="85"/>
      <c r="J70" s="85"/>
      <c r="K70" s="85"/>
      <c r="L70" s="85"/>
      <c r="M70" s="85"/>
      <c r="N70" s="85"/>
      <c r="O70" s="85"/>
      <c r="P70" s="85"/>
      <c r="Q70" s="85"/>
      <c r="R70" s="85"/>
      <c r="S70" s="85"/>
      <c r="T70" s="85"/>
      <c r="U70" s="85"/>
      <c r="V70" s="85"/>
      <c r="W70" s="85"/>
      <c r="X70" s="85"/>
      <c r="Y70" s="85"/>
      <c r="Z70" s="85"/>
      <c r="AA70" s="85"/>
      <c r="AB70" s="85"/>
      <c r="AC70" s="85"/>
      <c r="AD70" s="85"/>
      <c r="AE70" s="85"/>
      <c r="AF70" s="85"/>
      <c r="AG70" s="85"/>
      <c r="AH70" s="85"/>
      <c r="AI70" s="85"/>
      <c r="AJ70" s="85"/>
      <c r="AK70" s="85"/>
      <c r="AL70" s="85"/>
    </row>
    <row r="71" spans="1:38" x14ac:dyDescent="0.3">
      <c r="A71" s="85"/>
      <c r="B71" s="85"/>
      <c r="C71" s="85"/>
      <c r="D71" s="85"/>
      <c r="E71" s="85"/>
      <c r="F71" s="85"/>
      <c r="G71" s="85"/>
      <c r="H71" s="85"/>
      <c r="I71" s="85"/>
      <c r="J71" s="85"/>
      <c r="K71" s="85"/>
      <c r="L71" s="85"/>
      <c r="M71" s="85"/>
      <c r="N71" s="85"/>
      <c r="O71" s="85"/>
      <c r="P71" s="85"/>
      <c r="Q71" s="85"/>
      <c r="R71" s="85"/>
      <c r="S71" s="85"/>
      <c r="T71" s="85"/>
      <c r="U71" s="85"/>
      <c r="V71" s="85"/>
      <c r="W71" s="85"/>
      <c r="X71" s="85"/>
      <c r="Y71" s="85"/>
      <c r="Z71" s="85"/>
      <c r="AA71" s="85"/>
      <c r="AB71" s="85"/>
      <c r="AC71" s="85"/>
      <c r="AD71" s="85"/>
      <c r="AE71" s="85"/>
      <c r="AF71" s="85"/>
      <c r="AG71" s="85"/>
      <c r="AH71" s="85"/>
      <c r="AI71" s="85"/>
      <c r="AJ71" s="85"/>
      <c r="AK71" s="85"/>
      <c r="AL71" s="85"/>
    </row>
    <row r="72" spans="1:38" x14ac:dyDescent="0.3">
      <c r="A72" s="85"/>
      <c r="B72" s="85"/>
      <c r="C72" s="85"/>
      <c r="D72" s="85"/>
      <c r="E72" s="85"/>
      <c r="F72" s="85"/>
      <c r="G72" s="85"/>
      <c r="H72" s="85"/>
      <c r="I72" s="85"/>
      <c r="J72" s="85"/>
      <c r="K72" s="85"/>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row>
    <row r="73" spans="1:38" x14ac:dyDescent="0.3">
      <c r="A73" s="85"/>
      <c r="B73" s="85"/>
      <c r="C73" s="85"/>
      <c r="D73" s="85"/>
      <c r="E73" s="85"/>
      <c r="F73" s="85"/>
      <c r="G73" s="85"/>
      <c r="H73" s="85"/>
      <c r="I73" s="85"/>
      <c r="J73" s="85"/>
      <c r="K73" s="85"/>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row>
    <row r="74" spans="1:38" x14ac:dyDescent="0.3">
      <c r="A74" s="85"/>
      <c r="B74" s="85"/>
      <c r="C74" s="85"/>
      <c r="D74" s="85"/>
      <c r="E74" s="85"/>
      <c r="F74" s="85"/>
      <c r="G74" s="85"/>
      <c r="H74" s="85"/>
      <c r="I74" s="85"/>
      <c r="J74" s="85"/>
      <c r="K74" s="85"/>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row>
    <row r="75" spans="1:38" x14ac:dyDescent="0.3">
      <c r="A75" s="85"/>
      <c r="B75" s="85"/>
      <c r="C75" s="85"/>
      <c r="D75" s="85"/>
      <c r="E75" s="85"/>
      <c r="F75" s="85"/>
      <c r="G75" s="85"/>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row>
    <row r="76" spans="1:38" x14ac:dyDescent="0.3">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row>
    <row r="77" spans="1:38" x14ac:dyDescent="0.3">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row>
    <row r="78" spans="1:38" x14ac:dyDescent="0.3">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row>
    <row r="79" spans="1:38" x14ac:dyDescent="0.3">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33211-5223-4CAC-84B2-A32B37D80FDF}">
  <sheetPr codeName="Hoja14">
    <tabColor rgb="FF00B0F0"/>
  </sheetPr>
  <dimension ref="A1:AK79"/>
  <sheetViews>
    <sheetView showGridLines="0" topLeftCell="A16" zoomScale="70" zoomScaleNormal="70" workbookViewId="0">
      <selection activeCell="E78" sqref="E78"/>
    </sheetView>
  </sheetViews>
  <sheetFormatPr baseColWidth="10" defaultColWidth="11.44140625" defaultRowHeight="14.4" x14ac:dyDescent="0.3"/>
  <cols>
    <col min="1" max="29" width="15.6640625" customWidth="1"/>
    <col min="30" max="30" width="30.6640625" customWidth="1"/>
  </cols>
  <sheetData>
    <row r="1" spans="1:37" x14ac:dyDescent="0.3">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row>
    <row r="2" spans="1:37" x14ac:dyDescent="0.3">
      <c r="A2" s="85"/>
      <c r="B2" s="85"/>
      <c r="C2" s="85"/>
      <c r="D2" s="85"/>
      <c r="E2" s="85"/>
      <c r="F2" s="85"/>
      <c r="G2" s="85"/>
      <c r="H2" s="85"/>
      <c r="I2" s="85"/>
      <c r="J2" s="85"/>
      <c r="K2" s="85"/>
      <c r="L2" s="85"/>
      <c r="M2" s="85"/>
      <c r="N2" s="85"/>
      <c r="O2" s="85"/>
      <c r="P2" s="85"/>
      <c r="Q2" s="85"/>
      <c r="R2" s="85"/>
      <c r="S2" s="85"/>
      <c r="T2" s="85"/>
      <c r="U2" s="85"/>
      <c r="V2" s="85"/>
      <c r="W2" s="85"/>
      <c r="X2" s="85"/>
      <c r="Y2" s="85"/>
      <c r="Z2" s="85"/>
      <c r="AA2" s="85"/>
      <c r="AB2" s="85"/>
      <c r="AC2" s="85"/>
      <c r="AD2" s="85"/>
      <c r="AE2" s="85"/>
      <c r="AF2" s="85"/>
      <c r="AG2" s="85"/>
      <c r="AH2" s="85"/>
      <c r="AI2" s="85"/>
      <c r="AJ2" s="85"/>
      <c r="AK2" s="85"/>
    </row>
    <row r="3" spans="1:37" x14ac:dyDescent="0.3">
      <c r="A3" s="85"/>
      <c r="B3" s="85"/>
      <c r="C3" s="85"/>
      <c r="D3" s="85"/>
      <c r="E3" s="85"/>
      <c r="F3" s="85"/>
      <c r="G3" s="85"/>
      <c r="H3" s="85"/>
      <c r="I3" s="85"/>
      <c r="J3" s="85"/>
      <c r="K3" s="85"/>
      <c r="L3" s="85"/>
      <c r="M3" s="85"/>
      <c r="N3" s="85"/>
      <c r="O3" s="85"/>
      <c r="P3" s="85"/>
      <c r="Q3" s="85"/>
      <c r="R3" s="85"/>
      <c r="S3" s="85"/>
      <c r="T3" s="85"/>
      <c r="U3" s="85"/>
      <c r="V3" s="85"/>
      <c r="W3" s="85"/>
      <c r="X3" s="85"/>
      <c r="Y3" s="85"/>
      <c r="Z3" s="85"/>
      <c r="AA3" s="85"/>
      <c r="AB3" s="85"/>
      <c r="AC3" s="85"/>
      <c r="AD3" s="85"/>
      <c r="AE3" s="85"/>
      <c r="AF3" s="85"/>
      <c r="AG3" s="85"/>
      <c r="AH3" s="85"/>
      <c r="AI3" s="85"/>
      <c r="AJ3" s="85"/>
      <c r="AK3" s="85"/>
    </row>
    <row r="4" spans="1:37" x14ac:dyDescent="0.3">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row>
    <row r="5" spans="1:37" x14ac:dyDescent="0.3">
      <c r="A5" s="85"/>
      <c r="B5" s="85"/>
      <c r="C5" s="85"/>
      <c r="D5" s="85"/>
      <c r="E5" s="85"/>
      <c r="F5" s="85"/>
      <c r="G5" s="85"/>
      <c r="H5" s="85"/>
      <c r="I5" s="85"/>
      <c r="J5" s="85"/>
      <c r="K5" s="85"/>
      <c r="L5" s="85"/>
      <c r="M5" s="85"/>
      <c r="N5" s="85"/>
      <c r="O5" s="85"/>
      <c r="P5" s="85"/>
      <c r="Q5" s="85"/>
      <c r="R5" s="85"/>
      <c r="S5" s="85"/>
      <c r="T5" s="85"/>
      <c r="U5" s="85"/>
      <c r="V5" s="85"/>
      <c r="W5" s="85"/>
      <c r="X5" s="85"/>
      <c r="Y5" s="85"/>
      <c r="Z5" s="85"/>
      <c r="AA5" s="85"/>
      <c r="AB5" s="85"/>
      <c r="AC5" s="85"/>
      <c r="AD5" s="85"/>
      <c r="AE5" s="85"/>
      <c r="AF5" s="85"/>
      <c r="AG5" s="85"/>
      <c r="AH5" s="85"/>
      <c r="AI5" s="85"/>
      <c r="AJ5" s="85"/>
      <c r="AK5" s="85"/>
    </row>
    <row r="6" spans="1:37" x14ac:dyDescent="0.3">
      <c r="A6" s="85"/>
      <c r="B6" s="85"/>
      <c r="C6" s="85"/>
      <c r="D6" s="85"/>
      <c r="E6" s="85"/>
      <c r="F6" s="85"/>
      <c r="G6" s="85"/>
      <c r="H6" s="85"/>
      <c r="I6" s="85"/>
      <c r="J6" s="85"/>
      <c r="K6" s="85"/>
      <c r="L6" s="85"/>
      <c r="M6" s="85"/>
      <c r="N6" s="85"/>
      <c r="O6" s="85"/>
      <c r="P6" s="85"/>
      <c r="Q6" s="85"/>
      <c r="R6" s="85"/>
      <c r="S6" s="85"/>
      <c r="T6" s="85"/>
      <c r="U6" s="85"/>
      <c r="V6" s="85"/>
      <c r="W6" s="85"/>
      <c r="X6" s="85"/>
      <c r="Y6" s="85"/>
      <c r="Z6" s="85"/>
      <c r="AA6" s="85"/>
      <c r="AB6" s="85"/>
      <c r="AC6" s="85"/>
      <c r="AD6" s="85"/>
      <c r="AE6" s="85"/>
      <c r="AF6" s="85"/>
      <c r="AG6" s="85"/>
      <c r="AH6" s="85"/>
      <c r="AI6" s="85"/>
      <c r="AJ6" s="85"/>
      <c r="AK6" s="85"/>
    </row>
    <row r="7" spans="1:37" x14ac:dyDescent="0.3">
      <c r="A7" s="85"/>
      <c r="B7" s="85"/>
      <c r="C7" s="85"/>
      <c r="D7" s="85"/>
      <c r="E7" s="85"/>
      <c r="F7" s="85"/>
      <c r="G7" s="85"/>
      <c r="H7" s="85"/>
      <c r="I7" s="85"/>
      <c r="J7" s="85"/>
      <c r="K7" s="85"/>
      <c r="L7" s="85"/>
      <c r="M7" s="85"/>
      <c r="N7" s="85"/>
      <c r="O7" s="85"/>
      <c r="P7" s="85"/>
      <c r="Q7" s="85"/>
      <c r="R7" s="85"/>
      <c r="S7" s="85"/>
      <c r="T7" s="85"/>
      <c r="U7" s="85"/>
      <c r="V7" s="85"/>
      <c r="W7" s="85"/>
      <c r="X7" s="85"/>
      <c r="Y7" s="85"/>
      <c r="Z7" s="85"/>
      <c r="AA7" s="85"/>
      <c r="AB7" s="85"/>
      <c r="AC7" s="85"/>
      <c r="AD7" s="85"/>
      <c r="AE7" s="85"/>
      <c r="AF7" s="85"/>
      <c r="AG7" s="85"/>
      <c r="AH7" s="85"/>
      <c r="AI7" s="85"/>
      <c r="AJ7" s="85"/>
      <c r="AK7" s="85"/>
    </row>
    <row r="8" spans="1:37" x14ac:dyDescent="0.3">
      <c r="A8" s="85"/>
      <c r="B8" s="85"/>
      <c r="C8" s="85"/>
      <c r="D8" s="85"/>
      <c r="E8" s="85"/>
      <c r="F8" s="85"/>
      <c r="G8" s="85"/>
      <c r="H8" s="85"/>
      <c r="I8" s="85"/>
      <c r="J8" s="85"/>
      <c r="K8" s="85"/>
      <c r="L8" s="85"/>
      <c r="M8" s="85"/>
      <c r="N8" s="85"/>
      <c r="O8" s="85"/>
      <c r="P8" s="85"/>
      <c r="Q8" s="85"/>
      <c r="R8" s="85"/>
      <c r="S8" s="85"/>
      <c r="T8" s="85"/>
      <c r="U8" s="85"/>
      <c r="V8" s="85"/>
      <c r="W8" s="85"/>
      <c r="X8" s="85"/>
      <c r="Y8" s="85"/>
      <c r="Z8" s="85"/>
      <c r="AA8" s="85"/>
      <c r="AB8" s="85"/>
      <c r="AC8" s="85"/>
      <c r="AD8" s="85"/>
      <c r="AE8" s="85"/>
      <c r="AF8" s="85"/>
      <c r="AG8" s="85"/>
      <c r="AH8" s="85"/>
      <c r="AI8" s="85"/>
      <c r="AJ8" s="85"/>
      <c r="AK8" s="85"/>
    </row>
    <row r="9" spans="1:37" x14ac:dyDescent="0.3">
      <c r="A9" s="85"/>
      <c r="B9" s="85"/>
      <c r="C9" s="85"/>
      <c r="D9" s="85"/>
      <c r="E9" s="85"/>
      <c r="F9" s="85"/>
      <c r="G9" s="85"/>
      <c r="H9" s="85"/>
      <c r="I9" s="85"/>
      <c r="J9" s="85"/>
      <c r="K9" s="85"/>
      <c r="L9" s="85"/>
      <c r="M9" s="85"/>
      <c r="N9" s="85"/>
      <c r="O9" s="85"/>
      <c r="P9" s="85"/>
      <c r="Q9" s="85"/>
      <c r="R9" s="85"/>
      <c r="S9" s="85"/>
      <c r="T9" s="85"/>
      <c r="U9" s="85"/>
      <c r="V9" s="85"/>
      <c r="W9" s="85"/>
      <c r="X9" s="85"/>
      <c r="Y9" s="85"/>
      <c r="Z9" s="85"/>
      <c r="AA9" s="85"/>
      <c r="AB9" s="85"/>
      <c r="AC9" s="85"/>
      <c r="AD9" s="85"/>
      <c r="AE9" s="85"/>
      <c r="AF9" s="85"/>
      <c r="AG9" s="85"/>
      <c r="AH9" s="85"/>
      <c r="AI9" s="85"/>
      <c r="AJ9" s="85"/>
      <c r="AK9" s="85"/>
    </row>
    <row r="10" spans="1:37" x14ac:dyDescent="0.3">
      <c r="A10" s="85"/>
      <c r="B10" s="85"/>
      <c r="C10" s="85"/>
      <c r="D10" s="85"/>
      <c r="E10" s="85"/>
      <c r="F10" s="85"/>
      <c r="G10" s="85"/>
      <c r="H10" s="85"/>
      <c r="I10" s="85"/>
      <c r="J10" s="85"/>
      <c r="K10" s="85"/>
      <c r="L10" s="85"/>
      <c r="M10" s="85"/>
      <c r="N10" s="85"/>
      <c r="O10" s="85"/>
      <c r="P10" s="85"/>
      <c r="Q10" s="85"/>
      <c r="R10" s="85"/>
      <c r="S10" s="85"/>
      <c r="T10" s="85"/>
      <c r="U10" s="85"/>
      <c r="V10" s="85"/>
      <c r="W10" s="85"/>
      <c r="X10" s="85"/>
      <c r="Y10" s="85"/>
      <c r="Z10" s="85"/>
      <c r="AA10" s="85"/>
      <c r="AB10" s="85"/>
      <c r="AC10" s="85"/>
      <c r="AD10" s="85"/>
      <c r="AE10" s="85"/>
      <c r="AF10" s="85"/>
      <c r="AG10" s="85"/>
      <c r="AH10" s="85"/>
      <c r="AI10" s="85"/>
      <c r="AJ10" s="85"/>
      <c r="AK10" s="85"/>
    </row>
    <row r="11" spans="1:37" x14ac:dyDescent="0.3">
      <c r="A11" s="85"/>
      <c r="B11" s="85"/>
      <c r="C11" s="85"/>
      <c r="D11" s="85"/>
      <c r="E11" s="85"/>
      <c r="F11" s="85"/>
      <c r="G11" s="85"/>
      <c r="H11" s="85"/>
      <c r="I11" s="85"/>
      <c r="J11" s="85"/>
      <c r="K11" s="85"/>
      <c r="L11" s="85"/>
      <c r="M11" s="85"/>
      <c r="N11" s="85"/>
      <c r="O11" s="85"/>
      <c r="P11" s="85"/>
      <c r="Q11" s="85"/>
      <c r="R11" s="85"/>
      <c r="S11" s="85"/>
      <c r="T11" s="85"/>
      <c r="U11" s="85"/>
      <c r="V11" s="85"/>
      <c r="W11" s="85"/>
      <c r="X11" s="85"/>
      <c r="Y11" s="85"/>
      <c r="Z11" s="85"/>
      <c r="AA11" s="85"/>
      <c r="AB11" s="85"/>
      <c r="AC11" s="85"/>
      <c r="AD11" s="85"/>
      <c r="AE11" s="85"/>
      <c r="AF11" s="85"/>
      <c r="AG11" s="85"/>
      <c r="AH11" s="85"/>
      <c r="AI11" s="85"/>
      <c r="AJ11" s="85"/>
      <c r="AK11" s="85"/>
    </row>
    <row r="12" spans="1:37" x14ac:dyDescent="0.3">
      <c r="A12" s="85"/>
      <c r="B12" s="85"/>
      <c r="C12" s="85"/>
      <c r="D12" s="85"/>
      <c r="E12" s="85"/>
      <c r="F12" s="85"/>
      <c r="G12" s="85"/>
      <c r="H12" s="85"/>
      <c r="I12" s="85"/>
      <c r="J12" s="85"/>
      <c r="K12" s="85"/>
      <c r="L12" s="85"/>
      <c r="M12" s="85"/>
      <c r="N12" s="85"/>
      <c r="O12" s="85"/>
      <c r="P12" s="85"/>
      <c r="Q12" s="85"/>
      <c r="R12" s="85"/>
      <c r="S12" s="85"/>
      <c r="T12" s="85"/>
      <c r="U12" s="85"/>
      <c r="V12" s="85"/>
      <c r="W12" s="85"/>
      <c r="X12" s="85"/>
      <c r="Y12" s="85"/>
      <c r="Z12" s="85"/>
      <c r="AA12" s="85"/>
      <c r="AB12" s="85"/>
      <c r="AC12" s="85"/>
      <c r="AD12" s="85"/>
      <c r="AE12" s="85"/>
      <c r="AF12" s="85"/>
      <c r="AG12" s="85"/>
      <c r="AH12" s="85"/>
      <c r="AI12" s="85"/>
      <c r="AJ12" s="85"/>
      <c r="AK12" s="85"/>
    </row>
    <row r="13" spans="1:37" x14ac:dyDescent="0.3">
      <c r="A13" s="85"/>
      <c r="B13" s="85"/>
      <c r="C13" s="85"/>
      <c r="D13" s="85"/>
      <c r="E13" s="85"/>
      <c r="F13" s="85"/>
      <c r="G13" s="85"/>
      <c r="H13" s="85"/>
      <c r="I13" s="85"/>
      <c r="J13" s="85"/>
      <c r="K13" s="85"/>
      <c r="L13" s="85"/>
      <c r="M13" s="85"/>
      <c r="N13" s="85"/>
      <c r="O13" s="85"/>
      <c r="P13" s="85"/>
      <c r="Q13" s="85"/>
      <c r="R13" s="85"/>
      <c r="S13" s="85"/>
      <c r="T13" s="85"/>
      <c r="U13" s="85"/>
      <c r="V13" s="85"/>
      <c r="W13" s="85"/>
      <c r="X13" s="85"/>
      <c r="Y13" s="85"/>
      <c r="Z13" s="85"/>
      <c r="AA13" s="85"/>
      <c r="AB13" s="85"/>
      <c r="AC13" s="85"/>
      <c r="AD13" s="85"/>
      <c r="AE13" s="85"/>
      <c r="AF13" s="85"/>
      <c r="AG13" s="85"/>
      <c r="AH13" s="85"/>
      <c r="AI13" s="85"/>
      <c r="AJ13" s="85"/>
      <c r="AK13" s="85"/>
    </row>
    <row r="14" spans="1:37" x14ac:dyDescent="0.3">
      <c r="A14" s="85"/>
      <c r="B14" s="85"/>
      <c r="C14" s="85"/>
      <c r="D14" s="85"/>
      <c r="E14" s="85"/>
      <c r="F14" s="85"/>
      <c r="G14" s="85"/>
      <c r="H14" s="85"/>
      <c r="I14" s="85"/>
      <c r="J14" s="85"/>
      <c r="K14" s="85"/>
      <c r="L14" s="85"/>
      <c r="M14" s="85"/>
      <c r="N14" s="85"/>
      <c r="O14" s="85"/>
      <c r="P14" s="85"/>
      <c r="Q14" s="85"/>
      <c r="R14" s="85"/>
      <c r="S14" s="85"/>
      <c r="T14" s="85"/>
      <c r="U14" s="85"/>
      <c r="V14" s="85"/>
      <c r="W14" s="85"/>
      <c r="X14" s="85"/>
      <c r="Y14" s="85"/>
      <c r="Z14" s="85"/>
      <c r="AA14" s="85"/>
      <c r="AB14" s="85"/>
      <c r="AC14" s="85"/>
      <c r="AD14" s="85"/>
      <c r="AE14" s="85"/>
      <c r="AF14" s="85"/>
      <c r="AG14" s="85"/>
      <c r="AH14" s="85"/>
      <c r="AI14" s="85"/>
      <c r="AJ14" s="85"/>
      <c r="AK14" s="85"/>
    </row>
    <row r="15" spans="1:37" x14ac:dyDescent="0.3">
      <c r="A15" s="85"/>
      <c r="B15" s="85"/>
      <c r="C15" s="85"/>
      <c r="D15" s="85"/>
      <c r="E15" s="85"/>
      <c r="F15" s="85"/>
      <c r="G15" s="85"/>
      <c r="H15" s="85"/>
      <c r="I15" s="85"/>
      <c r="J15" s="85"/>
      <c r="K15" s="85"/>
      <c r="L15" s="85"/>
      <c r="M15" s="85"/>
      <c r="N15" s="85"/>
      <c r="O15" s="85"/>
      <c r="P15" s="85"/>
      <c r="Q15" s="85"/>
      <c r="R15" s="85"/>
      <c r="S15" s="85"/>
      <c r="T15" s="85"/>
      <c r="U15" s="85"/>
      <c r="V15" s="85"/>
      <c r="W15" s="85"/>
      <c r="X15" s="85"/>
      <c r="Y15" s="85"/>
      <c r="Z15" s="85"/>
      <c r="AA15" s="85"/>
      <c r="AB15" s="85"/>
      <c r="AC15" s="85"/>
      <c r="AD15" s="85"/>
      <c r="AE15" s="85"/>
      <c r="AF15" s="85"/>
      <c r="AG15" s="85"/>
      <c r="AH15" s="85"/>
      <c r="AI15" s="85"/>
      <c r="AJ15" s="85"/>
      <c r="AK15" s="85"/>
    </row>
    <row r="16" spans="1:37" x14ac:dyDescent="0.3">
      <c r="A16" s="85"/>
      <c r="B16" s="85"/>
      <c r="C16" s="85"/>
      <c r="D16" s="85"/>
      <c r="E16" s="85"/>
      <c r="F16" s="85"/>
      <c r="G16" s="85"/>
      <c r="H16" s="85"/>
      <c r="I16" s="85"/>
      <c r="J16" s="85"/>
      <c r="K16" s="85"/>
      <c r="L16" s="85"/>
      <c r="M16" s="85"/>
      <c r="N16" s="85"/>
      <c r="O16" s="85"/>
      <c r="P16" s="85"/>
      <c r="Q16" s="85"/>
      <c r="R16" s="85"/>
      <c r="S16" s="85"/>
      <c r="T16" s="85"/>
      <c r="U16" s="85"/>
      <c r="V16" s="85"/>
      <c r="W16" s="85"/>
      <c r="X16" s="85"/>
      <c r="Y16" s="85"/>
      <c r="Z16" s="85"/>
      <c r="AA16" s="85"/>
      <c r="AB16" s="85"/>
      <c r="AC16" s="85"/>
      <c r="AD16" s="85"/>
      <c r="AE16" s="85"/>
      <c r="AF16" s="85"/>
      <c r="AG16" s="85"/>
      <c r="AH16" s="85"/>
      <c r="AI16" s="85"/>
      <c r="AJ16" s="85"/>
      <c r="AK16" s="85"/>
    </row>
    <row r="17" spans="1:37" x14ac:dyDescent="0.3">
      <c r="A17" s="85"/>
      <c r="B17" s="85"/>
      <c r="C17" s="85"/>
      <c r="D17" s="85"/>
      <c r="E17" s="85"/>
      <c r="F17" s="85"/>
      <c r="G17" s="85"/>
      <c r="H17" s="85"/>
      <c r="I17" s="85"/>
      <c r="J17" s="85"/>
      <c r="K17" s="85"/>
      <c r="L17" s="85"/>
      <c r="M17" s="85"/>
      <c r="N17" s="85"/>
      <c r="O17" s="85"/>
      <c r="P17" s="85"/>
      <c r="Q17" s="85"/>
      <c r="R17" s="85"/>
      <c r="S17" s="85"/>
      <c r="T17" s="85"/>
      <c r="U17" s="85"/>
      <c r="V17" s="85"/>
      <c r="W17" s="85"/>
      <c r="X17" s="85"/>
      <c r="Y17" s="85"/>
      <c r="Z17" s="85"/>
      <c r="AA17" s="85"/>
      <c r="AB17" s="85"/>
      <c r="AC17" s="85"/>
      <c r="AD17" s="85"/>
      <c r="AE17" s="85"/>
      <c r="AF17" s="85"/>
      <c r="AG17" s="85"/>
      <c r="AH17" s="85"/>
      <c r="AI17" s="85"/>
      <c r="AJ17" s="85"/>
      <c r="AK17" s="85"/>
    </row>
    <row r="18" spans="1:37" x14ac:dyDescent="0.3">
      <c r="A18" s="85"/>
      <c r="B18" s="85"/>
      <c r="C18" s="85"/>
      <c r="D18" s="85"/>
      <c r="E18" s="85"/>
      <c r="F18" s="85"/>
      <c r="G18" s="85"/>
      <c r="H18" s="85"/>
      <c r="I18" s="85"/>
      <c r="J18" s="85"/>
      <c r="K18" s="85"/>
      <c r="L18" s="85"/>
      <c r="M18" s="85"/>
      <c r="N18" s="85"/>
      <c r="O18" s="85"/>
      <c r="P18" s="85"/>
      <c r="Q18" s="85"/>
      <c r="R18" s="85"/>
      <c r="S18" s="85"/>
      <c r="T18" s="85"/>
      <c r="U18" s="85"/>
      <c r="V18" s="85"/>
      <c r="W18" s="85"/>
      <c r="X18" s="85"/>
      <c r="Y18" s="85"/>
      <c r="Z18" s="85"/>
      <c r="AA18" s="85"/>
      <c r="AB18" s="85"/>
      <c r="AC18" s="85"/>
      <c r="AD18" s="85"/>
      <c r="AE18" s="85"/>
      <c r="AF18" s="85"/>
      <c r="AG18" s="85"/>
      <c r="AH18" s="85"/>
      <c r="AI18" s="85"/>
      <c r="AJ18" s="85"/>
      <c r="AK18" s="85"/>
    </row>
    <row r="19" spans="1:37" x14ac:dyDescent="0.3">
      <c r="A19" s="85"/>
      <c r="B19" s="85"/>
      <c r="C19" s="85"/>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c r="AF19" s="85"/>
      <c r="AG19" s="85"/>
      <c r="AH19" s="85"/>
      <c r="AI19" s="85"/>
      <c r="AJ19" s="85"/>
      <c r="AK19" s="85"/>
    </row>
    <row r="20" spans="1:37" x14ac:dyDescent="0.3">
      <c r="A20" s="85"/>
      <c r="B20" s="85"/>
      <c r="C20" s="85"/>
      <c r="D20" s="85"/>
      <c r="E20" s="85"/>
      <c r="F20" s="85"/>
      <c r="G20" s="85"/>
      <c r="H20" s="85"/>
      <c r="I20" s="85"/>
      <c r="J20" s="85"/>
      <c r="K20" s="85"/>
      <c r="L20" s="85"/>
      <c r="M20" s="85"/>
      <c r="N20" s="85"/>
      <c r="O20" s="85"/>
      <c r="P20" s="85"/>
      <c r="Q20" s="85"/>
      <c r="R20" s="85"/>
      <c r="S20" s="85"/>
      <c r="T20" s="85"/>
      <c r="U20" s="85"/>
      <c r="V20" s="85"/>
      <c r="W20" s="85"/>
      <c r="X20" s="85"/>
      <c r="Y20" s="85"/>
      <c r="Z20" s="85"/>
      <c r="AA20" s="85"/>
      <c r="AB20" s="85"/>
      <c r="AC20" s="85"/>
      <c r="AD20" s="85"/>
      <c r="AE20" s="85"/>
      <c r="AF20" s="85"/>
      <c r="AG20" s="85"/>
      <c r="AH20" s="85"/>
      <c r="AI20" s="85"/>
      <c r="AJ20" s="85"/>
      <c r="AK20" s="85"/>
    </row>
    <row r="21" spans="1:37" x14ac:dyDescent="0.3">
      <c r="A21" s="85"/>
      <c r="B21" s="85"/>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c r="AF21" s="85"/>
      <c r="AG21" s="85"/>
      <c r="AH21" s="85"/>
      <c r="AI21" s="85"/>
      <c r="AJ21" s="85"/>
      <c r="AK21" s="85"/>
    </row>
    <row r="22" spans="1:37" x14ac:dyDescent="0.3">
      <c r="A22" s="85"/>
      <c r="B22" s="8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85"/>
      <c r="AG22" s="85"/>
      <c r="AH22" s="85"/>
      <c r="AI22" s="85"/>
      <c r="AJ22" s="85"/>
      <c r="AK22" s="85"/>
    </row>
    <row r="23" spans="1:37" x14ac:dyDescent="0.3">
      <c r="A23" s="85"/>
      <c r="B23" s="85"/>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85"/>
      <c r="AI23" s="85"/>
      <c r="AJ23" s="85"/>
      <c r="AK23" s="85"/>
    </row>
    <row r="24" spans="1:37" x14ac:dyDescent="0.3">
      <c r="A24" s="85"/>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85"/>
      <c r="AI24" s="85"/>
      <c r="AJ24" s="85"/>
      <c r="AK24" s="85"/>
    </row>
    <row r="25" spans="1:37" x14ac:dyDescent="0.3">
      <c r="A25" s="85"/>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85"/>
      <c r="AI25" s="85"/>
      <c r="AJ25" s="85"/>
      <c r="AK25" s="85"/>
    </row>
    <row r="26" spans="1:37" x14ac:dyDescent="0.3">
      <c r="A26" s="85"/>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85"/>
      <c r="AI26" s="85"/>
      <c r="AJ26" s="85"/>
      <c r="AK26" s="85"/>
    </row>
    <row r="27" spans="1:37" x14ac:dyDescent="0.3">
      <c r="A27" s="85"/>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c r="AF27" s="85"/>
      <c r="AG27" s="85"/>
      <c r="AH27" s="85"/>
      <c r="AI27" s="85"/>
      <c r="AJ27" s="85"/>
      <c r="AK27" s="85"/>
    </row>
    <row r="28" spans="1:37" x14ac:dyDescent="0.3">
      <c r="A28" s="85"/>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c r="AF28" s="85"/>
      <c r="AG28" s="85"/>
      <c r="AH28" s="85"/>
      <c r="AI28" s="85"/>
      <c r="AJ28" s="85"/>
      <c r="AK28" s="85"/>
    </row>
    <row r="29" spans="1:37" x14ac:dyDescent="0.3">
      <c r="A29" s="85"/>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c r="AF29" s="85"/>
      <c r="AG29" s="85"/>
      <c r="AH29" s="85"/>
      <c r="AI29" s="85"/>
      <c r="AJ29" s="85"/>
      <c r="AK29" s="85"/>
    </row>
    <row r="30" spans="1:37" x14ac:dyDescent="0.3">
      <c r="A30" s="85"/>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c r="AF30" s="85"/>
      <c r="AG30" s="85"/>
      <c r="AH30" s="85"/>
      <c r="AI30" s="85"/>
      <c r="AJ30" s="85"/>
      <c r="AK30" s="85"/>
    </row>
    <row r="31" spans="1:37" x14ac:dyDescent="0.3">
      <c r="A31" s="85"/>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row>
    <row r="32" spans="1:37" x14ac:dyDescent="0.3">
      <c r="A32" s="85"/>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c r="AF32" s="85"/>
      <c r="AG32" s="85"/>
      <c r="AH32" s="85"/>
      <c r="AI32" s="85"/>
      <c r="AJ32" s="85"/>
      <c r="AK32" s="85"/>
    </row>
    <row r="33" spans="1:37" x14ac:dyDescent="0.3">
      <c r="A33" s="85"/>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row>
    <row r="34" spans="1:37" x14ac:dyDescent="0.3">
      <c r="A34" s="85"/>
      <c r="B34" s="85"/>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c r="AF34" s="85"/>
      <c r="AG34" s="85"/>
      <c r="AH34" s="85"/>
      <c r="AI34" s="85"/>
      <c r="AJ34" s="85"/>
      <c r="AK34" s="85"/>
    </row>
    <row r="35" spans="1:37" x14ac:dyDescent="0.3">
      <c r="A35" s="85"/>
      <c r="B35" s="85"/>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c r="AF35" s="85"/>
      <c r="AG35" s="85"/>
      <c r="AH35" s="85"/>
      <c r="AI35" s="85"/>
      <c r="AJ35" s="85"/>
      <c r="AK35" s="85"/>
    </row>
    <row r="36" spans="1:37" x14ac:dyDescent="0.3">
      <c r="A36" s="85"/>
      <c r="B36" s="85"/>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c r="AF36" s="85"/>
      <c r="AG36" s="85"/>
      <c r="AH36" s="85"/>
      <c r="AI36" s="85"/>
      <c r="AJ36" s="85"/>
      <c r="AK36" s="85"/>
    </row>
    <row r="37" spans="1:37" x14ac:dyDescent="0.3">
      <c r="A37" s="85"/>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c r="AF37" s="85"/>
      <c r="AG37" s="85"/>
      <c r="AH37" s="85"/>
      <c r="AI37" s="85"/>
      <c r="AJ37" s="85"/>
      <c r="AK37" s="85"/>
    </row>
    <row r="38" spans="1:37" x14ac:dyDescent="0.3">
      <c r="A38" s="85"/>
      <c r="B38" s="85"/>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c r="AF38" s="85"/>
      <c r="AG38" s="85"/>
      <c r="AH38" s="85"/>
      <c r="AI38" s="85"/>
      <c r="AJ38" s="85"/>
      <c r="AK38" s="85"/>
    </row>
    <row r="39" spans="1:37" x14ac:dyDescent="0.3">
      <c r="A39" s="85"/>
      <c r="B39" s="85"/>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c r="AF39" s="85"/>
      <c r="AG39" s="85"/>
      <c r="AH39" s="85"/>
      <c r="AI39" s="85"/>
      <c r="AJ39" s="85"/>
      <c r="AK39" s="85"/>
    </row>
    <row r="40" spans="1:37" x14ac:dyDescent="0.3">
      <c r="A40" s="85"/>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row>
    <row r="41" spans="1:37" x14ac:dyDescent="0.3">
      <c r="A41" s="85"/>
      <c r="B41" s="85"/>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c r="AF41" s="85"/>
      <c r="AG41" s="85"/>
      <c r="AH41" s="85"/>
      <c r="AI41" s="85"/>
      <c r="AJ41" s="85"/>
      <c r="AK41" s="85"/>
    </row>
    <row r="42" spans="1:37" x14ac:dyDescent="0.3">
      <c r="A42" s="85"/>
      <c r="B42" s="8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85"/>
      <c r="AG42" s="85"/>
      <c r="AH42" s="85"/>
      <c r="AI42" s="85"/>
      <c r="AJ42" s="85"/>
      <c r="AK42" s="85"/>
    </row>
    <row r="43" spans="1:37" x14ac:dyDescent="0.3">
      <c r="A43" s="85"/>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c r="AF43" s="85"/>
      <c r="AG43" s="85"/>
      <c r="AH43" s="85"/>
      <c r="AI43" s="85"/>
      <c r="AJ43" s="85"/>
      <c r="AK43" s="85"/>
    </row>
    <row r="44" spans="1:37" x14ac:dyDescent="0.3">
      <c r="A44" s="85"/>
      <c r="B44" s="85"/>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c r="AF44" s="85"/>
      <c r="AG44" s="85"/>
      <c r="AH44" s="85"/>
      <c r="AI44" s="85"/>
      <c r="AJ44" s="85"/>
      <c r="AK44" s="85"/>
    </row>
    <row r="45" spans="1:37" x14ac:dyDescent="0.3">
      <c r="A45" s="85"/>
      <c r="B45" s="85"/>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c r="AF45" s="85"/>
      <c r="AG45" s="85"/>
      <c r="AH45" s="85"/>
      <c r="AI45" s="85"/>
      <c r="AJ45" s="85"/>
      <c r="AK45" s="85"/>
    </row>
    <row r="46" spans="1:37" x14ac:dyDescent="0.3">
      <c r="A46" s="85"/>
      <c r="B46" s="85"/>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c r="AF46" s="85"/>
      <c r="AG46" s="85"/>
      <c r="AH46" s="85"/>
      <c r="AI46" s="85"/>
      <c r="AJ46" s="85"/>
      <c r="AK46" s="85"/>
    </row>
    <row r="47" spans="1:37" x14ac:dyDescent="0.3">
      <c r="A47" s="85"/>
      <c r="B47" s="85"/>
      <c r="C47" s="85"/>
      <c r="D47" s="85"/>
      <c r="E47" s="85"/>
      <c r="F47" s="85"/>
      <c r="G47" s="85"/>
      <c r="H47" s="85"/>
      <c r="I47" s="85"/>
      <c r="J47" s="85"/>
      <c r="K47" s="85"/>
      <c r="L47" s="85"/>
      <c r="M47" s="85"/>
      <c r="N47" s="85"/>
      <c r="O47" s="85"/>
      <c r="P47" s="85"/>
      <c r="Q47" s="85"/>
      <c r="R47" s="85"/>
      <c r="S47" s="85"/>
      <c r="T47" s="85"/>
      <c r="U47" s="85"/>
      <c r="V47" s="85"/>
      <c r="W47" s="85"/>
      <c r="X47" s="85"/>
      <c r="Y47" s="85"/>
      <c r="Z47" s="85"/>
      <c r="AA47" s="85"/>
      <c r="AB47" s="85"/>
      <c r="AC47" s="85"/>
      <c r="AD47" s="85"/>
      <c r="AE47" s="85"/>
      <c r="AF47" s="85"/>
      <c r="AG47" s="85"/>
      <c r="AH47" s="85"/>
      <c r="AI47" s="85"/>
      <c r="AJ47" s="85"/>
      <c r="AK47" s="85"/>
    </row>
    <row r="48" spans="1:37" x14ac:dyDescent="0.3">
      <c r="A48" s="85"/>
      <c r="B48" s="85"/>
      <c r="C48" s="85"/>
      <c r="D48" s="85"/>
      <c r="E48" s="85"/>
      <c r="F48" s="85"/>
      <c r="G48" s="85"/>
      <c r="H48" s="85"/>
      <c r="I48" s="85"/>
      <c r="J48" s="85"/>
      <c r="K48" s="85"/>
      <c r="L48" s="85"/>
      <c r="M48" s="85"/>
      <c r="N48" s="85"/>
      <c r="O48" s="85"/>
      <c r="P48" s="85"/>
      <c r="Q48" s="85"/>
      <c r="R48" s="85"/>
      <c r="S48" s="85"/>
      <c r="T48" s="85"/>
      <c r="U48" s="85"/>
      <c r="V48" s="85"/>
      <c r="W48" s="85"/>
      <c r="X48" s="85"/>
      <c r="Y48" s="85"/>
      <c r="Z48" s="85"/>
      <c r="AA48" s="85"/>
      <c r="AB48" s="85"/>
      <c r="AC48" s="85"/>
      <c r="AD48" s="85"/>
      <c r="AE48" s="85"/>
      <c r="AF48" s="85"/>
      <c r="AG48" s="85"/>
      <c r="AH48" s="85"/>
      <c r="AI48" s="85"/>
      <c r="AJ48" s="85"/>
      <c r="AK48" s="85"/>
    </row>
    <row r="49" spans="1:37" x14ac:dyDescent="0.3">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c r="AA49" s="85"/>
      <c r="AB49" s="85"/>
      <c r="AC49" s="85"/>
      <c r="AD49" s="85"/>
      <c r="AE49" s="85"/>
      <c r="AF49" s="85"/>
      <c r="AG49" s="85"/>
      <c r="AH49" s="85"/>
      <c r="AI49" s="85"/>
      <c r="AJ49" s="85"/>
      <c r="AK49" s="85"/>
    </row>
    <row r="50" spans="1:37" x14ac:dyDescent="0.3">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85"/>
      <c r="AA50" s="85"/>
      <c r="AB50" s="85"/>
      <c r="AC50" s="85"/>
      <c r="AD50" s="85"/>
      <c r="AE50" s="85"/>
      <c r="AF50" s="85"/>
      <c r="AG50" s="85"/>
      <c r="AH50" s="85"/>
      <c r="AI50" s="85"/>
      <c r="AJ50" s="85"/>
      <c r="AK50" s="85"/>
    </row>
    <row r="51" spans="1:37" x14ac:dyDescent="0.3">
      <c r="A51" s="85"/>
      <c r="B51" s="85"/>
      <c r="C51" s="85"/>
      <c r="D51" s="85"/>
      <c r="E51" s="85"/>
      <c r="F51" s="85"/>
      <c r="G51" s="85"/>
      <c r="H51" s="85"/>
      <c r="I51" s="85"/>
      <c r="J51" s="85"/>
      <c r="K51" s="85"/>
      <c r="L51" s="85"/>
      <c r="M51" s="85"/>
      <c r="N51" s="85"/>
      <c r="O51" s="85"/>
      <c r="P51" s="85"/>
      <c r="Q51" s="85"/>
      <c r="R51" s="85"/>
      <c r="S51" s="85"/>
      <c r="T51" s="85"/>
      <c r="U51" s="85"/>
      <c r="V51" s="85"/>
      <c r="W51" s="85"/>
      <c r="X51" s="85"/>
      <c r="Y51" s="85"/>
      <c r="Z51" s="85"/>
      <c r="AA51" s="85"/>
      <c r="AB51" s="85"/>
      <c r="AC51" s="85"/>
      <c r="AD51" s="85"/>
      <c r="AE51" s="85"/>
      <c r="AF51" s="85"/>
      <c r="AG51" s="85"/>
      <c r="AH51" s="85"/>
      <c r="AI51" s="85"/>
      <c r="AJ51" s="85"/>
      <c r="AK51" s="85"/>
    </row>
    <row r="52" spans="1:37" x14ac:dyDescent="0.3">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85"/>
      <c r="AA52" s="85"/>
      <c r="AB52" s="85"/>
      <c r="AC52" s="85"/>
      <c r="AD52" s="85"/>
      <c r="AE52" s="85"/>
      <c r="AF52" s="85"/>
      <c r="AG52" s="85"/>
      <c r="AH52" s="85"/>
      <c r="AI52" s="85"/>
      <c r="AJ52" s="85"/>
      <c r="AK52" s="85"/>
    </row>
    <row r="53" spans="1:37" x14ac:dyDescent="0.3">
      <c r="A53" s="85"/>
      <c r="B53" s="85"/>
      <c r="C53" s="85"/>
      <c r="D53" s="85"/>
      <c r="E53" s="85"/>
      <c r="F53" s="85"/>
      <c r="G53" s="85"/>
      <c r="H53" s="85"/>
      <c r="I53" s="85"/>
      <c r="J53" s="85"/>
      <c r="K53" s="85"/>
      <c r="L53" s="85"/>
      <c r="M53" s="85"/>
      <c r="N53" s="85"/>
      <c r="O53" s="85"/>
      <c r="P53" s="85"/>
      <c r="Q53" s="85"/>
      <c r="R53" s="85"/>
      <c r="S53" s="85"/>
      <c r="T53" s="85"/>
      <c r="U53" s="85"/>
      <c r="V53" s="85"/>
      <c r="W53" s="85"/>
      <c r="X53" s="85"/>
      <c r="Y53" s="85"/>
      <c r="Z53" s="85"/>
      <c r="AA53" s="85"/>
      <c r="AB53" s="85"/>
      <c r="AC53" s="85"/>
      <c r="AD53" s="85"/>
      <c r="AE53" s="85"/>
      <c r="AF53" s="85"/>
      <c r="AG53" s="85"/>
      <c r="AH53" s="85"/>
      <c r="AI53" s="85"/>
      <c r="AJ53" s="85"/>
      <c r="AK53" s="85"/>
    </row>
    <row r="54" spans="1:37" x14ac:dyDescent="0.3">
      <c r="A54" s="85"/>
      <c r="B54" s="85"/>
      <c r="C54" s="85"/>
      <c r="D54" s="85"/>
      <c r="E54" s="85"/>
      <c r="F54" s="85"/>
      <c r="G54" s="85"/>
      <c r="H54" s="85"/>
      <c r="I54" s="85"/>
      <c r="J54" s="85"/>
      <c r="K54" s="85"/>
      <c r="L54" s="85"/>
      <c r="M54" s="85"/>
      <c r="N54" s="85"/>
      <c r="O54" s="85"/>
      <c r="P54" s="85"/>
      <c r="Q54" s="85"/>
      <c r="R54" s="85"/>
      <c r="S54" s="85"/>
      <c r="T54" s="85"/>
      <c r="U54" s="85"/>
      <c r="V54" s="85"/>
      <c r="W54" s="85"/>
      <c r="X54" s="85"/>
      <c r="Y54" s="85"/>
      <c r="Z54" s="85"/>
      <c r="AA54" s="85"/>
      <c r="AB54" s="85"/>
      <c r="AC54" s="85"/>
      <c r="AD54" s="85"/>
      <c r="AE54" s="85"/>
      <c r="AF54" s="85"/>
      <c r="AG54" s="85"/>
      <c r="AH54" s="85"/>
      <c r="AI54" s="85"/>
      <c r="AJ54" s="85"/>
      <c r="AK54" s="85"/>
    </row>
    <row r="55" spans="1:37" x14ac:dyDescent="0.3">
      <c r="A55" s="85"/>
      <c r="B55" s="85"/>
      <c r="C55" s="85"/>
      <c r="D55" s="85"/>
      <c r="E55" s="85"/>
      <c r="F55" s="85"/>
      <c r="G55" s="85"/>
      <c r="H55" s="85"/>
      <c r="I55" s="85"/>
      <c r="J55" s="85"/>
      <c r="K55" s="85"/>
      <c r="L55" s="85"/>
      <c r="M55" s="85"/>
      <c r="N55" s="85"/>
      <c r="O55" s="85"/>
      <c r="P55" s="85"/>
      <c r="Q55" s="85"/>
      <c r="R55" s="85"/>
      <c r="S55" s="85"/>
      <c r="T55" s="85"/>
      <c r="U55" s="85"/>
      <c r="V55" s="85"/>
      <c r="W55" s="85"/>
      <c r="X55" s="85"/>
      <c r="Y55" s="85"/>
      <c r="Z55" s="85"/>
      <c r="AA55" s="85"/>
      <c r="AB55" s="85"/>
      <c r="AC55" s="85"/>
      <c r="AD55" s="85"/>
      <c r="AE55" s="85"/>
      <c r="AF55" s="85"/>
      <c r="AG55" s="85"/>
      <c r="AH55" s="85"/>
      <c r="AI55" s="85"/>
      <c r="AJ55" s="85"/>
      <c r="AK55" s="85"/>
    </row>
    <row r="56" spans="1:37" x14ac:dyDescent="0.3">
      <c r="A56" s="85"/>
      <c r="B56" s="85"/>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row>
    <row r="57" spans="1:37" x14ac:dyDescent="0.3">
      <c r="A57" s="85"/>
      <c r="B57" s="85"/>
      <c r="C57" s="85"/>
      <c r="D57" s="85"/>
      <c r="E57" s="85"/>
      <c r="F57" s="85"/>
      <c r="G57" s="85"/>
      <c r="H57" s="85"/>
      <c r="I57" s="85"/>
      <c r="J57" s="85"/>
      <c r="K57" s="85"/>
      <c r="L57" s="85"/>
      <c r="M57" s="85"/>
      <c r="N57" s="85"/>
      <c r="O57" s="85"/>
      <c r="P57" s="85"/>
      <c r="Q57" s="85"/>
      <c r="R57" s="85"/>
      <c r="S57" s="85"/>
      <c r="T57" s="85"/>
      <c r="U57" s="85"/>
      <c r="V57" s="85"/>
      <c r="W57" s="85"/>
      <c r="X57" s="85"/>
      <c r="Y57" s="85"/>
      <c r="Z57" s="85"/>
      <c r="AA57" s="85"/>
      <c r="AB57" s="85"/>
      <c r="AC57" s="85"/>
      <c r="AD57" s="85"/>
      <c r="AE57" s="85"/>
      <c r="AF57" s="85"/>
      <c r="AG57" s="85"/>
      <c r="AH57" s="85"/>
      <c r="AI57" s="85"/>
      <c r="AJ57" s="85"/>
      <c r="AK57" s="85"/>
    </row>
    <row r="58" spans="1:37" x14ac:dyDescent="0.3">
      <c r="A58" s="85"/>
      <c r="B58" s="85"/>
      <c r="C58" s="85"/>
      <c r="D58" s="85"/>
      <c r="E58" s="85"/>
      <c r="F58" s="85"/>
      <c r="G58" s="85"/>
      <c r="H58" s="85"/>
      <c r="I58" s="85"/>
      <c r="J58" s="85"/>
      <c r="K58" s="85"/>
      <c r="L58" s="85"/>
      <c r="M58" s="85"/>
      <c r="N58" s="85"/>
      <c r="O58" s="85"/>
      <c r="P58" s="85"/>
      <c r="Q58" s="85"/>
      <c r="R58" s="85"/>
      <c r="S58" s="85"/>
      <c r="T58" s="85"/>
      <c r="U58" s="85"/>
      <c r="V58" s="85"/>
      <c r="W58" s="85"/>
      <c r="X58" s="85"/>
      <c r="Y58" s="85"/>
      <c r="Z58" s="85"/>
      <c r="AA58" s="85"/>
      <c r="AB58" s="85"/>
      <c r="AC58" s="85"/>
      <c r="AD58" s="85"/>
      <c r="AE58" s="85"/>
      <c r="AF58" s="85"/>
      <c r="AG58" s="85"/>
      <c r="AH58" s="85"/>
      <c r="AI58" s="85"/>
      <c r="AJ58" s="85"/>
      <c r="AK58" s="85"/>
    </row>
    <row r="59" spans="1:37" x14ac:dyDescent="0.3">
      <c r="A59" s="85"/>
      <c r="B59" s="85"/>
      <c r="C59" s="85"/>
      <c r="D59" s="85"/>
      <c r="E59" s="85"/>
      <c r="F59" s="85"/>
      <c r="G59" s="85"/>
      <c r="H59" s="85"/>
      <c r="I59" s="85"/>
      <c r="J59" s="85"/>
      <c r="K59" s="85"/>
      <c r="L59" s="85"/>
      <c r="M59" s="85"/>
      <c r="N59" s="85"/>
      <c r="O59" s="85"/>
      <c r="P59" s="85"/>
      <c r="Q59" s="85"/>
      <c r="R59" s="85"/>
      <c r="S59" s="85"/>
      <c r="T59" s="85"/>
      <c r="U59" s="85"/>
      <c r="V59" s="85"/>
      <c r="W59" s="85"/>
      <c r="X59" s="85"/>
      <c r="Y59" s="85"/>
      <c r="Z59" s="85"/>
      <c r="AA59" s="85"/>
      <c r="AB59" s="85"/>
      <c r="AC59" s="85"/>
      <c r="AD59" s="85"/>
      <c r="AE59" s="85"/>
      <c r="AF59" s="85"/>
      <c r="AG59" s="85"/>
      <c r="AH59" s="85"/>
      <c r="AI59" s="85"/>
      <c r="AJ59" s="85"/>
      <c r="AK59" s="85"/>
    </row>
    <row r="60" spans="1:37" x14ac:dyDescent="0.3">
      <c r="A60" s="85"/>
      <c r="B60" s="85"/>
      <c r="C60" s="85"/>
      <c r="D60" s="85"/>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c r="AF60" s="85"/>
      <c r="AG60" s="85"/>
      <c r="AH60" s="85"/>
      <c r="AI60" s="85"/>
      <c r="AJ60" s="85"/>
      <c r="AK60" s="85"/>
    </row>
    <row r="61" spans="1:37" x14ac:dyDescent="0.3">
      <c r="A61" s="85"/>
      <c r="B61" s="85"/>
      <c r="C61" s="85"/>
      <c r="D61" s="85"/>
      <c r="E61" s="85"/>
      <c r="F61" s="85"/>
      <c r="G61" s="85"/>
      <c r="H61" s="85"/>
      <c r="I61" s="85"/>
      <c r="J61" s="85"/>
      <c r="K61" s="85"/>
      <c r="L61" s="85"/>
      <c r="M61" s="85"/>
      <c r="N61" s="85"/>
      <c r="O61" s="85"/>
      <c r="P61" s="85"/>
      <c r="Q61" s="85"/>
      <c r="R61" s="85"/>
      <c r="S61" s="85"/>
      <c r="T61" s="85"/>
      <c r="U61" s="85"/>
      <c r="V61" s="85"/>
      <c r="W61" s="85"/>
      <c r="X61" s="85"/>
      <c r="Y61" s="85"/>
      <c r="Z61" s="85"/>
      <c r="AA61" s="85"/>
      <c r="AB61" s="85"/>
      <c r="AC61" s="85"/>
      <c r="AD61" s="85"/>
      <c r="AE61" s="85"/>
      <c r="AF61" s="85"/>
      <c r="AG61" s="85"/>
      <c r="AH61" s="85"/>
      <c r="AI61" s="85"/>
      <c r="AJ61" s="85"/>
      <c r="AK61" s="85"/>
    </row>
    <row r="62" spans="1:37" x14ac:dyDescent="0.3">
      <c r="A62" s="85"/>
      <c r="B62" s="85"/>
      <c r="C62" s="85"/>
      <c r="D62" s="85"/>
      <c r="E62" s="85"/>
      <c r="F62" s="85"/>
      <c r="G62" s="85"/>
      <c r="H62" s="85"/>
      <c r="I62" s="85"/>
      <c r="J62" s="85"/>
      <c r="K62" s="85"/>
      <c r="L62" s="85"/>
      <c r="M62" s="85"/>
      <c r="N62" s="85"/>
      <c r="O62" s="85"/>
      <c r="P62" s="85"/>
      <c r="Q62" s="85"/>
      <c r="R62" s="85"/>
      <c r="S62" s="85"/>
      <c r="T62" s="85"/>
      <c r="U62" s="85"/>
      <c r="V62" s="85"/>
      <c r="W62" s="85"/>
      <c r="X62" s="85"/>
      <c r="Y62" s="85"/>
      <c r="Z62" s="85"/>
      <c r="AA62" s="85"/>
      <c r="AB62" s="85"/>
      <c r="AC62" s="85"/>
      <c r="AD62" s="85"/>
      <c r="AE62" s="85"/>
      <c r="AF62" s="85"/>
      <c r="AG62" s="85"/>
      <c r="AH62" s="85"/>
      <c r="AI62" s="85"/>
      <c r="AJ62" s="85"/>
      <c r="AK62" s="85"/>
    </row>
    <row r="63" spans="1:37" x14ac:dyDescent="0.3">
      <c r="A63" s="85"/>
      <c r="B63" s="85"/>
      <c r="C63" s="85"/>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5"/>
      <c r="AJ63" s="85"/>
      <c r="AK63" s="85"/>
    </row>
    <row r="64" spans="1:37" x14ac:dyDescent="0.3">
      <c r="A64" s="85"/>
      <c r="B64" s="85"/>
      <c r="C64" s="85"/>
      <c r="D64" s="85"/>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5"/>
      <c r="AJ64" s="85"/>
      <c r="AK64" s="85"/>
    </row>
    <row r="65" spans="1:37" x14ac:dyDescent="0.3">
      <c r="A65" s="85"/>
      <c r="B65" s="85"/>
      <c r="C65" s="85"/>
      <c r="D65" s="85"/>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5"/>
      <c r="AJ65" s="85"/>
      <c r="AK65" s="85"/>
    </row>
    <row r="66" spans="1:37" x14ac:dyDescent="0.3">
      <c r="A66" s="85"/>
      <c r="B66" s="85"/>
      <c r="C66" s="85"/>
      <c r="D66" s="85"/>
      <c r="E66" s="85"/>
      <c r="F66" s="85"/>
      <c r="G66" s="85"/>
      <c r="H66" s="85"/>
      <c r="I66" s="85"/>
      <c r="J66" s="85"/>
      <c r="K66" s="85"/>
      <c r="L66" s="85"/>
      <c r="M66" s="85"/>
      <c r="N66" s="85"/>
      <c r="O66" s="85"/>
      <c r="P66" s="85"/>
      <c r="Q66" s="85"/>
      <c r="R66" s="85"/>
      <c r="S66" s="85"/>
      <c r="T66" s="85"/>
      <c r="U66" s="85"/>
      <c r="V66" s="85"/>
      <c r="W66" s="85"/>
      <c r="X66" s="85"/>
      <c r="Y66" s="85"/>
      <c r="Z66" s="85"/>
      <c r="AA66" s="85"/>
      <c r="AB66" s="85"/>
      <c r="AC66" s="85"/>
      <c r="AD66" s="85"/>
      <c r="AE66" s="85"/>
      <c r="AF66" s="85"/>
      <c r="AG66" s="85"/>
      <c r="AH66" s="85"/>
      <c r="AI66" s="85"/>
      <c r="AJ66" s="85"/>
      <c r="AK66" s="85"/>
    </row>
    <row r="67" spans="1:37" x14ac:dyDescent="0.3">
      <c r="A67" s="85"/>
      <c r="B67" s="85"/>
      <c r="C67" s="85"/>
      <c r="D67" s="85"/>
      <c r="E67" s="85"/>
      <c r="F67" s="85"/>
      <c r="G67" s="85"/>
      <c r="H67" s="85"/>
      <c r="I67" s="85"/>
      <c r="J67" s="85"/>
      <c r="K67" s="85"/>
      <c r="L67" s="85"/>
      <c r="M67" s="85"/>
      <c r="N67" s="85"/>
      <c r="O67" s="85"/>
      <c r="P67" s="85"/>
      <c r="Q67" s="85"/>
      <c r="R67" s="85"/>
      <c r="S67" s="85"/>
      <c r="T67" s="85"/>
      <c r="U67" s="85"/>
      <c r="V67" s="85"/>
      <c r="W67" s="85"/>
      <c r="X67" s="85"/>
      <c r="Y67" s="85"/>
      <c r="Z67" s="85"/>
      <c r="AA67" s="85"/>
      <c r="AB67" s="85"/>
      <c r="AC67" s="85"/>
      <c r="AD67" s="85"/>
      <c r="AE67" s="85"/>
      <c r="AF67" s="85"/>
      <c r="AG67" s="85"/>
      <c r="AH67" s="85"/>
      <c r="AI67" s="85"/>
      <c r="AJ67" s="85"/>
      <c r="AK67" s="85"/>
    </row>
    <row r="68" spans="1:37" x14ac:dyDescent="0.3">
      <c r="A68" s="85"/>
      <c r="B68" s="85"/>
      <c r="C68" s="85"/>
      <c r="D68" s="85"/>
      <c r="E68" s="85"/>
      <c r="F68" s="85"/>
      <c r="G68" s="85"/>
      <c r="H68" s="85"/>
      <c r="I68" s="85"/>
      <c r="J68" s="85"/>
      <c r="K68" s="85"/>
      <c r="L68" s="85"/>
      <c r="M68" s="85"/>
      <c r="N68" s="85"/>
      <c r="O68" s="85"/>
      <c r="P68" s="85"/>
      <c r="Q68" s="85"/>
      <c r="R68" s="85"/>
      <c r="S68" s="85"/>
      <c r="T68" s="85"/>
      <c r="U68" s="85"/>
      <c r="V68" s="85"/>
      <c r="W68" s="85"/>
      <c r="X68" s="85"/>
      <c r="Y68" s="85"/>
      <c r="Z68" s="85"/>
      <c r="AA68" s="85"/>
      <c r="AB68" s="85"/>
      <c r="AC68" s="85"/>
      <c r="AD68" s="85"/>
      <c r="AE68" s="85"/>
      <c r="AF68" s="85"/>
      <c r="AG68" s="85"/>
      <c r="AH68" s="85"/>
      <c r="AI68" s="85"/>
      <c r="AJ68" s="85"/>
      <c r="AK68" s="85"/>
    </row>
    <row r="69" spans="1:37" x14ac:dyDescent="0.3">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c r="AA69" s="85"/>
      <c r="AB69" s="85"/>
      <c r="AC69" s="85"/>
      <c r="AD69" s="85"/>
      <c r="AE69" s="85"/>
      <c r="AF69" s="85"/>
      <c r="AG69" s="85"/>
      <c r="AH69" s="85"/>
      <c r="AI69" s="85"/>
      <c r="AJ69" s="85"/>
      <c r="AK69" s="85"/>
    </row>
    <row r="70" spans="1:37" x14ac:dyDescent="0.3">
      <c r="A70" s="85"/>
      <c r="B70" s="85"/>
      <c r="C70" s="85"/>
      <c r="D70" s="85"/>
      <c r="E70" s="85"/>
      <c r="F70" s="85"/>
      <c r="G70" s="85"/>
      <c r="H70" s="85"/>
      <c r="I70" s="85"/>
      <c r="J70" s="85"/>
      <c r="K70" s="85"/>
      <c r="L70" s="85"/>
      <c r="M70" s="85"/>
      <c r="N70" s="85"/>
      <c r="O70" s="85"/>
      <c r="P70" s="85"/>
      <c r="Q70" s="85"/>
      <c r="R70" s="85"/>
      <c r="S70" s="85"/>
      <c r="T70" s="85"/>
      <c r="U70" s="85"/>
      <c r="V70" s="85"/>
      <c r="W70" s="85"/>
      <c r="X70" s="85"/>
      <c r="Y70" s="85"/>
      <c r="Z70" s="85"/>
      <c r="AA70" s="85"/>
      <c r="AB70" s="85"/>
      <c r="AC70" s="85"/>
      <c r="AD70" s="85"/>
      <c r="AE70" s="85"/>
      <c r="AF70" s="85"/>
      <c r="AG70" s="85"/>
      <c r="AH70" s="85"/>
      <c r="AI70" s="85"/>
      <c r="AJ70" s="85"/>
      <c r="AK70" s="85"/>
    </row>
    <row r="71" spans="1:37" x14ac:dyDescent="0.3">
      <c r="A71" s="85"/>
      <c r="B71" s="85"/>
      <c r="C71" s="85"/>
      <c r="D71" s="85"/>
      <c r="E71" s="85"/>
      <c r="F71" s="85"/>
      <c r="G71" s="85"/>
      <c r="H71" s="85"/>
      <c r="I71" s="85"/>
      <c r="J71" s="85"/>
      <c r="K71" s="85"/>
      <c r="L71" s="85"/>
      <c r="M71" s="85"/>
      <c r="N71" s="85"/>
      <c r="O71" s="85"/>
      <c r="P71" s="85"/>
      <c r="Q71" s="85"/>
      <c r="R71" s="85"/>
      <c r="S71" s="85"/>
      <c r="T71" s="85"/>
      <c r="U71" s="85"/>
      <c r="V71" s="85"/>
      <c r="W71" s="85"/>
      <c r="X71" s="85"/>
      <c r="Y71" s="85"/>
      <c r="Z71" s="85"/>
      <c r="AA71" s="85"/>
      <c r="AB71" s="85"/>
      <c r="AC71" s="85"/>
      <c r="AD71" s="85"/>
      <c r="AE71" s="85"/>
      <c r="AF71" s="85"/>
      <c r="AG71" s="85"/>
      <c r="AH71" s="85"/>
      <c r="AI71" s="85"/>
      <c r="AJ71" s="85"/>
      <c r="AK71" s="85"/>
    </row>
    <row r="72" spans="1:37" x14ac:dyDescent="0.3">
      <c r="A72" s="85"/>
      <c r="B72" s="85"/>
      <c r="C72" s="85"/>
      <c r="D72" s="85"/>
      <c r="E72" s="85"/>
      <c r="F72" s="85"/>
      <c r="G72" s="85"/>
      <c r="H72" s="85"/>
      <c r="I72" s="85"/>
      <c r="J72" s="85"/>
      <c r="K72" s="85"/>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row>
    <row r="73" spans="1:37" x14ac:dyDescent="0.3">
      <c r="A73" s="85"/>
      <c r="B73" s="85"/>
      <c r="C73" s="85"/>
      <c r="D73" s="85"/>
      <c r="E73" s="85"/>
      <c r="F73" s="85"/>
      <c r="G73" s="85"/>
      <c r="H73" s="85"/>
      <c r="I73" s="85"/>
      <c r="J73" s="85"/>
      <c r="K73" s="85"/>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row>
    <row r="74" spans="1:37" x14ac:dyDescent="0.3">
      <c r="A74" s="85"/>
      <c r="B74" s="85"/>
      <c r="C74" s="85"/>
      <c r="D74" s="85"/>
      <c r="E74" s="85"/>
      <c r="F74" s="85"/>
      <c r="G74" s="85"/>
      <c r="H74" s="85"/>
      <c r="I74" s="85"/>
      <c r="J74" s="85"/>
      <c r="K74" s="85"/>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row>
    <row r="75" spans="1:37" x14ac:dyDescent="0.3">
      <c r="A75" s="85"/>
      <c r="B75" s="85"/>
      <c r="C75" s="85"/>
      <c r="D75" s="85"/>
      <c r="E75" s="85"/>
      <c r="F75" s="85"/>
      <c r="G75" s="85"/>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row>
    <row r="76" spans="1:37" x14ac:dyDescent="0.3">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row>
    <row r="77" spans="1:37" x14ac:dyDescent="0.3">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row>
    <row r="78" spans="1:37" x14ac:dyDescent="0.3">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row>
    <row r="79" spans="1:37" x14ac:dyDescent="0.3">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3A4CF648-6AED-40f4-86FF-DC5316D8AED3}">
      <x14:slicerList xmlns:x14="http://schemas.microsoft.com/office/spreadsheetml/2009/9/main">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0">
    <tabColor rgb="FFFFC000"/>
  </sheetPr>
  <dimension ref="A1:L2"/>
  <sheetViews>
    <sheetView workbookViewId="0">
      <selection activeCell="H12" sqref="H12"/>
    </sheetView>
  </sheetViews>
  <sheetFormatPr baseColWidth="10" defaultColWidth="11.44140625" defaultRowHeight="14.4" x14ac:dyDescent="0.3"/>
  <cols>
    <col min="1" max="1" width="15.5546875" style="15" bestFit="1" customWidth="1"/>
    <col min="2" max="2" width="13.33203125" style="15" bestFit="1" customWidth="1"/>
    <col min="3" max="3" width="25.6640625" style="18" customWidth="1"/>
    <col min="4" max="4" width="15.6640625" style="18" customWidth="1"/>
    <col min="5" max="5" width="22.6640625" style="15" customWidth="1"/>
    <col min="6" max="6" width="17.6640625" style="28" customWidth="1"/>
    <col min="7" max="7" width="12.6640625" style="18" customWidth="1"/>
    <col min="8" max="9" width="25.6640625" style="18" customWidth="1"/>
    <col min="10" max="10" width="19" style="15" bestFit="1" customWidth="1"/>
    <col min="11" max="11" width="14" style="18" bestFit="1" customWidth="1"/>
    <col min="12" max="12" width="11.5546875" style="15" customWidth="1"/>
  </cols>
  <sheetData>
    <row r="1" spans="1:12" x14ac:dyDescent="0.3">
      <c r="A1" s="16" t="s">
        <v>224</v>
      </c>
      <c r="B1" s="16" t="s">
        <v>100</v>
      </c>
      <c r="C1" s="16" t="s">
        <v>2</v>
      </c>
      <c r="D1" s="16" t="s">
        <v>1</v>
      </c>
      <c r="E1" s="16" t="s">
        <v>225</v>
      </c>
      <c r="F1" s="16" t="s">
        <v>101</v>
      </c>
      <c r="G1" s="16" t="s">
        <v>116</v>
      </c>
      <c r="H1" s="16" t="s">
        <v>118</v>
      </c>
      <c r="I1" s="16" t="s">
        <v>226</v>
      </c>
      <c r="J1" s="16" t="s">
        <v>26</v>
      </c>
      <c r="K1" s="16" t="s">
        <v>227</v>
      </c>
      <c r="L1" s="19" t="s">
        <v>228</v>
      </c>
    </row>
    <row r="2" spans="1:12" ht="28.95" customHeight="1" x14ac:dyDescent="0.3">
      <c r="A2" s="13" t="str">
        <f>IF(B2&lt;&gt;"", "SEG-" &amp; TEXT(8000 + ROW(A2) - 1, "0000"), "")</f>
        <v/>
      </c>
      <c r="B2" s="13"/>
      <c r="C2" s="17"/>
      <c r="D2" s="17"/>
      <c r="E2" s="13"/>
      <c r="F2" s="20"/>
      <c r="G2" s="17"/>
      <c r="H2" s="17"/>
      <c r="I2" s="17"/>
      <c r="J2" s="13"/>
      <c r="K2" s="17"/>
      <c r="L2" s="14"/>
    </row>
  </sheetData>
  <dataValidations count="1">
    <dataValidation type="list" allowBlank="1" showInputMessage="1" showErrorMessage="1" sqref="G2" xr:uid="{00000000-0002-0000-0300-000000000000}">
      <formula1>"SI,NO"</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tabColor rgb="FFFFC000"/>
  </sheetPr>
  <dimension ref="A1:J2"/>
  <sheetViews>
    <sheetView zoomScale="90" zoomScaleNormal="90" workbookViewId="0">
      <pane ySplit="1" topLeftCell="A2" activePane="bottomLeft" state="frozen"/>
      <selection activeCell="E2" sqref="E2"/>
      <selection pane="bottomLeft" activeCell="G11" sqref="G11"/>
    </sheetView>
  </sheetViews>
  <sheetFormatPr baseColWidth="10" defaultColWidth="8.88671875" defaultRowHeight="14.4" x14ac:dyDescent="0.3"/>
  <cols>
    <col min="1" max="1" width="19" style="2" bestFit="1" customWidth="1"/>
    <col min="2" max="2" width="25.6640625" style="2" customWidth="1"/>
    <col min="3" max="3" width="15.6640625" style="2" customWidth="1"/>
    <col min="4" max="4" width="20.6640625" style="3" customWidth="1"/>
    <col min="5" max="5" width="17.6640625" style="3" customWidth="1"/>
    <col min="6" max="6" width="22.6640625" style="3" hidden="1" customWidth="1"/>
    <col min="7" max="7" width="17.109375" style="21" bestFit="1" customWidth="1"/>
    <col min="8" max="8" width="11.109375" style="21" bestFit="1" customWidth="1"/>
    <col min="9" max="9" width="15.6640625" customWidth="1"/>
    <col min="10" max="10" width="10.6640625" customWidth="1"/>
  </cols>
  <sheetData>
    <row r="1" spans="1:10" ht="30" customHeight="1" x14ac:dyDescent="0.3">
      <c r="A1" s="8" t="s">
        <v>229</v>
      </c>
      <c r="B1" s="8" t="s">
        <v>2</v>
      </c>
      <c r="C1" s="8" t="s">
        <v>1</v>
      </c>
      <c r="D1" s="10" t="s">
        <v>230</v>
      </c>
      <c r="E1" s="33" t="s">
        <v>101</v>
      </c>
      <c r="F1" s="45" t="s">
        <v>231</v>
      </c>
      <c r="G1" s="44" t="s">
        <v>232</v>
      </c>
      <c r="H1" s="10" t="s">
        <v>233</v>
      </c>
      <c r="I1" s="50" t="s">
        <v>234</v>
      </c>
      <c r="J1" s="50" t="s">
        <v>235</v>
      </c>
    </row>
    <row r="2" spans="1:10" x14ac:dyDescent="0.3">
      <c r="A2" s="11" t="str">
        <f>IF(B2&lt;&gt;"", "PRG-" &amp; TEXT(2000 + ROW(A2) - 1, "0000"), "")</f>
        <v/>
      </c>
      <c r="B2" s="7"/>
      <c r="C2" s="11"/>
      <c r="D2" s="7"/>
      <c r="E2" s="97"/>
      <c r="F2" s="46"/>
      <c r="G2" s="47"/>
      <c r="H2" s="7"/>
      <c r="I2" s="7"/>
      <c r="J2" s="7"/>
    </row>
  </sheetData>
  <dataValidations count="2">
    <dataValidation type="list" allowBlank="1" showInputMessage="1" showErrorMessage="1" sqref="D2" xr:uid="{00000000-0002-0000-0700-000000000000}">
      <formula1>"Vigilancia,Seguimiento"</formula1>
    </dataValidation>
    <dataValidation type="list" allowBlank="1" showInputMessage="1" showErrorMessage="1" sqref="H2" xr:uid="{00000000-0002-0000-0700-000001000000}">
      <formula1>"Realizado, Cancelado, Postergado, Pendiente"</formula1>
    </dataValidation>
  </dataValidations>
  <pageMargins left="0.75" right="0.75" top="1" bottom="1" header="0.5" footer="0.5"/>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32365-94FF-4B01-AFB4-172E8D0F542B}">
  <sheetPr codeName="Hoja3">
    <tabColor rgb="FF92D050"/>
  </sheetPr>
  <dimension ref="A1:G118"/>
  <sheetViews>
    <sheetView workbookViewId="0">
      <selection activeCell="H10" sqref="H10"/>
    </sheetView>
  </sheetViews>
  <sheetFormatPr baseColWidth="10" defaultColWidth="11.44140625" defaultRowHeight="14.4" x14ac:dyDescent="0.3"/>
  <cols>
    <col min="1" max="1" width="15.6640625" customWidth="1"/>
    <col min="2" max="2" width="30.6640625" customWidth="1"/>
    <col min="3" max="5" width="15.6640625" customWidth="1"/>
    <col min="6" max="7" width="15.6640625" style="83" customWidth="1"/>
  </cols>
  <sheetData>
    <row r="1" spans="1:7" ht="19.95" customHeight="1" x14ac:dyDescent="0.3">
      <c r="A1" s="81" t="s">
        <v>1</v>
      </c>
      <c r="B1" s="81" t="s">
        <v>2</v>
      </c>
      <c r="C1" s="82" t="s">
        <v>4</v>
      </c>
      <c r="D1" s="81" t="s">
        <v>5</v>
      </c>
      <c r="E1" s="81" t="s">
        <v>6</v>
      </c>
      <c r="F1" s="84" t="s">
        <v>11</v>
      </c>
      <c r="G1" s="84" t="s">
        <v>236</v>
      </c>
    </row>
    <row r="2" spans="1:7" x14ac:dyDescent="0.3">
      <c r="A2" s="11">
        <v>74046340</v>
      </c>
      <c r="B2" s="11" t="s">
        <v>314</v>
      </c>
      <c r="C2" s="11">
        <v>40</v>
      </c>
      <c r="D2" s="11" t="s">
        <v>32</v>
      </c>
      <c r="E2" s="11" t="s">
        <v>512</v>
      </c>
      <c r="F2" s="97">
        <v>45222</v>
      </c>
      <c r="G2" s="97"/>
    </row>
    <row r="3" spans="1:7" x14ac:dyDescent="0.3">
      <c r="A3">
        <v>74842142</v>
      </c>
      <c r="B3" t="s">
        <v>315</v>
      </c>
      <c r="C3">
        <v>34</v>
      </c>
      <c r="D3" t="s">
        <v>32</v>
      </c>
      <c r="E3" t="s">
        <v>512</v>
      </c>
      <c r="F3" s="83">
        <v>45950</v>
      </c>
    </row>
    <row r="4" spans="1:7" x14ac:dyDescent="0.3">
      <c r="A4">
        <v>43493102</v>
      </c>
      <c r="B4" t="s">
        <v>316</v>
      </c>
      <c r="C4">
        <v>50</v>
      </c>
      <c r="D4" t="s">
        <v>32</v>
      </c>
      <c r="E4" t="s">
        <v>512</v>
      </c>
      <c r="F4" s="83">
        <v>43831</v>
      </c>
    </row>
    <row r="5" spans="1:7" x14ac:dyDescent="0.3">
      <c r="A5">
        <v>73190928</v>
      </c>
      <c r="B5" t="s">
        <v>317</v>
      </c>
      <c r="C5">
        <v>43</v>
      </c>
      <c r="D5" t="s">
        <v>32</v>
      </c>
      <c r="E5" t="s">
        <v>512</v>
      </c>
      <c r="F5" s="83">
        <v>45950</v>
      </c>
    </row>
    <row r="6" spans="1:7" x14ac:dyDescent="0.3">
      <c r="A6">
        <v>7658651</v>
      </c>
      <c r="B6" t="s">
        <v>318</v>
      </c>
      <c r="C6">
        <v>27</v>
      </c>
      <c r="D6" t="s">
        <v>32</v>
      </c>
      <c r="E6" t="s">
        <v>512</v>
      </c>
      <c r="F6" s="83">
        <v>45809</v>
      </c>
    </row>
    <row r="7" spans="1:7" x14ac:dyDescent="0.3">
      <c r="A7">
        <v>72529893</v>
      </c>
      <c r="B7" t="s">
        <v>319</v>
      </c>
      <c r="C7">
        <v>20</v>
      </c>
      <c r="D7" t="s">
        <v>32</v>
      </c>
      <c r="E7" t="s">
        <v>512</v>
      </c>
      <c r="F7" s="83">
        <v>46055</v>
      </c>
    </row>
    <row r="8" spans="1:7" x14ac:dyDescent="0.3">
      <c r="A8">
        <v>10664050</v>
      </c>
      <c r="B8" t="s">
        <v>320</v>
      </c>
      <c r="C8">
        <v>45</v>
      </c>
      <c r="D8" t="s">
        <v>32</v>
      </c>
      <c r="E8" t="s">
        <v>512</v>
      </c>
      <c r="F8" s="83">
        <v>45873</v>
      </c>
    </row>
    <row r="9" spans="1:7" x14ac:dyDescent="0.3">
      <c r="A9">
        <v>71427351</v>
      </c>
      <c r="B9" t="s">
        <v>321</v>
      </c>
      <c r="C9">
        <v>29</v>
      </c>
      <c r="D9" t="s">
        <v>32</v>
      </c>
      <c r="E9" t="s">
        <v>512</v>
      </c>
      <c r="F9" s="83">
        <v>45231</v>
      </c>
    </row>
    <row r="10" spans="1:7" x14ac:dyDescent="0.3">
      <c r="A10">
        <v>71878076</v>
      </c>
      <c r="B10" t="s">
        <v>322</v>
      </c>
      <c r="C10">
        <v>30</v>
      </c>
      <c r="D10" t="s">
        <v>32</v>
      </c>
      <c r="E10" t="s">
        <v>512</v>
      </c>
      <c r="F10" s="83">
        <v>43873</v>
      </c>
    </row>
    <row r="11" spans="1:7" x14ac:dyDescent="0.3">
      <c r="A11">
        <v>45503329</v>
      </c>
      <c r="B11" t="s">
        <v>323</v>
      </c>
      <c r="C11">
        <v>34</v>
      </c>
      <c r="D11" t="s">
        <v>32</v>
      </c>
      <c r="E11" t="s">
        <v>512</v>
      </c>
      <c r="F11" s="83">
        <v>45369</v>
      </c>
    </row>
    <row r="12" spans="1:7" x14ac:dyDescent="0.3">
      <c r="A12">
        <v>20901410</v>
      </c>
      <c r="B12" t="s">
        <v>575</v>
      </c>
      <c r="C12">
        <v>34</v>
      </c>
      <c r="D12" t="s">
        <v>32</v>
      </c>
      <c r="E12" t="s">
        <v>512</v>
      </c>
      <c r="F12" s="83">
        <v>45810</v>
      </c>
    </row>
    <row r="13" spans="1:7" x14ac:dyDescent="0.3">
      <c r="A13">
        <v>45977070</v>
      </c>
      <c r="B13" t="s">
        <v>324</v>
      </c>
      <c r="C13">
        <v>44</v>
      </c>
      <c r="D13" t="s">
        <v>32</v>
      </c>
      <c r="E13" t="s">
        <v>512</v>
      </c>
      <c r="F13" s="83">
        <v>44284</v>
      </c>
    </row>
    <row r="14" spans="1:7" x14ac:dyDescent="0.3">
      <c r="A14">
        <v>6794299</v>
      </c>
      <c r="B14" t="s">
        <v>325</v>
      </c>
      <c r="C14">
        <v>21</v>
      </c>
      <c r="D14" t="s">
        <v>32</v>
      </c>
      <c r="E14" t="s">
        <v>512</v>
      </c>
      <c r="F14" s="83">
        <v>43831</v>
      </c>
    </row>
    <row r="15" spans="1:7" x14ac:dyDescent="0.3">
      <c r="A15">
        <v>74880419</v>
      </c>
      <c r="B15" t="s">
        <v>326</v>
      </c>
      <c r="C15">
        <v>30</v>
      </c>
      <c r="D15" t="s">
        <v>32</v>
      </c>
      <c r="E15" t="s">
        <v>512</v>
      </c>
      <c r="F15" s="83">
        <v>44494</v>
      </c>
    </row>
    <row r="16" spans="1:7" x14ac:dyDescent="0.3">
      <c r="A16">
        <v>42010010</v>
      </c>
      <c r="B16" t="s">
        <v>327</v>
      </c>
      <c r="C16">
        <v>37</v>
      </c>
      <c r="D16" t="s">
        <v>32</v>
      </c>
      <c r="E16" t="s">
        <v>512</v>
      </c>
      <c r="F16" s="83">
        <v>45586</v>
      </c>
    </row>
    <row r="17" spans="1:6" x14ac:dyDescent="0.3">
      <c r="A17">
        <v>41284268</v>
      </c>
      <c r="B17" t="s">
        <v>576</v>
      </c>
      <c r="C17">
        <v>31</v>
      </c>
      <c r="D17" t="s">
        <v>32</v>
      </c>
      <c r="E17" t="s">
        <v>512</v>
      </c>
      <c r="F17" s="83">
        <v>43831</v>
      </c>
    </row>
    <row r="18" spans="1:6" x14ac:dyDescent="0.3">
      <c r="A18">
        <v>9545053</v>
      </c>
      <c r="B18" t="s">
        <v>577</v>
      </c>
      <c r="C18">
        <v>57</v>
      </c>
      <c r="D18" t="s">
        <v>32</v>
      </c>
      <c r="E18" t="s">
        <v>512</v>
      </c>
      <c r="F18" s="83">
        <v>45992</v>
      </c>
    </row>
    <row r="19" spans="1:6" x14ac:dyDescent="0.3">
      <c r="A19">
        <v>48348234</v>
      </c>
      <c r="B19" t="s">
        <v>328</v>
      </c>
      <c r="C19">
        <v>23</v>
      </c>
      <c r="D19" t="s">
        <v>32</v>
      </c>
      <c r="E19" t="s">
        <v>512</v>
      </c>
      <c r="F19" s="83">
        <v>45870</v>
      </c>
    </row>
    <row r="20" spans="1:6" x14ac:dyDescent="0.3">
      <c r="A20">
        <v>72954104</v>
      </c>
      <c r="B20" t="s">
        <v>329</v>
      </c>
      <c r="C20">
        <v>21</v>
      </c>
      <c r="D20" t="s">
        <v>32</v>
      </c>
      <c r="E20" t="s">
        <v>512</v>
      </c>
      <c r="F20" s="83">
        <v>45915</v>
      </c>
    </row>
    <row r="21" spans="1:6" x14ac:dyDescent="0.3">
      <c r="A21">
        <v>9059960</v>
      </c>
      <c r="B21" t="s">
        <v>330</v>
      </c>
      <c r="C21">
        <v>59</v>
      </c>
      <c r="D21" t="s">
        <v>32</v>
      </c>
      <c r="E21" t="s">
        <v>512</v>
      </c>
      <c r="F21" s="83">
        <v>46023</v>
      </c>
    </row>
    <row r="22" spans="1:6" x14ac:dyDescent="0.3">
      <c r="A22">
        <v>42021229</v>
      </c>
      <c r="B22" t="s">
        <v>331</v>
      </c>
      <c r="C22">
        <v>36</v>
      </c>
      <c r="D22" t="s">
        <v>32</v>
      </c>
      <c r="E22" t="s">
        <v>512</v>
      </c>
      <c r="F22" s="83">
        <v>45972</v>
      </c>
    </row>
    <row r="23" spans="1:6" x14ac:dyDescent="0.3">
      <c r="A23">
        <v>75854632</v>
      </c>
      <c r="B23" t="s">
        <v>332</v>
      </c>
      <c r="C23">
        <v>24</v>
      </c>
      <c r="D23" t="s">
        <v>32</v>
      </c>
      <c r="E23" t="s">
        <v>512</v>
      </c>
      <c r="F23" s="83">
        <v>45833</v>
      </c>
    </row>
    <row r="24" spans="1:6" x14ac:dyDescent="0.3">
      <c r="A24">
        <v>47876235</v>
      </c>
      <c r="B24" t="s">
        <v>333</v>
      </c>
      <c r="C24">
        <v>30</v>
      </c>
      <c r="D24" t="s">
        <v>32</v>
      </c>
      <c r="E24" t="s">
        <v>512</v>
      </c>
      <c r="F24" s="83">
        <v>45306</v>
      </c>
    </row>
    <row r="25" spans="1:6" x14ac:dyDescent="0.3">
      <c r="A25">
        <v>45798528</v>
      </c>
      <c r="B25" t="s">
        <v>334</v>
      </c>
      <c r="C25">
        <v>21</v>
      </c>
      <c r="D25" t="s">
        <v>32</v>
      </c>
      <c r="E25" t="s">
        <v>512</v>
      </c>
      <c r="F25" s="83">
        <v>45231</v>
      </c>
    </row>
    <row r="26" spans="1:6" x14ac:dyDescent="0.3">
      <c r="A26">
        <v>9943578</v>
      </c>
      <c r="B26" t="s">
        <v>335</v>
      </c>
      <c r="C26">
        <v>43</v>
      </c>
      <c r="D26" t="s">
        <v>32</v>
      </c>
      <c r="E26" t="s">
        <v>512</v>
      </c>
      <c r="F26" s="83">
        <v>45601</v>
      </c>
    </row>
    <row r="27" spans="1:6" x14ac:dyDescent="0.3">
      <c r="A27">
        <v>43119608</v>
      </c>
      <c r="B27" t="s">
        <v>336</v>
      </c>
      <c r="C27">
        <v>49</v>
      </c>
      <c r="D27" t="s">
        <v>32</v>
      </c>
      <c r="E27" t="s">
        <v>512</v>
      </c>
      <c r="F27" s="83">
        <v>45470</v>
      </c>
    </row>
    <row r="28" spans="1:6" x14ac:dyDescent="0.3">
      <c r="A28">
        <v>46201268</v>
      </c>
      <c r="B28" t="s">
        <v>337</v>
      </c>
      <c r="C28">
        <v>39</v>
      </c>
      <c r="D28" t="s">
        <v>32</v>
      </c>
      <c r="E28" t="s">
        <v>512</v>
      </c>
      <c r="F28" s="83">
        <v>45950</v>
      </c>
    </row>
    <row r="29" spans="1:6" x14ac:dyDescent="0.3">
      <c r="A29">
        <v>44848085</v>
      </c>
      <c r="B29" t="s">
        <v>338</v>
      </c>
      <c r="C29">
        <v>44</v>
      </c>
      <c r="D29" t="s">
        <v>32</v>
      </c>
      <c r="E29" t="s">
        <v>512</v>
      </c>
      <c r="F29" s="83">
        <v>43831</v>
      </c>
    </row>
    <row r="30" spans="1:6" x14ac:dyDescent="0.3">
      <c r="A30">
        <v>76126043</v>
      </c>
      <c r="B30" t="s">
        <v>339</v>
      </c>
      <c r="C30">
        <v>37</v>
      </c>
      <c r="D30" t="s">
        <v>32</v>
      </c>
      <c r="E30" t="s">
        <v>512</v>
      </c>
      <c r="F30" s="83">
        <v>43831</v>
      </c>
    </row>
    <row r="31" spans="1:6" x14ac:dyDescent="0.3">
      <c r="A31">
        <v>7499832</v>
      </c>
      <c r="B31" t="s">
        <v>340</v>
      </c>
      <c r="C31">
        <v>44</v>
      </c>
      <c r="D31" t="s">
        <v>32</v>
      </c>
      <c r="E31" t="s">
        <v>512</v>
      </c>
      <c r="F31" s="83">
        <v>45782</v>
      </c>
    </row>
    <row r="32" spans="1:6" x14ac:dyDescent="0.3">
      <c r="A32">
        <v>76502350</v>
      </c>
      <c r="B32" t="s">
        <v>341</v>
      </c>
      <c r="C32">
        <v>51</v>
      </c>
      <c r="D32" t="s">
        <v>32</v>
      </c>
      <c r="E32" t="s">
        <v>512</v>
      </c>
      <c r="F32" s="83">
        <v>46055</v>
      </c>
    </row>
    <row r="33" spans="1:6" x14ac:dyDescent="0.3">
      <c r="A33">
        <v>48162112</v>
      </c>
      <c r="B33" t="s">
        <v>342</v>
      </c>
      <c r="C33">
        <v>29</v>
      </c>
      <c r="D33" t="s">
        <v>32</v>
      </c>
      <c r="E33" t="s">
        <v>512</v>
      </c>
      <c r="F33" s="83">
        <v>45526</v>
      </c>
    </row>
    <row r="34" spans="1:6" x14ac:dyDescent="0.3">
      <c r="A34">
        <v>8754584</v>
      </c>
      <c r="B34" t="s">
        <v>343</v>
      </c>
      <c r="C34">
        <v>37</v>
      </c>
      <c r="D34" t="s">
        <v>32</v>
      </c>
      <c r="E34" t="s">
        <v>512</v>
      </c>
      <c r="F34" s="83">
        <v>38586</v>
      </c>
    </row>
    <row r="35" spans="1:6" x14ac:dyDescent="0.3">
      <c r="A35">
        <v>44125562</v>
      </c>
      <c r="B35" t="s">
        <v>344</v>
      </c>
      <c r="C35">
        <v>58</v>
      </c>
      <c r="D35" t="s">
        <v>59</v>
      </c>
      <c r="E35" t="s">
        <v>512</v>
      </c>
      <c r="F35" s="83">
        <v>43831</v>
      </c>
    </row>
    <row r="36" spans="1:6" x14ac:dyDescent="0.3">
      <c r="A36">
        <v>73340067</v>
      </c>
      <c r="B36" t="s">
        <v>345</v>
      </c>
      <c r="C36">
        <v>36</v>
      </c>
      <c r="D36" t="s">
        <v>32</v>
      </c>
      <c r="E36" t="s">
        <v>512</v>
      </c>
      <c r="F36" s="83">
        <v>45574</v>
      </c>
    </row>
    <row r="37" spans="1:6" x14ac:dyDescent="0.3">
      <c r="A37">
        <v>3496246</v>
      </c>
      <c r="B37" t="s">
        <v>346</v>
      </c>
      <c r="C37">
        <v>44</v>
      </c>
      <c r="D37" t="s">
        <v>32</v>
      </c>
      <c r="E37" t="s">
        <v>512</v>
      </c>
      <c r="F37" s="83">
        <v>43831</v>
      </c>
    </row>
    <row r="38" spans="1:6" x14ac:dyDescent="0.3">
      <c r="A38">
        <v>70346273</v>
      </c>
      <c r="B38" t="s">
        <v>578</v>
      </c>
      <c r="C38">
        <v>35</v>
      </c>
      <c r="D38" t="s">
        <v>32</v>
      </c>
      <c r="E38" t="s">
        <v>512</v>
      </c>
      <c r="F38" s="83">
        <v>45070</v>
      </c>
    </row>
    <row r="39" spans="1:6" x14ac:dyDescent="0.3">
      <c r="A39">
        <v>70346272</v>
      </c>
      <c r="B39" t="s">
        <v>347</v>
      </c>
      <c r="C39">
        <v>45</v>
      </c>
      <c r="D39" t="s">
        <v>32</v>
      </c>
      <c r="E39" t="s">
        <v>512</v>
      </c>
      <c r="F39" s="83">
        <v>45644</v>
      </c>
    </row>
    <row r="40" spans="1:6" x14ac:dyDescent="0.3">
      <c r="A40">
        <v>73671729</v>
      </c>
      <c r="B40" t="s">
        <v>348</v>
      </c>
      <c r="C40">
        <v>37</v>
      </c>
      <c r="D40" t="s">
        <v>32</v>
      </c>
      <c r="E40" t="s">
        <v>512</v>
      </c>
      <c r="F40" s="83">
        <v>43831</v>
      </c>
    </row>
    <row r="41" spans="1:6" x14ac:dyDescent="0.3">
      <c r="A41">
        <v>6772102</v>
      </c>
      <c r="B41" t="s">
        <v>349</v>
      </c>
      <c r="C41">
        <v>69</v>
      </c>
      <c r="D41" t="s">
        <v>32</v>
      </c>
      <c r="E41" t="s">
        <v>512</v>
      </c>
      <c r="F41" s="83">
        <v>37834</v>
      </c>
    </row>
    <row r="42" spans="1:6" x14ac:dyDescent="0.3">
      <c r="A42">
        <v>60918518</v>
      </c>
      <c r="B42" t="s">
        <v>350</v>
      </c>
      <c r="C42">
        <v>26</v>
      </c>
      <c r="D42" t="s">
        <v>32</v>
      </c>
      <c r="E42" t="s">
        <v>512</v>
      </c>
      <c r="F42" s="83">
        <v>45903</v>
      </c>
    </row>
    <row r="43" spans="1:6" x14ac:dyDescent="0.3">
      <c r="A43">
        <v>10738339</v>
      </c>
      <c r="B43" t="s">
        <v>351</v>
      </c>
      <c r="C43">
        <v>27</v>
      </c>
      <c r="D43" t="s">
        <v>32</v>
      </c>
      <c r="E43" t="s">
        <v>512</v>
      </c>
      <c r="F43" s="83">
        <v>45931</v>
      </c>
    </row>
    <row r="44" spans="1:6" x14ac:dyDescent="0.3">
      <c r="A44">
        <v>76638656</v>
      </c>
      <c r="B44" t="s">
        <v>352</v>
      </c>
      <c r="C44">
        <v>41</v>
      </c>
      <c r="D44" t="s">
        <v>32</v>
      </c>
      <c r="E44" t="s">
        <v>512</v>
      </c>
      <c r="F44" s="83">
        <v>45124</v>
      </c>
    </row>
    <row r="45" spans="1:6" x14ac:dyDescent="0.3">
      <c r="A45">
        <v>43193757</v>
      </c>
      <c r="B45" t="s">
        <v>579</v>
      </c>
      <c r="C45">
        <v>40</v>
      </c>
      <c r="D45" t="s">
        <v>32</v>
      </c>
      <c r="E45" t="s">
        <v>512</v>
      </c>
      <c r="F45" s="83">
        <v>43843</v>
      </c>
    </row>
    <row r="46" spans="1:6" x14ac:dyDescent="0.3">
      <c r="A46">
        <v>43975693</v>
      </c>
      <c r="B46" t="s">
        <v>353</v>
      </c>
      <c r="C46">
        <v>23</v>
      </c>
      <c r="D46" t="s">
        <v>32</v>
      </c>
      <c r="E46" t="s">
        <v>512</v>
      </c>
      <c r="F46" s="83">
        <v>40695</v>
      </c>
    </row>
    <row r="47" spans="1:6" x14ac:dyDescent="0.3">
      <c r="A47">
        <v>60418300</v>
      </c>
      <c r="B47" t="s">
        <v>354</v>
      </c>
      <c r="C47">
        <v>42</v>
      </c>
      <c r="D47" t="s">
        <v>32</v>
      </c>
      <c r="E47" t="s">
        <v>512</v>
      </c>
      <c r="F47" s="83">
        <v>45362</v>
      </c>
    </row>
    <row r="48" spans="1:6" x14ac:dyDescent="0.3">
      <c r="A48">
        <v>45957426</v>
      </c>
      <c r="B48" t="s">
        <v>355</v>
      </c>
      <c r="C48">
        <v>48</v>
      </c>
      <c r="D48" t="s">
        <v>32</v>
      </c>
      <c r="E48" t="s">
        <v>512</v>
      </c>
      <c r="F48" s="83">
        <v>43831</v>
      </c>
    </row>
    <row r="49" spans="1:6" x14ac:dyDescent="0.3">
      <c r="A49">
        <v>10060532</v>
      </c>
      <c r="B49" t="s">
        <v>356</v>
      </c>
      <c r="C49">
        <v>67</v>
      </c>
      <c r="D49" t="s">
        <v>32</v>
      </c>
      <c r="E49" t="s">
        <v>512</v>
      </c>
      <c r="F49" s="83">
        <v>38108</v>
      </c>
    </row>
    <row r="50" spans="1:6" x14ac:dyDescent="0.3">
      <c r="A50">
        <v>73808813</v>
      </c>
      <c r="B50" t="s">
        <v>357</v>
      </c>
      <c r="C50">
        <v>35</v>
      </c>
      <c r="D50" t="s">
        <v>32</v>
      </c>
      <c r="E50" t="s">
        <v>512</v>
      </c>
      <c r="F50" s="83">
        <v>45446</v>
      </c>
    </row>
    <row r="51" spans="1:6" x14ac:dyDescent="0.3">
      <c r="A51">
        <v>46276514</v>
      </c>
      <c r="B51" t="s">
        <v>358</v>
      </c>
      <c r="C51">
        <v>36</v>
      </c>
      <c r="D51" t="s">
        <v>32</v>
      </c>
      <c r="E51" t="s">
        <v>512</v>
      </c>
      <c r="F51" s="83">
        <v>45908</v>
      </c>
    </row>
    <row r="52" spans="1:6" x14ac:dyDescent="0.3">
      <c r="A52">
        <v>44839341</v>
      </c>
      <c r="B52" t="s">
        <v>359</v>
      </c>
      <c r="C52">
        <v>38</v>
      </c>
      <c r="D52" t="s">
        <v>32</v>
      </c>
      <c r="E52" t="s">
        <v>512</v>
      </c>
      <c r="F52" s="83">
        <v>45915</v>
      </c>
    </row>
    <row r="53" spans="1:6" x14ac:dyDescent="0.3">
      <c r="A53">
        <v>70794375</v>
      </c>
      <c r="B53" t="s">
        <v>360</v>
      </c>
      <c r="C53">
        <v>37</v>
      </c>
      <c r="D53" t="s">
        <v>32</v>
      </c>
      <c r="E53" t="s">
        <v>512</v>
      </c>
      <c r="F53" s="83">
        <v>43831</v>
      </c>
    </row>
    <row r="54" spans="1:6" x14ac:dyDescent="0.3">
      <c r="A54">
        <v>4306995</v>
      </c>
      <c r="B54" t="s">
        <v>518</v>
      </c>
      <c r="C54">
        <v>126</v>
      </c>
      <c r="D54" t="s">
        <v>32</v>
      </c>
      <c r="E54" t="s">
        <v>513</v>
      </c>
    </row>
    <row r="55" spans="1:6" x14ac:dyDescent="0.3">
      <c r="A55">
        <v>73099801</v>
      </c>
      <c r="B55" t="s">
        <v>361</v>
      </c>
      <c r="C55">
        <v>28</v>
      </c>
      <c r="D55" t="s">
        <v>32</v>
      </c>
      <c r="E55" t="s">
        <v>512</v>
      </c>
      <c r="F55" s="83">
        <v>45992</v>
      </c>
    </row>
    <row r="56" spans="1:6" x14ac:dyDescent="0.3">
      <c r="A56">
        <v>70346267</v>
      </c>
      <c r="B56" t="s">
        <v>362</v>
      </c>
      <c r="C56">
        <v>48</v>
      </c>
      <c r="D56" t="s">
        <v>32</v>
      </c>
      <c r="E56" t="s">
        <v>512</v>
      </c>
      <c r="F56" s="83">
        <v>45789</v>
      </c>
    </row>
    <row r="57" spans="1:6" x14ac:dyDescent="0.3">
      <c r="A57">
        <v>47695766</v>
      </c>
      <c r="B57" t="s">
        <v>363</v>
      </c>
      <c r="C57">
        <v>47</v>
      </c>
      <c r="D57" t="s">
        <v>32</v>
      </c>
      <c r="E57" t="s">
        <v>512</v>
      </c>
      <c r="F57" s="83">
        <v>45749</v>
      </c>
    </row>
    <row r="58" spans="1:6" x14ac:dyDescent="0.3">
      <c r="A58">
        <v>75620055</v>
      </c>
      <c r="B58" t="s">
        <v>364</v>
      </c>
      <c r="C58">
        <v>22</v>
      </c>
      <c r="D58" t="s">
        <v>32</v>
      </c>
      <c r="E58" t="s">
        <v>512</v>
      </c>
      <c r="F58" s="83">
        <v>45901</v>
      </c>
    </row>
    <row r="59" spans="1:6" x14ac:dyDescent="0.3">
      <c r="A59">
        <v>42083682</v>
      </c>
      <c r="B59" t="s">
        <v>365</v>
      </c>
      <c r="C59">
        <v>38</v>
      </c>
      <c r="D59" t="s">
        <v>32</v>
      </c>
      <c r="E59" t="s">
        <v>512</v>
      </c>
      <c r="F59" s="83">
        <v>43831</v>
      </c>
    </row>
    <row r="60" spans="1:6" x14ac:dyDescent="0.3">
      <c r="A60">
        <v>9655714</v>
      </c>
      <c r="B60" t="s">
        <v>366</v>
      </c>
      <c r="C60">
        <v>55</v>
      </c>
      <c r="D60" t="s">
        <v>32</v>
      </c>
      <c r="E60" t="s">
        <v>512</v>
      </c>
      <c r="F60" s="83">
        <v>43831</v>
      </c>
    </row>
    <row r="61" spans="1:6" x14ac:dyDescent="0.3">
      <c r="A61">
        <v>47652437</v>
      </c>
      <c r="B61" t="s">
        <v>367</v>
      </c>
      <c r="C61">
        <v>42</v>
      </c>
      <c r="D61" t="s">
        <v>32</v>
      </c>
      <c r="E61" t="s">
        <v>512</v>
      </c>
      <c r="F61" s="83">
        <v>45536</v>
      </c>
    </row>
    <row r="62" spans="1:6" x14ac:dyDescent="0.3">
      <c r="A62">
        <v>73481775</v>
      </c>
      <c r="B62" t="s">
        <v>368</v>
      </c>
      <c r="C62">
        <v>44</v>
      </c>
      <c r="D62" t="s">
        <v>32</v>
      </c>
      <c r="E62" t="s">
        <v>512</v>
      </c>
      <c r="F62" s="83">
        <v>45231</v>
      </c>
    </row>
    <row r="63" spans="1:6" x14ac:dyDescent="0.3">
      <c r="A63">
        <v>48144866</v>
      </c>
      <c r="B63" t="s">
        <v>369</v>
      </c>
      <c r="C63">
        <v>28</v>
      </c>
      <c r="D63" t="s">
        <v>32</v>
      </c>
      <c r="E63" t="s">
        <v>512</v>
      </c>
      <c r="F63" s="83">
        <v>45870</v>
      </c>
    </row>
    <row r="64" spans="1:6" x14ac:dyDescent="0.3">
      <c r="A64">
        <v>9073506</v>
      </c>
      <c r="B64" t="s">
        <v>510</v>
      </c>
      <c r="C64">
        <v>126</v>
      </c>
      <c r="D64" t="s">
        <v>32</v>
      </c>
      <c r="E64" t="s">
        <v>511</v>
      </c>
      <c r="F64" s="83">
        <v>45536</v>
      </c>
    </row>
    <row r="65" spans="1:6" x14ac:dyDescent="0.3">
      <c r="A65">
        <v>433686</v>
      </c>
      <c r="B65" t="s">
        <v>370</v>
      </c>
      <c r="C65">
        <v>52</v>
      </c>
      <c r="D65" t="s">
        <v>32</v>
      </c>
      <c r="E65" t="s">
        <v>512</v>
      </c>
      <c r="F65" s="83">
        <v>40238</v>
      </c>
    </row>
    <row r="66" spans="1:6" x14ac:dyDescent="0.3">
      <c r="A66">
        <v>72759604</v>
      </c>
      <c r="B66" t="s">
        <v>371</v>
      </c>
      <c r="C66">
        <v>52</v>
      </c>
      <c r="D66" t="s">
        <v>32</v>
      </c>
      <c r="E66" t="s">
        <v>512</v>
      </c>
      <c r="F66" s="83">
        <v>45048</v>
      </c>
    </row>
    <row r="67" spans="1:6" x14ac:dyDescent="0.3">
      <c r="A67">
        <v>45310288</v>
      </c>
      <c r="B67" t="s">
        <v>372</v>
      </c>
      <c r="C67">
        <v>47</v>
      </c>
      <c r="D67" t="s">
        <v>32</v>
      </c>
      <c r="E67" t="s">
        <v>512</v>
      </c>
      <c r="F67" s="83">
        <v>43831</v>
      </c>
    </row>
    <row r="68" spans="1:6" x14ac:dyDescent="0.3">
      <c r="A68">
        <v>77344625</v>
      </c>
      <c r="B68" t="s">
        <v>373</v>
      </c>
      <c r="C68">
        <v>39</v>
      </c>
      <c r="D68" t="s">
        <v>32</v>
      </c>
      <c r="E68" t="s">
        <v>512</v>
      </c>
      <c r="F68" s="83">
        <v>44967</v>
      </c>
    </row>
    <row r="69" spans="1:6" x14ac:dyDescent="0.3">
      <c r="A69">
        <v>75268060</v>
      </c>
      <c r="B69" t="s">
        <v>374</v>
      </c>
      <c r="C69">
        <v>30</v>
      </c>
      <c r="D69" t="s">
        <v>32</v>
      </c>
      <c r="E69" t="s">
        <v>512</v>
      </c>
      <c r="F69" s="83">
        <v>43831</v>
      </c>
    </row>
    <row r="70" spans="1:6" x14ac:dyDescent="0.3">
      <c r="A70">
        <v>45144020</v>
      </c>
      <c r="B70" t="s">
        <v>375</v>
      </c>
      <c r="C70">
        <v>37</v>
      </c>
      <c r="D70" t="s">
        <v>59</v>
      </c>
      <c r="E70" t="s">
        <v>512</v>
      </c>
      <c r="F70" s="83">
        <v>39888</v>
      </c>
    </row>
    <row r="71" spans="1:6" x14ac:dyDescent="0.3">
      <c r="A71">
        <v>10577555</v>
      </c>
      <c r="B71" t="s">
        <v>376</v>
      </c>
      <c r="C71">
        <v>43</v>
      </c>
      <c r="D71" t="s">
        <v>32</v>
      </c>
      <c r="E71" t="s">
        <v>512</v>
      </c>
      <c r="F71" s="83">
        <v>45341</v>
      </c>
    </row>
    <row r="72" spans="1:6" x14ac:dyDescent="0.3">
      <c r="A72">
        <v>70110862</v>
      </c>
      <c r="B72" t="s">
        <v>377</v>
      </c>
      <c r="C72">
        <v>51</v>
      </c>
      <c r="D72" t="s">
        <v>32</v>
      </c>
      <c r="E72" t="s">
        <v>512</v>
      </c>
      <c r="F72" s="83">
        <v>45726</v>
      </c>
    </row>
    <row r="73" spans="1:6" x14ac:dyDescent="0.3">
      <c r="A73">
        <v>43747439</v>
      </c>
      <c r="B73" t="s">
        <v>378</v>
      </c>
      <c r="C73">
        <v>39</v>
      </c>
      <c r="D73" t="s">
        <v>32</v>
      </c>
      <c r="E73" t="s">
        <v>512</v>
      </c>
      <c r="F73" s="83">
        <v>45810</v>
      </c>
    </row>
    <row r="74" spans="1:6" x14ac:dyDescent="0.3">
      <c r="A74">
        <v>47259573</v>
      </c>
      <c r="B74" t="s">
        <v>379</v>
      </c>
      <c r="C74">
        <v>32</v>
      </c>
      <c r="D74" t="s">
        <v>32</v>
      </c>
      <c r="E74" t="s">
        <v>512</v>
      </c>
      <c r="F74" s="83">
        <v>45670</v>
      </c>
    </row>
    <row r="75" spans="1:6" x14ac:dyDescent="0.3">
      <c r="A75">
        <v>77232866</v>
      </c>
      <c r="B75" t="s">
        <v>380</v>
      </c>
      <c r="C75">
        <v>51</v>
      </c>
      <c r="D75" t="s">
        <v>32</v>
      </c>
      <c r="E75" t="s">
        <v>512</v>
      </c>
      <c r="F75" s="83">
        <v>46028</v>
      </c>
    </row>
    <row r="76" spans="1:6" x14ac:dyDescent="0.3">
      <c r="A76">
        <v>43888135</v>
      </c>
      <c r="B76" t="s">
        <v>381</v>
      </c>
      <c r="C76">
        <v>36</v>
      </c>
      <c r="D76" t="s">
        <v>32</v>
      </c>
      <c r="E76" t="s">
        <v>512</v>
      </c>
      <c r="F76" s="83">
        <v>43831</v>
      </c>
    </row>
    <row r="77" spans="1:6" x14ac:dyDescent="0.3">
      <c r="A77">
        <v>40756719</v>
      </c>
      <c r="B77" t="s">
        <v>382</v>
      </c>
      <c r="C77">
        <v>40</v>
      </c>
      <c r="D77" t="s">
        <v>32</v>
      </c>
      <c r="E77" t="s">
        <v>512</v>
      </c>
      <c r="F77" s="83">
        <v>42047</v>
      </c>
    </row>
    <row r="78" spans="1:6" x14ac:dyDescent="0.3">
      <c r="A78">
        <v>45441597</v>
      </c>
      <c r="B78" t="s">
        <v>383</v>
      </c>
      <c r="C78">
        <v>25</v>
      </c>
      <c r="D78" t="s">
        <v>32</v>
      </c>
      <c r="E78" t="s">
        <v>512</v>
      </c>
      <c r="F78" s="83">
        <v>43831</v>
      </c>
    </row>
    <row r="79" spans="1:6" x14ac:dyDescent="0.3">
      <c r="A79">
        <v>76188564</v>
      </c>
      <c r="B79" t="s">
        <v>384</v>
      </c>
      <c r="C79">
        <v>35</v>
      </c>
      <c r="D79" t="s">
        <v>32</v>
      </c>
      <c r="E79" t="s">
        <v>512</v>
      </c>
      <c r="F79" s="83">
        <v>45173</v>
      </c>
    </row>
    <row r="80" spans="1:6" x14ac:dyDescent="0.3">
      <c r="A80">
        <v>75578447</v>
      </c>
      <c r="B80" t="s">
        <v>385</v>
      </c>
      <c r="C80">
        <v>28</v>
      </c>
      <c r="D80" t="s">
        <v>32</v>
      </c>
      <c r="E80" t="s">
        <v>512</v>
      </c>
      <c r="F80" s="83">
        <v>45810</v>
      </c>
    </row>
    <row r="81" spans="1:6" x14ac:dyDescent="0.3">
      <c r="A81">
        <v>6726972</v>
      </c>
      <c r="B81" t="s">
        <v>515</v>
      </c>
      <c r="C81">
        <v>126</v>
      </c>
      <c r="D81" t="s">
        <v>32</v>
      </c>
      <c r="E81" t="s">
        <v>514</v>
      </c>
      <c r="F81" s="83">
        <v>45597</v>
      </c>
    </row>
    <row r="82" spans="1:6" x14ac:dyDescent="0.3">
      <c r="A82">
        <v>75567346</v>
      </c>
      <c r="B82" t="s">
        <v>386</v>
      </c>
      <c r="C82">
        <v>38</v>
      </c>
      <c r="D82" t="s">
        <v>32</v>
      </c>
      <c r="E82" t="s">
        <v>512</v>
      </c>
      <c r="F82" s="83">
        <v>45719</v>
      </c>
    </row>
    <row r="83" spans="1:6" x14ac:dyDescent="0.3">
      <c r="A83">
        <v>74299722</v>
      </c>
      <c r="B83" t="s">
        <v>387</v>
      </c>
      <c r="C83">
        <v>45</v>
      </c>
      <c r="D83" t="s">
        <v>32</v>
      </c>
      <c r="E83" t="s">
        <v>512</v>
      </c>
      <c r="F83" s="83">
        <v>45748</v>
      </c>
    </row>
    <row r="84" spans="1:6" x14ac:dyDescent="0.3">
      <c r="A84">
        <v>10376402</v>
      </c>
      <c r="B84" t="s">
        <v>388</v>
      </c>
      <c r="C84">
        <v>31</v>
      </c>
      <c r="D84" t="s">
        <v>32</v>
      </c>
      <c r="E84" t="s">
        <v>512</v>
      </c>
      <c r="F84" s="83">
        <v>43831</v>
      </c>
    </row>
    <row r="85" spans="1:6" x14ac:dyDescent="0.3">
      <c r="A85">
        <v>75118894</v>
      </c>
      <c r="B85" t="s">
        <v>389</v>
      </c>
      <c r="C85">
        <v>30</v>
      </c>
      <c r="D85" t="s">
        <v>59</v>
      </c>
      <c r="E85" t="s">
        <v>512</v>
      </c>
      <c r="F85" s="83">
        <v>45839</v>
      </c>
    </row>
    <row r="86" spans="1:6" x14ac:dyDescent="0.3">
      <c r="A86">
        <v>44817038</v>
      </c>
      <c r="B86" t="s">
        <v>390</v>
      </c>
      <c r="C86">
        <v>19</v>
      </c>
      <c r="D86" t="s">
        <v>32</v>
      </c>
      <c r="E86" t="s">
        <v>512</v>
      </c>
      <c r="F86" s="83">
        <v>45922</v>
      </c>
    </row>
    <row r="87" spans="1:6" x14ac:dyDescent="0.3">
      <c r="A87">
        <v>42499246</v>
      </c>
      <c r="B87" t="s">
        <v>391</v>
      </c>
      <c r="C87">
        <v>37</v>
      </c>
      <c r="D87" t="s">
        <v>32</v>
      </c>
      <c r="E87" t="s">
        <v>512</v>
      </c>
      <c r="F87" s="83">
        <v>45670</v>
      </c>
    </row>
    <row r="88" spans="1:6" x14ac:dyDescent="0.3">
      <c r="A88">
        <v>46765199</v>
      </c>
      <c r="B88" t="s">
        <v>392</v>
      </c>
      <c r="C88">
        <v>37</v>
      </c>
      <c r="D88" t="s">
        <v>32</v>
      </c>
      <c r="E88" t="s">
        <v>512</v>
      </c>
      <c r="F88" s="83">
        <v>45691</v>
      </c>
    </row>
    <row r="89" spans="1:6" x14ac:dyDescent="0.3">
      <c r="A89">
        <v>40555173</v>
      </c>
      <c r="B89" t="s">
        <v>393</v>
      </c>
      <c r="C89">
        <v>41</v>
      </c>
      <c r="D89" t="s">
        <v>32</v>
      </c>
      <c r="E89" t="s">
        <v>512</v>
      </c>
      <c r="F89" s="83">
        <v>44816</v>
      </c>
    </row>
    <row r="90" spans="1:6" x14ac:dyDescent="0.3">
      <c r="A90">
        <v>6026998</v>
      </c>
      <c r="B90" t="s">
        <v>580</v>
      </c>
      <c r="C90">
        <v>51</v>
      </c>
      <c r="D90" t="s">
        <v>32</v>
      </c>
      <c r="E90" t="s">
        <v>512</v>
      </c>
      <c r="F90" s="83">
        <v>45726</v>
      </c>
    </row>
    <row r="91" spans="1:6" x14ac:dyDescent="0.3">
      <c r="A91">
        <v>10720158</v>
      </c>
      <c r="B91" t="s">
        <v>394</v>
      </c>
      <c r="C91">
        <v>47</v>
      </c>
      <c r="D91" t="s">
        <v>32</v>
      </c>
      <c r="E91" t="s">
        <v>512</v>
      </c>
      <c r="F91" s="83">
        <v>45937</v>
      </c>
    </row>
    <row r="92" spans="1:6" x14ac:dyDescent="0.3">
      <c r="A92">
        <v>42604453</v>
      </c>
      <c r="B92" t="s">
        <v>581</v>
      </c>
      <c r="C92">
        <v>63</v>
      </c>
      <c r="D92" t="s">
        <v>32</v>
      </c>
      <c r="E92" t="s">
        <v>512</v>
      </c>
      <c r="F92" s="83">
        <v>45870</v>
      </c>
    </row>
    <row r="93" spans="1:6" x14ac:dyDescent="0.3">
      <c r="A93">
        <v>75338214</v>
      </c>
      <c r="B93" t="s">
        <v>395</v>
      </c>
      <c r="C93">
        <v>53</v>
      </c>
      <c r="D93" t="s">
        <v>32</v>
      </c>
      <c r="E93" t="s">
        <v>512</v>
      </c>
      <c r="F93" s="83">
        <v>45870</v>
      </c>
    </row>
    <row r="94" spans="1:6" x14ac:dyDescent="0.3">
      <c r="A94">
        <v>72765369</v>
      </c>
      <c r="B94" t="s">
        <v>396</v>
      </c>
      <c r="C94">
        <v>22</v>
      </c>
      <c r="D94" t="s">
        <v>32</v>
      </c>
      <c r="E94" t="s">
        <v>512</v>
      </c>
      <c r="F94" s="83">
        <v>43831</v>
      </c>
    </row>
    <row r="95" spans="1:6" x14ac:dyDescent="0.3">
      <c r="A95">
        <v>42915986</v>
      </c>
      <c r="B95" t="s">
        <v>397</v>
      </c>
      <c r="C95">
        <v>36</v>
      </c>
      <c r="D95" t="s">
        <v>32</v>
      </c>
      <c r="E95" t="s">
        <v>512</v>
      </c>
      <c r="F95" s="83">
        <v>45551</v>
      </c>
    </row>
    <row r="96" spans="1:6" x14ac:dyDescent="0.3">
      <c r="A96">
        <v>21867392</v>
      </c>
      <c r="B96" t="s">
        <v>398</v>
      </c>
      <c r="C96">
        <v>23</v>
      </c>
      <c r="D96" t="s">
        <v>59</v>
      </c>
      <c r="E96" t="s">
        <v>512</v>
      </c>
      <c r="F96" s="83">
        <v>45536</v>
      </c>
    </row>
    <row r="97" spans="1:6" x14ac:dyDescent="0.3">
      <c r="A97">
        <v>16652334</v>
      </c>
      <c r="B97" t="s">
        <v>399</v>
      </c>
      <c r="C97">
        <v>41</v>
      </c>
      <c r="D97" t="s">
        <v>59</v>
      </c>
      <c r="E97" t="s">
        <v>512</v>
      </c>
      <c r="F97" s="83">
        <v>40634</v>
      </c>
    </row>
    <row r="98" spans="1:6" x14ac:dyDescent="0.3">
      <c r="A98">
        <v>44849912</v>
      </c>
      <c r="B98" t="s">
        <v>400</v>
      </c>
      <c r="C98">
        <v>46</v>
      </c>
      <c r="D98" t="s">
        <v>32</v>
      </c>
      <c r="E98" t="s">
        <v>512</v>
      </c>
      <c r="F98" s="83">
        <v>43831</v>
      </c>
    </row>
    <row r="99" spans="1:6" x14ac:dyDescent="0.3">
      <c r="A99">
        <v>10335154</v>
      </c>
      <c r="B99" t="s">
        <v>401</v>
      </c>
      <c r="C99">
        <v>35</v>
      </c>
      <c r="D99" t="s">
        <v>32</v>
      </c>
      <c r="E99" t="s">
        <v>512</v>
      </c>
      <c r="F99" s="83">
        <v>46055</v>
      </c>
    </row>
    <row r="100" spans="1:6" x14ac:dyDescent="0.3">
      <c r="A100">
        <v>40702358</v>
      </c>
      <c r="B100" t="s">
        <v>402</v>
      </c>
      <c r="C100">
        <v>40</v>
      </c>
      <c r="D100" t="s">
        <v>32</v>
      </c>
      <c r="E100" t="s">
        <v>512</v>
      </c>
      <c r="F100" s="83">
        <v>43831</v>
      </c>
    </row>
    <row r="101" spans="1:6" x14ac:dyDescent="0.3">
      <c r="A101">
        <v>47361655</v>
      </c>
      <c r="B101" t="s">
        <v>403</v>
      </c>
      <c r="C101">
        <v>45</v>
      </c>
      <c r="D101" t="s">
        <v>32</v>
      </c>
      <c r="E101" t="s">
        <v>512</v>
      </c>
      <c r="F101" s="83">
        <v>44790</v>
      </c>
    </row>
    <row r="102" spans="1:6" x14ac:dyDescent="0.3">
      <c r="A102">
        <v>76624943</v>
      </c>
      <c r="B102" t="s">
        <v>404</v>
      </c>
      <c r="C102">
        <v>26</v>
      </c>
      <c r="D102" t="s">
        <v>32</v>
      </c>
      <c r="E102" t="s">
        <v>512</v>
      </c>
      <c r="F102" s="83">
        <v>43831</v>
      </c>
    </row>
    <row r="103" spans="1:6" x14ac:dyDescent="0.3">
      <c r="A103">
        <v>9844603</v>
      </c>
      <c r="B103" t="s">
        <v>405</v>
      </c>
      <c r="C103">
        <v>34</v>
      </c>
      <c r="D103" t="s">
        <v>32</v>
      </c>
      <c r="E103" t="s">
        <v>512</v>
      </c>
      <c r="F103" s="83">
        <v>43831</v>
      </c>
    </row>
    <row r="104" spans="1:6" x14ac:dyDescent="0.3">
      <c r="A104">
        <v>41683293</v>
      </c>
      <c r="B104" t="s">
        <v>406</v>
      </c>
      <c r="C104">
        <v>45</v>
      </c>
      <c r="D104" t="s">
        <v>32</v>
      </c>
      <c r="E104" t="s">
        <v>512</v>
      </c>
      <c r="F104" s="83">
        <v>43831</v>
      </c>
    </row>
    <row r="105" spans="1:6" x14ac:dyDescent="0.3">
      <c r="A105">
        <v>42441086</v>
      </c>
      <c r="B105" t="s">
        <v>407</v>
      </c>
      <c r="C105">
        <v>28</v>
      </c>
      <c r="D105" t="s">
        <v>32</v>
      </c>
      <c r="E105" t="s">
        <v>512</v>
      </c>
      <c r="F105" s="83">
        <v>43831</v>
      </c>
    </row>
    <row r="106" spans="1:6" x14ac:dyDescent="0.3">
      <c r="A106">
        <v>25402541</v>
      </c>
      <c r="B106" t="s">
        <v>408</v>
      </c>
      <c r="C106">
        <v>61</v>
      </c>
      <c r="D106" t="s">
        <v>32</v>
      </c>
      <c r="E106" t="s">
        <v>512</v>
      </c>
      <c r="F106" s="83">
        <v>43831</v>
      </c>
    </row>
    <row r="107" spans="1:6" x14ac:dyDescent="0.3">
      <c r="A107">
        <v>61701858</v>
      </c>
      <c r="B107" t="s">
        <v>409</v>
      </c>
      <c r="C107">
        <v>39</v>
      </c>
      <c r="D107" t="s">
        <v>32</v>
      </c>
      <c r="E107" t="s">
        <v>512</v>
      </c>
      <c r="F107" s="83">
        <v>45812</v>
      </c>
    </row>
    <row r="108" spans="1:6" x14ac:dyDescent="0.3">
      <c r="A108">
        <v>47275861</v>
      </c>
      <c r="B108" t="s">
        <v>410</v>
      </c>
      <c r="C108">
        <v>39</v>
      </c>
      <c r="D108" t="s">
        <v>32</v>
      </c>
      <c r="E108" t="s">
        <v>512</v>
      </c>
      <c r="F108" s="83">
        <v>43831</v>
      </c>
    </row>
    <row r="109" spans="1:6" x14ac:dyDescent="0.3">
      <c r="A109">
        <v>70089567</v>
      </c>
      <c r="B109" t="s">
        <v>411</v>
      </c>
      <c r="C109">
        <v>35</v>
      </c>
      <c r="D109" t="s">
        <v>32</v>
      </c>
      <c r="E109" t="s">
        <v>512</v>
      </c>
      <c r="F109" s="83">
        <v>43831</v>
      </c>
    </row>
    <row r="110" spans="1:6" x14ac:dyDescent="0.3">
      <c r="A110">
        <v>10607645</v>
      </c>
      <c r="B110" t="s">
        <v>412</v>
      </c>
      <c r="C110">
        <v>47</v>
      </c>
      <c r="D110" t="s">
        <v>32</v>
      </c>
      <c r="E110" t="s">
        <v>512</v>
      </c>
      <c r="F110" s="83">
        <v>46048</v>
      </c>
    </row>
    <row r="111" spans="1:6" x14ac:dyDescent="0.3">
      <c r="A111">
        <v>9906328</v>
      </c>
      <c r="B111" t="s">
        <v>413</v>
      </c>
      <c r="C111">
        <v>34</v>
      </c>
      <c r="D111" t="s">
        <v>32</v>
      </c>
      <c r="E111" t="s">
        <v>512</v>
      </c>
      <c r="F111" s="83">
        <v>45992</v>
      </c>
    </row>
    <row r="112" spans="1:6" x14ac:dyDescent="0.3">
      <c r="A112">
        <v>10026993</v>
      </c>
      <c r="B112" t="s">
        <v>414</v>
      </c>
      <c r="C112">
        <v>36</v>
      </c>
      <c r="D112" t="s">
        <v>32</v>
      </c>
      <c r="E112" t="s">
        <v>512</v>
      </c>
      <c r="F112" s="83">
        <v>43831</v>
      </c>
    </row>
    <row r="113" spans="1:6" x14ac:dyDescent="0.3">
      <c r="A113">
        <v>7317850</v>
      </c>
      <c r="B113" t="s">
        <v>415</v>
      </c>
      <c r="C113">
        <v>27</v>
      </c>
      <c r="D113" t="s">
        <v>32</v>
      </c>
      <c r="E113" t="s">
        <v>512</v>
      </c>
      <c r="F113" s="83">
        <v>44044</v>
      </c>
    </row>
    <row r="114" spans="1:6" x14ac:dyDescent="0.3">
      <c r="A114">
        <v>48092993</v>
      </c>
      <c r="B114" t="s">
        <v>416</v>
      </c>
      <c r="C114">
        <v>42</v>
      </c>
      <c r="D114" t="s">
        <v>32</v>
      </c>
      <c r="E114" t="s">
        <v>512</v>
      </c>
      <c r="F114" s="83">
        <v>45231</v>
      </c>
    </row>
    <row r="115" spans="1:6" x14ac:dyDescent="0.3">
      <c r="A115">
        <v>47295135</v>
      </c>
      <c r="B115" t="s">
        <v>417</v>
      </c>
      <c r="C115">
        <v>42</v>
      </c>
      <c r="D115" t="s">
        <v>32</v>
      </c>
      <c r="E115" t="s">
        <v>512</v>
      </c>
      <c r="F115" s="83">
        <v>45323</v>
      </c>
    </row>
    <row r="116" spans="1:6" x14ac:dyDescent="0.3">
      <c r="A116">
        <v>43754165</v>
      </c>
      <c r="B116" t="s">
        <v>418</v>
      </c>
      <c r="C116">
        <v>33</v>
      </c>
      <c r="D116" t="s">
        <v>32</v>
      </c>
      <c r="E116" t="s">
        <v>512</v>
      </c>
      <c r="F116" s="83">
        <v>45677</v>
      </c>
    </row>
    <row r="117" spans="1:6" x14ac:dyDescent="0.3">
      <c r="A117">
        <v>74352038</v>
      </c>
      <c r="B117" t="s">
        <v>419</v>
      </c>
      <c r="C117">
        <v>55</v>
      </c>
      <c r="D117" t="s">
        <v>32</v>
      </c>
      <c r="E117" t="s">
        <v>512</v>
      </c>
      <c r="F117" s="83">
        <v>45327</v>
      </c>
    </row>
    <row r="118" spans="1:6" x14ac:dyDescent="0.3">
      <c r="A118">
        <v>21121185</v>
      </c>
      <c r="B118" t="s">
        <v>420</v>
      </c>
      <c r="C118">
        <v>47</v>
      </c>
      <c r="D118" t="s">
        <v>32</v>
      </c>
      <c r="E118" t="s">
        <v>512</v>
      </c>
      <c r="F118" s="83">
        <v>44992</v>
      </c>
    </row>
  </sheetData>
  <autoFilter ref="A1:G2" xr:uid="{45D32365-94FF-4B01-AFB4-172E8D0F542B}"/>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62FCD-CF37-43CB-A145-0774B72AD3E5}">
  <sheetPr codeName="Hoja16">
    <tabColor rgb="FF92D050"/>
  </sheetPr>
  <dimension ref="A1:E158"/>
  <sheetViews>
    <sheetView workbookViewId="0">
      <selection activeCell="C3" sqref="C3"/>
    </sheetView>
  </sheetViews>
  <sheetFormatPr baseColWidth="10" defaultColWidth="11.44140625" defaultRowHeight="14.4" x14ac:dyDescent="0.3"/>
  <cols>
    <col min="1" max="4" width="18.6640625" customWidth="1"/>
    <col min="5" max="5" width="18.6640625" style="103" customWidth="1"/>
  </cols>
  <sheetData>
    <row r="1" spans="1:5" x14ac:dyDescent="0.3">
      <c r="A1" s="18" t="s">
        <v>237</v>
      </c>
      <c r="B1" s="18" t="s">
        <v>2</v>
      </c>
      <c r="C1" s="18" t="s">
        <v>1</v>
      </c>
      <c r="D1" s="18" t="s">
        <v>238</v>
      </c>
      <c r="E1" s="42" t="s">
        <v>101</v>
      </c>
    </row>
    <row r="2" spans="1:5" ht="28.8" x14ac:dyDescent="0.3">
      <c r="A2" s="43" t="str">
        <f>IF(B2&lt;&gt;"", "CAPA-" &amp; TEXT(12000 + ROW(A2) - 1, "0000"), "")</f>
        <v>CAPA-12001</v>
      </c>
      <c r="B2" s="43" t="s">
        <v>41</v>
      </c>
      <c r="C2" s="43">
        <v>40888707</v>
      </c>
      <c r="D2" s="43" t="s">
        <v>202</v>
      </c>
      <c r="E2" s="102">
        <v>45663</v>
      </c>
    </row>
    <row r="3" spans="1:5" ht="28.8" x14ac:dyDescent="0.3">
      <c r="A3" s="43" t="str">
        <f t="shared" ref="A3:A41" si="0">IF(B3&lt;&gt;"", "CAPA-" &amp; TEXT(12000 + ROW(A3) - 1, "0000"), "")</f>
        <v>CAPA-12002</v>
      </c>
      <c r="B3" s="43" t="s">
        <v>42</v>
      </c>
      <c r="C3" s="43">
        <v>70688440</v>
      </c>
      <c r="D3" s="43" t="s">
        <v>202</v>
      </c>
      <c r="E3" s="102">
        <v>45663</v>
      </c>
    </row>
    <row r="4" spans="1:5" ht="28.8" x14ac:dyDescent="0.3">
      <c r="A4" s="43" t="str">
        <f t="shared" si="0"/>
        <v>CAPA-12003</v>
      </c>
      <c r="B4" s="43" t="s">
        <v>46</v>
      </c>
      <c r="C4" s="43">
        <v>63036792</v>
      </c>
      <c r="D4" s="43" t="s">
        <v>202</v>
      </c>
      <c r="E4" s="102">
        <v>45663</v>
      </c>
    </row>
    <row r="5" spans="1:5" ht="28.8" x14ac:dyDescent="0.3">
      <c r="A5" s="43" t="str">
        <f t="shared" si="0"/>
        <v>CAPA-12004</v>
      </c>
      <c r="B5" s="43" t="s">
        <v>52</v>
      </c>
      <c r="C5" s="43">
        <v>10881212</v>
      </c>
      <c r="D5" s="43" t="s">
        <v>202</v>
      </c>
      <c r="E5" s="102">
        <v>45663</v>
      </c>
    </row>
    <row r="6" spans="1:5" ht="43.2" x14ac:dyDescent="0.3">
      <c r="A6" s="43" t="str">
        <f t="shared" si="0"/>
        <v>CAPA-12005</v>
      </c>
      <c r="B6" s="43" t="s">
        <v>54</v>
      </c>
      <c r="C6" s="43">
        <v>43776197</v>
      </c>
      <c r="D6" s="43" t="s">
        <v>202</v>
      </c>
      <c r="E6" s="102">
        <v>45663</v>
      </c>
    </row>
    <row r="7" spans="1:5" ht="28.8" x14ac:dyDescent="0.3">
      <c r="A7" s="43" t="str">
        <f t="shared" si="0"/>
        <v>CAPA-12006</v>
      </c>
      <c r="B7" s="43" t="s">
        <v>57</v>
      </c>
      <c r="C7" s="43">
        <v>10096508</v>
      </c>
      <c r="D7" s="43" t="s">
        <v>202</v>
      </c>
      <c r="E7" s="102">
        <v>45663</v>
      </c>
    </row>
    <row r="8" spans="1:5" ht="28.8" x14ac:dyDescent="0.3">
      <c r="A8" s="43" t="str">
        <f t="shared" si="0"/>
        <v>CAPA-12007</v>
      </c>
      <c r="B8" s="43" t="s">
        <v>61</v>
      </c>
      <c r="C8" s="43">
        <v>6266082</v>
      </c>
      <c r="D8" s="43" t="s">
        <v>202</v>
      </c>
      <c r="E8" s="102">
        <v>45663</v>
      </c>
    </row>
    <row r="9" spans="1:5" ht="28.8" x14ac:dyDescent="0.3">
      <c r="A9" s="43" t="str">
        <f t="shared" si="0"/>
        <v>CAPA-12008</v>
      </c>
      <c r="B9" s="43" t="s">
        <v>63</v>
      </c>
      <c r="C9" s="43">
        <v>40078062</v>
      </c>
      <c r="D9" s="43" t="s">
        <v>202</v>
      </c>
      <c r="E9" s="102">
        <v>45663</v>
      </c>
    </row>
    <row r="10" spans="1:5" ht="28.8" x14ac:dyDescent="0.3">
      <c r="A10" s="43" t="str">
        <f t="shared" si="0"/>
        <v>CAPA-12009</v>
      </c>
      <c r="B10" s="43" t="s">
        <v>65</v>
      </c>
      <c r="C10" s="43">
        <v>44341167</v>
      </c>
      <c r="D10" s="43" t="s">
        <v>202</v>
      </c>
      <c r="E10" s="102">
        <v>45663</v>
      </c>
    </row>
    <row r="11" spans="1:5" ht="28.8" x14ac:dyDescent="0.3">
      <c r="A11" s="43" t="str">
        <f t="shared" si="0"/>
        <v>CAPA-12010</v>
      </c>
      <c r="B11" s="43" t="s">
        <v>66</v>
      </c>
      <c r="C11" s="43">
        <v>7492620</v>
      </c>
      <c r="D11" s="43" t="s">
        <v>202</v>
      </c>
      <c r="E11" s="102">
        <v>45663</v>
      </c>
    </row>
    <row r="12" spans="1:5" ht="28.8" x14ac:dyDescent="0.3">
      <c r="A12" s="43" t="str">
        <f t="shared" si="0"/>
        <v>CAPA-12011</v>
      </c>
      <c r="B12" s="43" t="s">
        <v>67</v>
      </c>
      <c r="C12" s="43">
        <v>40185160</v>
      </c>
      <c r="D12" s="43" t="s">
        <v>202</v>
      </c>
      <c r="E12" s="102">
        <v>45663</v>
      </c>
    </row>
    <row r="13" spans="1:5" ht="28.8" x14ac:dyDescent="0.3">
      <c r="A13" s="43" t="str">
        <f t="shared" si="0"/>
        <v>CAPA-12012</v>
      </c>
      <c r="B13" s="43" t="s">
        <v>68</v>
      </c>
      <c r="C13" s="43">
        <v>74053510</v>
      </c>
      <c r="D13" s="43" t="s">
        <v>202</v>
      </c>
      <c r="E13" s="102">
        <v>45663</v>
      </c>
    </row>
    <row r="14" spans="1:5" ht="28.8" x14ac:dyDescent="0.3">
      <c r="A14" s="43" t="str">
        <f t="shared" si="0"/>
        <v>CAPA-12013</v>
      </c>
      <c r="B14" s="43" t="s">
        <v>69</v>
      </c>
      <c r="C14" s="43">
        <v>10003815</v>
      </c>
      <c r="D14" s="43" t="s">
        <v>202</v>
      </c>
      <c r="E14" s="102">
        <v>45663</v>
      </c>
    </row>
    <row r="15" spans="1:5" ht="28.8" x14ac:dyDescent="0.3">
      <c r="A15" s="43" t="str">
        <f t="shared" si="0"/>
        <v>CAPA-12014</v>
      </c>
      <c r="B15" s="43" t="s">
        <v>70</v>
      </c>
      <c r="C15" s="43">
        <v>45666630</v>
      </c>
      <c r="D15" s="43" t="s">
        <v>202</v>
      </c>
      <c r="E15" s="102">
        <v>45663</v>
      </c>
    </row>
    <row r="16" spans="1:5" ht="28.8" x14ac:dyDescent="0.3">
      <c r="A16" s="43" t="str">
        <f t="shared" si="0"/>
        <v>CAPA-12015</v>
      </c>
      <c r="B16" s="43" t="s">
        <v>71</v>
      </c>
      <c r="C16" s="43">
        <v>43532414</v>
      </c>
      <c r="D16" s="43" t="s">
        <v>202</v>
      </c>
      <c r="E16" s="102">
        <v>45663</v>
      </c>
    </row>
    <row r="17" spans="1:5" ht="28.8" x14ac:dyDescent="0.3">
      <c r="A17" s="43" t="str">
        <f t="shared" si="0"/>
        <v>CAPA-12016</v>
      </c>
      <c r="B17" s="43" t="s">
        <v>72</v>
      </c>
      <c r="C17" s="43">
        <v>42566193</v>
      </c>
      <c r="D17" s="43" t="s">
        <v>202</v>
      </c>
      <c r="E17" s="102">
        <v>45663</v>
      </c>
    </row>
    <row r="18" spans="1:5" ht="28.8" x14ac:dyDescent="0.3">
      <c r="A18" s="43" t="str">
        <f t="shared" si="0"/>
        <v>CAPA-12017</v>
      </c>
      <c r="B18" s="43" t="s">
        <v>73</v>
      </c>
      <c r="C18" s="43">
        <v>80655727</v>
      </c>
      <c r="D18" s="43" t="s">
        <v>202</v>
      </c>
      <c r="E18" s="102">
        <v>45663</v>
      </c>
    </row>
    <row r="19" spans="1:5" ht="28.8" x14ac:dyDescent="0.3">
      <c r="A19" s="43" t="str">
        <f t="shared" si="0"/>
        <v>CAPA-12018</v>
      </c>
      <c r="B19" s="43" t="s">
        <v>77</v>
      </c>
      <c r="C19" s="43">
        <v>43721758</v>
      </c>
      <c r="D19" s="43" t="s">
        <v>202</v>
      </c>
      <c r="E19" s="102">
        <v>45663</v>
      </c>
    </row>
    <row r="20" spans="1:5" ht="43.2" x14ac:dyDescent="0.3">
      <c r="A20" s="43" t="str">
        <f t="shared" si="0"/>
        <v>CAPA-12019</v>
      </c>
      <c r="B20" s="43" t="s">
        <v>78</v>
      </c>
      <c r="C20" s="43">
        <v>80614566</v>
      </c>
      <c r="D20" s="43" t="s">
        <v>202</v>
      </c>
      <c r="E20" s="102">
        <v>45663</v>
      </c>
    </row>
    <row r="21" spans="1:5" ht="28.8" x14ac:dyDescent="0.3">
      <c r="A21" s="43" t="str">
        <f t="shared" si="0"/>
        <v>CAPA-12020</v>
      </c>
      <c r="B21" s="43" t="s">
        <v>79</v>
      </c>
      <c r="C21" s="43">
        <v>74383848</v>
      </c>
      <c r="D21" s="43" t="s">
        <v>202</v>
      </c>
      <c r="E21" s="102">
        <v>45663</v>
      </c>
    </row>
    <row r="22" spans="1:5" ht="28.8" x14ac:dyDescent="0.3">
      <c r="A22" s="43" t="str">
        <f t="shared" si="0"/>
        <v>CAPA-12021</v>
      </c>
      <c r="B22" s="43" t="s">
        <v>80</v>
      </c>
      <c r="C22" s="43">
        <v>40520258</v>
      </c>
      <c r="D22" s="43" t="s">
        <v>202</v>
      </c>
      <c r="E22" s="102">
        <v>45663</v>
      </c>
    </row>
    <row r="23" spans="1:5" ht="28.8" x14ac:dyDescent="0.3">
      <c r="A23" s="43" t="str">
        <f t="shared" si="0"/>
        <v>CAPA-12022</v>
      </c>
      <c r="B23" s="43" t="s">
        <v>81</v>
      </c>
      <c r="C23" s="43">
        <v>10707673</v>
      </c>
      <c r="D23" s="43" t="s">
        <v>202</v>
      </c>
      <c r="E23" s="102">
        <v>45663</v>
      </c>
    </row>
    <row r="24" spans="1:5" ht="43.2" x14ac:dyDescent="0.3">
      <c r="A24" s="43" t="str">
        <f t="shared" si="0"/>
        <v>CAPA-12023</v>
      </c>
      <c r="B24" s="43" t="s">
        <v>82</v>
      </c>
      <c r="C24" s="43">
        <v>7490202</v>
      </c>
      <c r="D24" s="43" t="s">
        <v>202</v>
      </c>
      <c r="E24" s="102">
        <v>45663</v>
      </c>
    </row>
    <row r="25" spans="1:5" ht="28.8" x14ac:dyDescent="0.3">
      <c r="A25" s="43" t="str">
        <f t="shared" si="0"/>
        <v>CAPA-12024</v>
      </c>
      <c r="B25" s="43" t="s">
        <v>83</v>
      </c>
      <c r="C25" s="43">
        <v>70035974</v>
      </c>
      <c r="D25" s="43" t="s">
        <v>202</v>
      </c>
      <c r="E25" s="102">
        <v>45663</v>
      </c>
    </row>
    <row r="26" spans="1:5" ht="28.8" x14ac:dyDescent="0.3">
      <c r="A26" s="43" t="str">
        <f t="shared" si="0"/>
        <v>CAPA-12025</v>
      </c>
      <c r="B26" s="43" t="s">
        <v>84</v>
      </c>
      <c r="C26" s="43">
        <v>43881306</v>
      </c>
      <c r="D26" s="43" t="s">
        <v>202</v>
      </c>
      <c r="E26" s="102">
        <v>45663</v>
      </c>
    </row>
    <row r="27" spans="1:5" ht="28.8" x14ac:dyDescent="0.3">
      <c r="A27" s="43" t="str">
        <f t="shared" si="0"/>
        <v>CAPA-12026</v>
      </c>
      <c r="B27" s="43" t="s">
        <v>85</v>
      </c>
      <c r="C27" s="43">
        <v>8889450</v>
      </c>
      <c r="D27" s="43" t="s">
        <v>202</v>
      </c>
      <c r="E27" s="102">
        <v>45663</v>
      </c>
    </row>
    <row r="28" spans="1:5" ht="28.8" x14ac:dyDescent="0.3">
      <c r="A28" s="43" t="str">
        <f t="shared" si="0"/>
        <v>CAPA-12027</v>
      </c>
      <c r="B28" s="43" t="s">
        <v>86</v>
      </c>
      <c r="C28" s="43">
        <v>71141780</v>
      </c>
      <c r="D28" s="43" t="s">
        <v>202</v>
      </c>
      <c r="E28" s="102">
        <v>45663</v>
      </c>
    </row>
    <row r="29" spans="1:5" x14ac:dyDescent="0.3">
      <c r="A29" s="43" t="str">
        <f t="shared" si="0"/>
        <v>CAPA-12028</v>
      </c>
      <c r="B29" s="43" t="s">
        <v>87</v>
      </c>
      <c r="C29" s="43">
        <v>9782532</v>
      </c>
      <c r="D29" s="43" t="s">
        <v>202</v>
      </c>
      <c r="E29" s="102">
        <v>45663</v>
      </c>
    </row>
    <row r="30" spans="1:5" ht="28.8" x14ac:dyDescent="0.3">
      <c r="A30" s="43" t="str">
        <f t="shared" si="0"/>
        <v>CAPA-12029</v>
      </c>
      <c r="B30" s="43" t="s">
        <v>88</v>
      </c>
      <c r="C30" s="43">
        <v>74410186</v>
      </c>
      <c r="D30" s="43" t="s">
        <v>202</v>
      </c>
      <c r="E30" s="102">
        <v>45663</v>
      </c>
    </row>
    <row r="31" spans="1:5" ht="28.8" x14ac:dyDescent="0.3">
      <c r="A31" s="43" t="str">
        <f t="shared" si="0"/>
        <v>CAPA-12030</v>
      </c>
      <c r="B31" s="43" t="s">
        <v>89</v>
      </c>
      <c r="C31" s="43">
        <v>43193551</v>
      </c>
      <c r="D31" s="43" t="s">
        <v>202</v>
      </c>
      <c r="E31" s="102">
        <v>45663</v>
      </c>
    </row>
    <row r="32" spans="1:5" ht="28.8" x14ac:dyDescent="0.3">
      <c r="A32" s="43" t="str">
        <f t="shared" si="0"/>
        <v>CAPA-12031</v>
      </c>
      <c r="B32" s="43" t="s">
        <v>90</v>
      </c>
      <c r="C32" s="43">
        <v>9004579</v>
      </c>
      <c r="D32" s="43" t="s">
        <v>202</v>
      </c>
      <c r="E32" s="102">
        <v>45663</v>
      </c>
    </row>
    <row r="33" spans="1:5" ht="28.8" x14ac:dyDescent="0.3">
      <c r="A33" s="43" t="str">
        <f t="shared" si="0"/>
        <v>CAPA-12032</v>
      </c>
      <c r="B33" s="43" t="s">
        <v>91</v>
      </c>
      <c r="C33" s="43">
        <v>41641826</v>
      </c>
      <c r="D33" s="43" t="s">
        <v>202</v>
      </c>
      <c r="E33" s="102">
        <v>45663</v>
      </c>
    </row>
    <row r="34" spans="1:5" ht="28.8" x14ac:dyDescent="0.3">
      <c r="A34" s="43" t="str">
        <f t="shared" si="0"/>
        <v>CAPA-12033</v>
      </c>
      <c r="B34" s="43" t="s">
        <v>92</v>
      </c>
      <c r="C34" s="43">
        <v>46094662</v>
      </c>
      <c r="D34" s="43" t="s">
        <v>202</v>
      </c>
      <c r="E34" s="102">
        <v>45663</v>
      </c>
    </row>
    <row r="35" spans="1:5" ht="43.2" x14ac:dyDescent="0.3">
      <c r="A35" s="43" t="str">
        <f t="shared" si="0"/>
        <v>CAPA-12034</v>
      </c>
      <c r="B35" s="43" t="s">
        <v>93</v>
      </c>
      <c r="C35" s="43">
        <v>47810288</v>
      </c>
      <c r="D35" s="43" t="s">
        <v>202</v>
      </c>
      <c r="E35" s="102">
        <v>45663</v>
      </c>
    </row>
    <row r="36" spans="1:5" ht="28.8" x14ac:dyDescent="0.3">
      <c r="A36" s="43" t="str">
        <f t="shared" si="0"/>
        <v>CAPA-12035</v>
      </c>
      <c r="B36" s="43" t="s">
        <v>94</v>
      </c>
      <c r="C36" s="43">
        <v>45754041</v>
      </c>
      <c r="D36" s="43" t="s">
        <v>202</v>
      </c>
      <c r="E36" s="102">
        <v>45663</v>
      </c>
    </row>
    <row r="37" spans="1:5" ht="28.8" x14ac:dyDescent="0.3">
      <c r="A37" s="43" t="str">
        <f t="shared" si="0"/>
        <v>CAPA-12036</v>
      </c>
      <c r="B37" s="43" t="s">
        <v>95</v>
      </c>
      <c r="C37" s="43">
        <v>47808243</v>
      </c>
      <c r="D37" s="43" t="s">
        <v>202</v>
      </c>
      <c r="E37" s="102">
        <v>45663</v>
      </c>
    </row>
    <row r="38" spans="1:5" ht="28.8" x14ac:dyDescent="0.3">
      <c r="A38" s="43" t="str">
        <f t="shared" si="0"/>
        <v>CAPA-12037</v>
      </c>
      <c r="B38" s="43" t="s">
        <v>96</v>
      </c>
      <c r="C38" s="43">
        <v>5301593</v>
      </c>
      <c r="D38" s="43" t="s">
        <v>202</v>
      </c>
      <c r="E38" s="102">
        <v>45663</v>
      </c>
    </row>
    <row r="39" spans="1:5" ht="28.8" x14ac:dyDescent="0.3">
      <c r="A39" s="43" t="str">
        <f t="shared" si="0"/>
        <v>CAPA-12038</v>
      </c>
      <c r="B39" s="43" t="s">
        <v>97</v>
      </c>
      <c r="C39" s="43">
        <v>44829142</v>
      </c>
      <c r="D39" s="43" t="s">
        <v>202</v>
      </c>
      <c r="E39" s="102">
        <v>45663</v>
      </c>
    </row>
    <row r="40" spans="1:5" ht="28.8" x14ac:dyDescent="0.3">
      <c r="A40" s="43" t="str">
        <f t="shared" si="0"/>
        <v>CAPA-12039</v>
      </c>
      <c r="B40" s="43" t="s">
        <v>98</v>
      </c>
      <c r="C40" s="43">
        <v>46772481</v>
      </c>
      <c r="D40" s="43" t="s">
        <v>202</v>
      </c>
      <c r="E40" s="102">
        <v>45663</v>
      </c>
    </row>
    <row r="41" spans="1:5" ht="28.8" x14ac:dyDescent="0.3">
      <c r="A41" s="43" t="str">
        <f t="shared" si="0"/>
        <v>CAPA-12040</v>
      </c>
      <c r="B41" s="43" t="s">
        <v>99</v>
      </c>
      <c r="C41" s="43">
        <v>21843176</v>
      </c>
      <c r="D41" s="43" t="s">
        <v>202</v>
      </c>
      <c r="E41" s="102">
        <v>45663</v>
      </c>
    </row>
    <row r="42" spans="1:5" ht="28.8" x14ac:dyDescent="0.3">
      <c r="A42" s="43" t="str">
        <f t="shared" ref="A42:A73" si="1">IF(B42&lt;&gt;"", "CAPA-" &amp; TEXT(12000 + ROW(A42) - 1, "0000"), "")</f>
        <v>CAPA-12041</v>
      </c>
      <c r="B42" s="43" t="s">
        <v>314</v>
      </c>
      <c r="C42" s="43">
        <v>74046340</v>
      </c>
      <c r="D42" s="43" t="s">
        <v>608</v>
      </c>
      <c r="E42" s="102">
        <v>46063</v>
      </c>
    </row>
    <row r="43" spans="1:5" ht="28.8" x14ac:dyDescent="0.3">
      <c r="A43" s="43" t="str">
        <f t="shared" si="1"/>
        <v>CAPA-12042</v>
      </c>
      <c r="B43" s="43" t="s">
        <v>315</v>
      </c>
      <c r="C43" s="43">
        <v>74842142</v>
      </c>
      <c r="D43" s="43" t="s">
        <v>608</v>
      </c>
      <c r="E43" s="102">
        <v>46063</v>
      </c>
    </row>
    <row r="44" spans="1:5" ht="28.8" x14ac:dyDescent="0.3">
      <c r="A44" s="43" t="str">
        <f t="shared" si="1"/>
        <v>CAPA-12043</v>
      </c>
      <c r="B44" s="43" t="s">
        <v>316</v>
      </c>
      <c r="C44" s="43">
        <v>43493102</v>
      </c>
      <c r="D44" s="43" t="s">
        <v>608</v>
      </c>
      <c r="E44" s="102">
        <v>46063</v>
      </c>
    </row>
    <row r="45" spans="1:5" ht="43.2" x14ac:dyDescent="0.3">
      <c r="A45" s="43" t="str">
        <f t="shared" si="1"/>
        <v>CAPA-12044</v>
      </c>
      <c r="B45" s="43" t="s">
        <v>317</v>
      </c>
      <c r="C45" s="43">
        <v>73190928</v>
      </c>
      <c r="D45" s="43" t="s">
        <v>608</v>
      </c>
      <c r="E45" s="102">
        <v>46063</v>
      </c>
    </row>
    <row r="46" spans="1:5" ht="28.8" x14ac:dyDescent="0.3">
      <c r="A46" s="43" t="str">
        <f t="shared" si="1"/>
        <v>CAPA-12045</v>
      </c>
      <c r="B46" s="43" t="s">
        <v>318</v>
      </c>
      <c r="C46" s="43">
        <v>7658651</v>
      </c>
      <c r="D46" s="43" t="s">
        <v>608</v>
      </c>
      <c r="E46" s="102">
        <v>46063</v>
      </c>
    </row>
    <row r="47" spans="1:5" ht="28.8" x14ac:dyDescent="0.3">
      <c r="A47" s="43" t="str">
        <f t="shared" si="1"/>
        <v>CAPA-12046</v>
      </c>
      <c r="B47" s="43" t="s">
        <v>319</v>
      </c>
      <c r="C47" s="43">
        <v>72529893</v>
      </c>
      <c r="D47" s="43" t="s">
        <v>608</v>
      </c>
      <c r="E47" s="102">
        <v>46063</v>
      </c>
    </row>
    <row r="48" spans="1:5" ht="28.8" x14ac:dyDescent="0.3">
      <c r="A48" s="43" t="str">
        <f t="shared" si="1"/>
        <v>CAPA-12047</v>
      </c>
      <c r="B48" s="43" t="s">
        <v>320</v>
      </c>
      <c r="C48" s="43">
        <v>10664050</v>
      </c>
      <c r="D48" s="43" t="s">
        <v>608</v>
      </c>
      <c r="E48" s="102">
        <v>46063</v>
      </c>
    </row>
    <row r="49" spans="1:5" ht="43.2" x14ac:dyDescent="0.3">
      <c r="A49" s="43" t="str">
        <f t="shared" si="1"/>
        <v>CAPA-12048</v>
      </c>
      <c r="B49" s="43" t="s">
        <v>321</v>
      </c>
      <c r="C49" s="43">
        <v>71427351</v>
      </c>
      <c r="D49" s="43" t="s">
        <v>608</v>
      </c>
      <c r="E49" s="102">
        <v>46063</v>
      </c>
    </row>
    <row r="50" spans="1:5" ht="43.2" x14ac:dyDescent="0.3">
      <c r="A50" s="43" t="str">
        <f t="shared" si="1"/>
        <v>CAPA-12049</v>
      </c>
      <c r="B50" s="43" t="s">
        <v>322</v>
      </c>
      <c r="C50" s="43">
        <v>71878076</v>
      </c>
      <c r="D50" s="43" t="s">
        <v>608</v>
      </c>
      <c r="E50" s="102">
        <v>46063</v>
      </c>
    </row>
    <row r="51" spans="1:5" ht="28.8" x14ac:dyDescent="0.3">
      <c r="A51" s="43" t="str">
        <f t="shared" si="1"/>
        <v>CAPA-12050</v>
      </c>
      <c r="B51" s="43" t="s">
        <v>323</v>
      </c>
      <c r="C51" s="43">
        <v>45503329</v>
      </c>
      <c r="D51" s="43" t="s">
        <v>608</v>
      </c>
      <c r="E51" s="102">
        <v>46063</v>
      </c>
    </row>
    <row r="52" spans="1:5" ht="28.8" x14ac:dyDescent="0.3">
      <c r="A52" s="43" t="str">
        <f t="shared" si="1"/>
        <v>CAPA-12051</v>
      </c>
      <c r="B52" s="43" t="s">
        <v>575</v>
      </c>
      <c r="C52" s="43">
        <v>20901410</v>
      </c>
      <c r="D52" s="43" t="s">
        <v>608</v>
      </c>
      <c r="E52" s="102">
        <v>46063</v>
      </c>
    </row>
    <row r="53" spans="1:5" ht="28.8" x14ac:dyDescent="0.3">
      <c r="A53" s="43" t="str">
        <f t="shared" si="1"/>
        <v>CAPA-12052</v>
      </c>
      <c r="B53" s="43" t="s">
        <v>324</v>
      </c>
      <c r="C53" s="43">
        <v>45977070</v>
      </c>
      <c r="D53" s="43" t="s">
        <v>608</v>
      </c>
      <c r="E53" s="102">
        <v>46063</v>
      </c>
    </row>
    <row r="54" spans="1:5" ht="28.8" x14ac:dyDescent="0.3">
      <c r="A54" s="43" t="str">
        <f t="shared" si="1"/>
        <v>CAPA-12053</v>
      </c>
      <c r="B54" s="43" t="s">
        <v>325</v>
      </c>
      <c r="C54" s="43">
        <v>6794299</v>
      </c>
      <c r="D54" s="43" t="s">
        <v>608</v>
      </c>
      <c r="E54" s="102">
        <v>46063</v>
      </c>
    </row>
    <row r="55" spans="1:5" ht="28.8" x14ac:dyDescent="0.3">
      <c r="A55" s="43" t="str">
        <f t="shared" si="1"/>
        <v>CAPA-12054</v>
      </c>
      <c r="B55" s="43" t="s">
        <v>326</v>
      </c>
      <c r="C55" s="43">
        <v>74880419</v>
      </c>
      <c r="D55" s="43" t="s">
        <v>608</v>
      </c>
      <c r="E55" s="102">
        <v>46063</v>
      </c>
    </row>
    <row r="56" spans="1:5" ht="28.8" x14ac:dyDescent="0.3">
      <c r="A56" s="43" t="str">
        <f t="shared" si="1"/>
        <v>CAPA-12055</v>
      </c>
      <c r="B56" s="43" t="s">
        <v>327</v>
      </c>
      <c r="C56" s="43">
        <v>42010010</v>
      </c>
      <c r="D56" s="43" t="s">
        <v>608</v>
      </c>
      <c r="E56" s="102">
        <v>46063</v>
      </c>
    </row>
    <row r="57" spans="1:5" ht="28.8" x14ac:dyDescent="0.3">
      <c r="A57" s="43" t="str">
        <f t="shared" si="1"/>
        <v>CAPA-12056</v>
      </c>
      <c r="B57" s="43" t="s">
        <v>576</v>
      </c>
      <c r="C57" s="43">
        <v>41284268</v>
      </c>
      <c r="D57" s="43" t="s">
        <v>608</v>
      </c>
      <c r="E57" s="102">
        <v>46063</v>
      </c>
    </row>
    <row r="58" spans="1:5" ht="28.8" x14ac:dyDescent="0.3">
      <c r="A58" s="43" t="str">
        <f t="shared" si="1"/>
        <v>CAPA-12057</v>
      </c>
      <c r="B58" s="43" t="s">
        <v>577</v>
      </c>
      <c r="C58" s="43">
        <v>9545053</v>
      </c>
      <c r="D58" s="43" t="s">
        <v>608</v>
      </c>
      <c r="E58" s="102">
        <v>46063</v>
      </c>
    </row>
    <row r="59" spans="1:5" ht="28.8" x14ac:dyDescent="0.3">
      <c r="A59" s="43" t="str">
        <f t="shared" si="1"/>
        <v>CAPA-12058</v>
      </c>
      <c r="B59" s="43" t="s">
        <v>328</v>
      </c>
      <c r="C59" s="43">
        <v>48348234</v>
      </c>
      <c r="D59" s="43" t="s">
        <v>608</v>
      </c>
      <c r="E59" s="102">
        <v>46063</v>
      </c>
    </row>
    <row r="60" spans="1:5" ht="43.2" x14ac:dyDescent="0.3">
      <c r="A60" s="43" t="str">
        <f t="shared" si="1"/>
        <v>CAPA-12059</v>
      </c>
      <c r="B60" s="43" t="s">
        <v>329</v>
      </c>
      <c r="C60" s="43">
        <v>72954104</v>
      </c>
      <c r="D60" s="43" t="s">
        <v>608</v>
      </c>
      <c r="E60" s="102">
        <v>46063</v>
      </c>
    </row>
    <row r="61" spans="1:5" ht="28.8" x14ac:dyDescent="0.3">
      <c r="A61" s="43" t="str">
        <f t="shared" si="1"/>
        <v>CAPA-12060</v>
      </c>
      <c r="B61" s="43" t="s">
        <v>330</v>
      </c>
      <c r="C61" s="43">
        <v>9059960</v>
      </c>
      <c r="D61" s="43" t="s">
        <v>608</v>
      </c>
      <c r="E61" s="102">
        <v>46063</v>
      </c>
    </row>
    <row r="62" spans="1:5" ht="28.8" x14ac:dyDescent="0.3">
      <c r="A62" s="43" t="str">
        <f t="shared" si="1"/>
        <v>CAPA-12061</v>
      </c>
      <c r="B62" s="43" t="s">
        <v>331</v>
      </c>
      <c r="C62" s="43">
        <v>42021229</v>
      </c>
      <c r="D62" s="43" t="s">
        <v>608</v>
      </c>
      <c r="E62" s="102">
        <v>46063</v>
      </c>
    </row>
    <row r="63" spans="1:5" ht="28.8" x14ac:dyDescent="0.3">
      <c r="A63" s="43" t="str">
        <f t="shared" si="1"/>
        <v>CAPA-12062</v>
      </c>
      <c r="B63" s="43" t="s">
        <v>332</v>
      </c>
      <c r="C63" s="43">
        <v>75854632</v>
      </c>
      <c r="D63" s="43" t="s">
        <v>608</v>
      </c>
      <c r="E63" s="102">
        <v>46063</v>
      </c>
    </row>
    <row r="64" spans="1:5" ht="28.8" x14ac:dyDescent="0.3">
      <c r="A64" s="43" t="str">
        <f t="shared" si="1"/>
        <v>CAPA-12063</v>
      </c>
      <c r="B64" s="43" t="s">
        <v>333</v>
      </c>
      <c r="C64" s="43">
        <v>47876235</v>
      </c>
      <c r="D64" s="43" t="s">
        <v>608</v>
      </c>
      <c r="E64" s="102">
        <v>46063</v>
      </c>
    </row>
    <row r="65" spans="1:5" ht="28.8" x14ac:dyDescent="0.3">
      <c r="A65" s="43" t="str">
        <f t="shared" si="1"/>
        <v>CAPA-12064</v>
      </c>
      <c r="B65" s="43" t="s">
        <v>334</v>
      </c>
      <c r="C65" s="43">
        <v>45798528</v>
      </c>
      <c r="D65" s="43" t="s">
        <v>608</v>
      </c>
      <c r="E65" s="102">
        <v>46063</v>
      </c>
    </row>
    <row r="66" spans="1:5" ht="28.8" x14ac:dyDescent="0.3">
      <c r="A66" s="43" t="str">
        <f t="shared" si="1"/>
        <v>CAPA-12065</v>
      </c>
      <c r="B66" s="43" t="s">
        <v>335</v>
      </c>
      <c r="C66" s="43">
        <v>9943578</v>
      </c>
      <c r="D66" s="43" t="s">
        <v>608</v>
      </c>
      <c r="E66" s="102">
        <v>46063</v>
      </c>
    </row>
    <row r="67" spans="1:5" ht="28.8" x14ac:dyDescent="0.3">
      <c r="A67" s="43" t="str">
        <f t="shared" si="1"/>
        <v>CAPA-12066</v>
      </c>
      <c r="B67" s="43" t="s">
        <v>336</v>
      </c>
      <c r="C67" s="43">
        <v>43119608</v>
      </c>
      <c r="D67" s="43" t="s">
        <v>608</v>
      </c>
      <c r="E67" s="102">
        <v>46063</v>
      </c>
    </row>
    <row r="68" spans="1:5" ht="28.8" x14ac:dyDescent="0.3">
      <c r="A68" s="43" t="str">
        <f t="shared" si="1"/>
        <v>CAPA-12067</v>
      </c>
      <c r="B68" s="43" t="s">
        <v>337</v>
      </c>
      <c r="C68" s="43">
        <v>46201268</v>
      </c>
      <c r="D68" s="43" t="s">
        <v>608</v>
      </c>
      <c r="E68" s="102">
        <v>46063</v>
      </c>
    </row>
    <row r="69" spans="1:5" ht="28.8" x14ac:dyDescent="0.3">
      <c r="A69" s="43" t="str">
        <f t="shared" si="1"/>
        <v>CAPA-12068</v>
      </c>
      <c r="B69" s="43" t="s">
        <v>338</v>
      </c>
      <c r="C69" s="43">
        <v>44848085</v>
      </c>
      <c r="D69" s="43" t="s">
        <v>608</v>
      </c>
      <c r="E69" s="102">
        <v>46063</v>
      </c>
    </row>
    <row r="70" spans="1:5" ht="28.8" x14ac:dyDescent="0.3">
      <c r="A70" s="43" t="str">
        <f t="shared" si="1"/>
        <v>CAPA-12069</v>
      </c>
      <c r="B70" s="43" t="s">
        <v>339</v>
      </c>
      <c r="C70" s="43">
        <v>76126043</v>
      </c>
      <c r="D70" s="43" t="s">
        <v>608</v>
      </c>
      <c r="E70" s="102">
        <v>46063</v>
      </c>
    </row>
    <row r="71" spans="1:5" ht="28.8" x14ac:dyDescent="0.3">
      <c r="A71" s="43" t="str">
        <f t="shared" si="1"/>
        <v>CAPA-12070</v>
      </c>
      <c r="B71" s="43" t="s">
        <v>340</v>
      </c>
      <c r="C71" s="43">
        <v>7499832</v>
      </c>
      <c r="D71" s="43" t="s">
        <v>608</v>
      </c>
      <c r="E71" s="102">
        <v>46063</v>
      </c>
    </row>
    <row r="72" spans="1:5" ht="28.8" x14ac:dyDescent="0.3">
      <c r="A72" s="43" t="str">
        <f t="shared" si="1"/>
        <v>CAPA-12071</v>
      </c>
      <c r="B72" s="43" t="s">
        <v>341</v>
      </c>
      <c r="C72" s="43">
        <v>76502350</v>
      </c>
      <c r="D72" s="43" t="s">
        <v>608</v>
      </c>
      <c r="E72" s="102">
        <v>46063</v>
      </c>
    </row>
    <row r="73" spans="1:5" ht="28.8" x14ac:dyDescent="0.3">
      <c r="A73" s="43" t="str">
        <f t="shared" si="1"/>
        <v>CAPA-12072</v>
      </c>
      <c r="B73" s="43" t="s">
        <v>342</v>
      </c>
      <c r="C73" s="43">
        <v>48162112</v>
      </c>
      <c r="D73" s="43" t="s">
        <v>608</v>
      </c>
      <c r="E73" s="102">
        <v>46063</v>
      </c>
    </row>
    <row r="74" spans="1:5" ht="28.8" x14ac:dyDescent="0.3">
      <c r="A74" s="43" t="str">
        <f t="shared" ref="A74:A105" si="2">IF(B74&lt;&gt;"", "CAPA-" &amp; TEXT(12000 + ROW(A74) - 1, "0000"), "")</f>
        <v>CAPA-12073</v>
      </c>
      <c r="B74" s="43" t="s">
        <v>343</v>
      </c>
      <c r="C74" s="43">
        <v>8754584</v>
      </c>
      <c r="D74" s="43" t="s">
        <v>608</v>
      </c>
      <c r="E74" s="102">
        <v>46063</v>
      </c>
    </row>
    <row r="75" spans="1:5" ht="28.8" x14ac:dyDescent="0.3">
      <c r="A75" s="43" t="str">
        <f t="shared" si="2"/>
        <v>CAPA-12074</v>
      </c>
      <c r="B75" s="43" t="s">
        <v>344</v>
      </c>
      <c r="C75" s="43">
        <v>44125562</v>
      </c>
      <c r="D75" s="43" t="s">
        <v>608</v>
      </c>
      <c r="E75" s="102">
        <v>46063</v>
      </c>
    </row>
    <row r="76" spans="1:5" ht="28.8" x14ac:dyDescent="0.3">
      <c r="A76" s="43" t="str">
        <f t="shared" si="2"/>
        <v>CAPA-12075</v>
      </c>
      <c r="B76" s="43" t="s">
        <v>345</v>
      </c>
      <c r="C76" s="43">
        <v>73340067</v>
      </c>
      <c r="D76" s="43" t="s">
        <v>608</v>
      </c>
      <c r="E76" s="102">
        <v>46063</v>
      </c>
    </row>
    <row r="77" spans="1:5" ht="28.8" x14ac:dyDescent="0.3">
      <c r="A77" s="43" t="str">
        <f t="shared" si="2"/>
        <v>CAPA-12076</v>
      </c>
      <c r="B77" s="43" t="s">
        <v>346</v>
      </c>
      <c r="C77" s="43">
        <v>3496246</v>
      </c>
      <c r="D77" s="43" t="s">
        <v>608</v>
      </c>
      <c r="E77" s="102">
        <v>46063</v>
      </c>
    </row>
    <row r="78" spans="1:5" ht="28.8" x14ac:dyDescent="0.3">
      <c r="A78" s="43" t="str">
        <f t="shared" si="2"/>
        <v>CAPA-12077</v>
      </c>
      <c r="B78" s="43" t="s">
        <v>578</v>
      </c>
      <c r="C78" s="43">
        <v>70346273</v>
      </c>
      <c r="D78" s="43" t="s">
        <v>608</v>
      </c>
      <c r="E78" s="102">
        <v>46063</v>
      </c>
    </row>
    <row r="79" spans="1:5" ht="28.8" x14ac:dyDescent="0.3">
      <c r="A79" s="43" t="str">
        <f t="shared" si="2"/>
        <v>CAPA-12078</v>
      </c>
      <c r="B79" s="43" t="s">
        <v>347</v>
      </c>
      <c r="C79" s="43">
        <v>70346272</v>
      </c>
      <c r="D79" s="43" t="s">
        <v>608</v>
      </c>
      <c r="E79" s="102">
        <v>46063</v>
      </c>
    </row>
    <row r="80" spans="1:5" ht="28.8" x14ac:dyDescent="0.3">
      <c r="A80" s="43" t="str">
        <f t="shared" si="2"/>
        <v>CAPA-12079</v>
      </c>
      <c r="B80" s="43" t="s">
        <v>348</v>
      </c>
      <c r="C80" s="43">
        <v>73671729</v>
      </c>
      <c r="D80" s="43" t="s">
        <v>608</v>
      </c>
      <c r="E80" s="102">
        <v>46063</v>
      </c>
    </row>
    <row r="81" spans="1:5" ht="28.8" x14ac:dyDescent="0.3">
      <c r="A81" s="43" t="str">
        <f t="shared" si="2"/>
        <v>CAPA-12080</v>
      </c>
      <c r="B81" s="43" t="s">
        <v>349</v>
      </c>
      <c r="C81" s="43">
        <v>6772102</v>
      </c>
      <c r="D81" s="43" t="s">
        <v>608</v>
      </c>
      <c r="E81" s="102">
        <v>46063</v>
      </c>
    </row>
    <row r="82" spans="1:5" ht="28.8" x14ac:dyDescent="0.3">
      <c r="A82" s="43" t="str">
        <f t="shared" si="2"/>
        <v>CAPA-12081</v>
      </c>
      <c r="B82" s="43" t="s">
        <v>350</v>
      </c>
      <c r="C82" s="43">
        <v>60918518</v>
      </c>
      <c r="D82" s="43" t="s">
        <v>608</v>
      </c>
      <c r="E82" s="102">
        <v>46063</v>
      </c>
    </row>
    <row r="83" spans="1:5" ht="28.8" x14ac:dyDescent="0.3">
      <c r="A83" s="43" t="str">
        <f t="shared" si="2"/>
        <v>CAPA-12082</v>
      </c>
      <c r="B83" s="43" t="s">
        <v>351</v>
      </c>
      <c r="C83" s="43">
        <v>10738339</v>
      </c>
      <c r="D83" s="43" t="s">
        <v>608</v>
      </c>
      <c r="E83" s="102">
        <v>46063</v>
      </c>
    </row>
    <row r="84" spans="1:5" ht="28.8" x14ac:dyDescent="0.3">
      <c r="A84" s="43" t="str">
        <f t="shared" si="2"/>
        <v>CAPA-12083</v>
      </c>
      <c r="B84" s="43" t="s">
        <v>352</v>
      </c>
      <c r="C84" s="43">
        <v>76638656</v>
      </c>
      <c r="D84" s="43" t="s">
        <v>608</v>
      </c>
      <c r="E84" s="102">
        <v>46063</v>
      </c>
    </row>
    <row r="85" spans="1:5" ht="28.8" x14ac:dyDescent="0.3">
      <c r="A85" s="43" t="str">
        <f t="shared" si="2"/>
        <v>CAPA-12084</v>
      </c>
      <c r="B85" s="43" t="s">
        <v>579</v>
      </c>
      <c r="C85" s="43">
        <v>43193757</v>
      </c>
      <c r="D85" s="43" t="s">
        <v>608</v>
      </c>
      <c r="E85" s="102">
        <v>46063</v>
      </c>
    </row>
    <row r="86" spans="1:5" ht="28.8" x14ac:dyDescent="0.3">
      <c r="A86" s="43" t="str">
        <f t="shared" si="2"/>
        <v>CAPA-12085</v>
      </c>
      <c r="B86" s="43" t="s">
        <v>353</v>
      </c>
      <c r="C86" s="43">
        <v>43975693</v>
      </c>
      <c r="D86" s="43" t="s">
        <v>608</v>
      </c>
      <c r="E86" s="102">
        <v>46063</v>
      </c>
    </row>
    <row r="87" spans="1:5" ht="28.8" x14ac:dyDescent="0.3">
      <c r="A87" s="43" t="str">
        <f t="shared" si="2"/>
        <v>CAPA-12086</v>
      </c>
      <c r="B87" s="43" t="s">
        <v>354</v>
      </c>
      <c r="C87" s="43">
        <v>60418300</v>
      </c>
      <c r="D87" s="43" t="s">
        <v>608</v>
      </c>
      <c r="E87" s="102">
        <v>46063</v>
      </c>
    </row>
    <row r="88" spans="1:5" ht="28.8" x14ac:dyDescent="0.3">
      <c r="A88" s="43" t="str">
        <f t="shared" si="2"/>
        <v>CAPA-12087</v>
      </c>
      <c r="B88" s="43" t="s">
        <v>355</v>
      </c>
      <c r="C88" s="43">
        <v>45957426</v>
      </c>
      <c r="D88" s="43" t="s">
        <v>608</v>
      </c>
      <c r="E88" s="102">
        <v>46063</v>
      </c>
    </row>
    <row r="89" spans="1:5" ht="28.8" x14ac:dyDescent="0.3">
      <c r="A89" s="43" t="str">
        <f t="shared" si="2"/>
        <v>CAPA-12088</v>
      </c>
      <c r="B89" s="43" t="s">
        <v>356</v>
      </c>
      <c r="C89" s="43">
        <v>10060532</v>
      </c>
      <c r="D89" s="43" t="s">
        <v>608</v>
      </c>
      <c r="E89" s="102">
        <v>46063</v>
      </c>
    </row>
    <row r="90" spans="1:5" ht="43.2" x14ac:dyDescent="0.3">
      <c r="A90" s="43" t="str">
        <f t="shared" si="2"/>
        <v>CAPA-12089</v>
      </c>
      <c r="B90" s="43" t="s">
        <v>357</v>
      </c>
      <c r="C90" s="43">
        <v>73808813</v>
      </c>
      <c r="D90" s="43" t="s">
        <v>608</v>
      </c>
      <c r="E90" s="102">
        <v>46063</v>
      </c>
    </row>
    <row r="91" spans="1:5" ht="28.8" x14ac:dyDescent="0.3">
      <c r="A91" s="43" t="str">
        <f t="shared" si="2"/>
        <v>CAPA-12090</v>
      </c>
      <c r="B91" s="43" t="s">
        <v>358</v>
      </c>
      <c r="C91" s="43">
        <v>46276514</v>
      </c>
      <c r="D91" s="43" t="s">
        <v>608</v>
      </c>
      <c r="E91" s="102">
        <v>46063</v>
      </c>
    </row>
    <row r="92" spans="1:5" ht="28.8" x14ac:dyDescent="0.3">
      <c r="A92" s="43" t="str">
        <f t="shared" si="2"/>
        <v>CAPA-12091</v>
      </c>
      <c r="B92" s="43" t="s">
        <v>359</v>
      </c>
      <c r="C92" s="43">
        <v>44839341</v>
      </c>
      <c r="D92" s="43" t="s">
        <v>608</v>
      </c>
      <c r="E92" s="102">
        <v>46063</v>
      </c>
    </row>
    <row r="93" spans="1:5" ht="28.8" x14ac:dyDescent="0.3">
      <c r="A93" s="43" t="str">
        <f t="shared" si="2"/>
        <v>CAPA-12092</v>
      </c>
      <c r="B93" s="43" t="s">
        <v>360</v>
      </c>
      <c r="C93" s="43">
        <v>70794375</v>
      </c>
      <c r="D93" s="43" t="s">
        <v>608</v>
      </c>
      <c r="E93" s="102">
        <v>46063</v>
      </c>
    </row>
    <row r="94" spans="1:5" ht="43.2" x14ac:dyDescent="0.3">
      <c r="A94" s="43" t="str">
        <f t="shared" si="2"/>
        <v>CAPA-12093</v>
      </c>
      <c r="B94" s="43" t="s">
        <v>518</v>
      </c>
      <c r="C94" s="43">
        <v>4306995</v>
      </c>
      <c r="D94" s="43" t="s">
        <v>608</v>
      </c>
      <c r="E94" s="102">
        <v>46063</v>
      </c>
    </row>
    <row r="95" spans="1:5" ht="28.8" x14ac:dyDescent="0.3">
      <c r="A95" s="43" t="str">
        <f t="shared" si="2"/>
        <v>CAPA-12094</v>
      </c>
      <c r="B95" s="43" t="s">
        <v>361</v>
      </c>
      <c r="C95" s="43">
        <v>73099801</v>
      </c>
      <c r="D95" s="43" t="s">
        <v>608</v>
      </c>
      <c r="E95" s="102">
        <v>46063</v>
      </c>
    </row>
    <row r="96" spans="1:5" ht="28.8" x14ac:dyDescent="0.3">
      <c r="A96" s="43" t="str">
        <f t="shared" si="2"/>
        <v>CAPA-12095</v>
      </c>
      <c r="B96" s="43" t="s">
        <v>362</v>
      </c>
      <c r="C96" s="43">
        <v>70346267</v>
      </c>
      <c r="D96" s="43" t="s">
        <v>608</v>
      </c>
      <c r="E96" s="102">
        <v>46063</v>
      </c>
    </row>
    <row r="97" spans="1:5" ht="28.8" x14ac:dyDescent="0.3">
      <c r="A97" s="43" t="str">
        <f t="shared" si="2"/>
        <v>CAPA-12096</v>
      </c>
      <c r="B97" s="43" t="s">
        <v>363</v>
      </c>
      <c r="C97" s="43">
        <v>47695766</v>
      </c>
      <c r="D97" s="43" t="s">
        <v>608</v>
      </c>
      <c r="E97" s="102">
        <v>46063</v>
      </c>
    </row>
    <row r="98" spans="1:5" ht="28.8" x14ac:dyDescent="0.3">
      <c r="A98" s="43" t="str">
        <f t="shared" si="2"/>
        <v>CAPA-12097</v>
      </c>
      <c r="B98" s="43" t="s">
        <v>364</v>
      </c>
      <c r="C98" s="43">
        <v>75620055</v>
      </c>
      <c r="D98" s="43" t="s">
        <v>608</v>
      </c>
      <c r="E98" s="102">
        <v>46063</v>
      </c>
    </row>
    <row r="99" spans="1:5" ht="28.8" x14ac:dyDescent="0.3">
      <c r="A99" s="43" t="str">
        <f t="shared" si="2"/>
        <v>CAPA-12098</v>
      </c>
      <c r="B99" s="43" t="s">
        <v>365</v>
      </c>
      <c r="C99" s="43">
        <v>42083682</v>
      </c>
      <c r="D99" s="43" t="s">
        <v>608</v>
      </c>
      <c r="E99" s="102">
        <v>46063</v>
      </c>
    </row>
    <row r="100" spans="1:5" ht="28.8" x14ac:dyDescent="0.3">
      <c r="A100" s="43" t="str">
        <f t="shared" si="2"/>
        <v>CAPA-12099</v>
      </c>
      <c r="B100" s="43" t="s">
        <v>366</v>
      </c>
      <c r="C100" s="43">
        <v>9655714</v>
      </c>
      <c r="D100" s="43" t="s">
        <v>608</v>
      </c>
      <c r="E100" s="102">
        <v>46063</v>
      </c>
    </row>
    <row r="101" spans="1:5" ht="28.8" x14ac:dyDescent="0.3">
      <c r="A101" s="43" t="str">
        <f t="shared" si="2"/>
        <v>CAPA-12100</v>
      </c>
      <c r="B101" s="43" t="s">
        <v>367</v>
      </c>
      <c r="C101" s="43">
        <v>47652437</v>
      </c>
      <c r="D101" s="43" t="s">
        <v>608</v>
      </c>
      <c r="E101" s="102">
        <v>46063</v>
      </c>
    </row>
    <row r="102" spans="1:5" ht="28.8" x14ac:dyDescent="0.3">
      <c r="A102" s="43" t="str">
        <f t="shared" si="2"/>
        <v>CAPA-12101</v>
      </c>
      <c r="B102" s="43" t="s">
        <v>368</v>
      </c>
      <c r="C102" s="43">
        <v>73481775</v>
      </c>
      <c r="D102" s="43" t="s">
        <v>608</v>
      </c>
      <c r="E102" s="102">
        <v>46063</v>
      </c>
    </row>
    <row r="103" spans="1:5" ht="28.8" x14ac:dyDescent="0.3">
      <c r="A103" s="43" t="str">
        <f t="shared" si="2"/>
        <v>CAPA-12102</v>
      </c>
      <c r="B103" s="43" t="s">
        <v>369</v>
      </c>
      <c r="C103" s="43">
        <v>48144866</v>
      </c>
      <c r="D103" s="43" t="s">
        <v>608</v>
      </c>
      <c r="E103" s="102">
        <v>46063</v>
      </c>
    </row>
    <row r="104" spans="1:5" ht="28.8" x14ac:dyDescent="0.3">
      <c r="A104" s="43" t="str">
        <f t="shared" si="2"/>
        <v>CAPA-12103</v>
      </c>
      <c r="B104" s="43" t="s">
        <v>510</v>
      </c>
      <c r="C104" s="43">
        <v>9073506</v>
      </c>
      <c r="D104" s="43" t="s">
        <v>608</v>
      </c>
      <c r="E104" s="102">
        <v>46063</v>
      </c>
    </row>
    <row r="105" spans="1:5" ht="28.8" x14ac:dyDescent="0.3">
      <c r="A105" s="43" t="str">
        <f t="shared" si="2"/>
        <v>CAPA-12104</v>
      </c>
      <c r="B105" s="43" t="s">
        <v>370</v>
      </c>
      <c r="C105" s="43">
        <v>433686</v>
      </c>
      <c r="D105" s="43" t="s">
        <v>608</v>
      </c>
      <c r="E105" s="102">
        <v>46063</v>
      </c>
    </row>
    <row r="106" spans="1:5" ht="28.8" x14ac:dyDescent="0.3">
      <c r="A106" s="43" t="str">
        <f t="shared" ref="A106:A137" si="3">IF(B106&lt;&gt;"", "CAPA-" &amp; TEXT(12000 + ROW(A106) - 1, "0000"), "")</f>
        <v>CAPA-12105</v>
      </c>
      <c r="B106" s="43" t="s">
        <v>371</v>
      </c>
      <c r="C106" s="43">
        <v>72759604</v>
      </c>
      <c r="D106" s="43" t="s">
        <v>608</v>
      </c>
      <c r="E106" s="102">
        <v>46063</v>
      </c>
    </row>
    <row r="107" spans="1:5" ht="28.8" x14ac:dyDescent="0.3">
      <c r="A107" s="43" t="str">
        <f t="shared" si="3"/>
        <v>CAPA-12106</v>
      </c>
      <c r="B107" s="43" t="s">
        <v>372</v>
      </c>
      <c r="C107" s="43">
        <v>45310288</v>
      </c>
      <c r="D107" s="43" t="s">
        <v>608</v>
      </c>
      <c r="E107" s="102">
        <v>46063</v>
      </c>
    </row>
    <row r="108" spans="1:5" ht="28.8" x14ac:dyDescent="0.3">
      <c r="A108" s="43" t="str">
        <f t="shared" si="3"/>
        <v>CAPA-12107</v>
      </c>
      <c r="B108" s="43" t="s">
        <v>373</v>
      </c>
      <c r="C108" s="43">
        <v>77344625</v>
      </c>
      <c r="D108" s="43" t="s">
        <v>608</v>
      </c>
      <c r="E108" s="102">
        <v>46063</v>
      </c>
    </row>
    <row r="109" spans="1:5" ht="28.8" x14ac:dyDescent="0.3">
      <c r="A109" s="43" t="str">
        <f t="shared" si="3"/>
        <v>CAPA-12108</v>
      </c>
      <c r="B109" s="43" t="s">
        <v>374</v>
      </c>
      <c r="C109" s="43">
        <v>75268060</v>
      </c>
      <c r="D109" s="43" t="s">
        <v>608</v>
      </c>
      <c r="E109" s="102">
        <v>46063</v>
      </c>
    </row>
    <row r="110" spans="1:5" ht="28.8" x14ac:dyDescent="0.3">
      <c r="A110" s="43" t="str">
        <f t="shared" si="3"/>
        <v>CAPA-12109</v>
      </c>
      <c r="B110" s="43" t="s">
        <v>375</v>
      </c>
      <c r="C110" s="43">
        <v>45144020</v>
      </c>
      <c r="D110" s="43" t="s">
        <v>608</v>
      </c>
      <c r="E110" s="102">
        <v>46063</v>
      </c>
    </row>
    <row r="111" spans="1:5" ht="28.8" x14ac:dyDescent="0.3">
      <c r="A111" s="43" t="str">
        <f t="shared" si="3"/>
        <v>CAPA-12110</v>
      </c>
      <c r="B111" s="43" t="s">
        <v>376</v>
      </c>
      <c r="C111" s="43">
        <v>10577555</v>
      </c>
      <c r="D111" s="43" t="s">
        <v>608</v>
      </c>
      <c r="E111" s="102">
        <v>46063</v>
      </c>
    </row>
    <row r="112" spans="1:5" ht="28.8" x14ac:dyDescent="0.3">
      <c r="A112" s="43" t="str">
        <f t="shared" si="3"/>
        <v>CAPA-12111</v>
      </c>
      <c r="B112" s="43" t="s">
        <v>377</v>
      </c>
      <c r="C112" s="43">
        <v>70110862</v>
      </c>
      <c r="D112" s="43" t="s">
        <v>608</v>
      </c>
      <c r="E112" s="102">
        <v>46063</v>
      </c>
    </row>
    <row r="113" spans="1:5" ht="28.8" x14ac:dyDescent="0.3">
      <c r="A113" s="43" t="str">
        <f t="shared" si="3"/>
        <v>CAPA-12112</v>
      </c>
      <c r="B113" s="43" t="s">
        <v>378</v>
      </c>
      <c r="C113" s="43">
        <v>43747439</v>
      </c>
      <c r="D113" s="43" t="s">
        <v>608</v>
      </c>
      <c r="E113" s="102">
        <v>46063</v>
      </c>
    </row>
    <row r="114" spans="1:5" ht="43.2" x14ac:dyDescent="0.3">
      <c r="A114" s="43" t="str">
        <f t="shared" si="3"/>
        <v>CAPA-12113</v>
      </c>
      <c r="B114" s="43" t="s">
        <v>379</v>
      </c>
      <c r="C114" s="43">
        <v>47259573</v>
      </c>
      <c r="D114" s="43" t="s">
        <v>608</v>
      </c>
      <c r="E114" s="102">
        <v>46063</v>
      </c>
    </row>
    <row r="115" spans="1:5" ht="28.8" x14ac:dyDescent="0.3">
      <c r="A115" s="43" t="str">
        <f t="shared" si="3"/>
        <v>CAPA-12114</v>
      </c>
      <c r="B115" s="43" t="s">
        <v>380</v>
      </c>
      <c r="C115" s="43">
        <v>77232866</v>
      </c>
      <c r="D115" s="43" t="s">
        <v>608</v>
      </c>
      <c r="E115" s="102">
        <v>46063</v>
      </c>
    </row>
    <row r="116" spans="1:5" ht="28.8" x14ac:dyDescent="0.3">
      <c r="A116" s="43" t="str">
        <f t="shared" si="3"/>
        <v>CAPA-12115</v>
      </c>
      <c r="B116" s="43" t="s">
        <v>381</v>
      </c>
      <c r="C116" s="43">
        <v>43888135</v>
      </c>
      <c r="D116" s="43" t="s">
        <v>608</v>
      </c>
      <c r="E116" s="102">
        <v>46063</v>
      </c>
    </row>
    <row r="117" spans="1:5" ht="28.8" x14ac:dyDescent="0.3">
      <c r="A117" s="43" t="str">
        <f t="shared" si="3"/>
        <v>CAPA-12116</v>
      </c>
      <c r="B117" s="43" t="s">
        <v>382</v>
      </c>
      <c r="C117" s="43">
        <v>40756719</v>
      </c>
      <c r="D117" s="43" t="s">
        <v>608</v>
      </c>
      <c r="E117" s="102">
        <v>46063</v>
      </c>
    </row>
    <row r="118" spans="1:5" ht="28.8" x14ac:dyDescent="0.3">
      <c r="A118" s="43" t="str">
        <f t="shared" si="3"/>
        <v>CAPA-12117</v>
      </c>
      <c r="B118" s="43" t="s">
        <v>383</v>
      </c>
      <c r="C118" s="43">
        <v>45441597</v>
      </c>
      <c r="D118" s="43" t="s">
        <v>608</v>
      </c>
      <c r="E118" s="102">
        <v>46063</v>
      </c>
    </row>
    <row r="119" spans="1:5" ht="28.8" x14ac:dyDescent="0.3">
      <c r="A119" s="43" t="str">
        <f t="shared" si="3"/>
        <v>CAPA-12118</v>
      </c>
      <c r="B119" s="43" t="s">
        <v>384</v>
      </c>
      <c r="C119" s="43">
        <v>76188564</v>
      </c>
      <c r="D119" s="43" t="s">
        <v>608</v>
      </c>
      <c r="E119" s="102">
        <v>46063</v>
      </c>
    </row>
    <row r="120" spans="1:5" ht="43.2" x14ac:dyDescent="0.3">
      <c r="A120" s="43" t="str">
        <f t="shared" si="3"/>
        <v>CAPA-12119</v>
      </c>
      <c r="B120" s="43" t="s">
        <v>385</v>
      </c>
      <c r="C120" s="43">
        <v>75578447</v>
      </c>
      <c r="D120" s="43" t="s">
        <v>608</v>
      </c>
      <c r="E120" s="102">
        <v>46063</v>
      </c>
    </row>
    <row r="121" spans="1:5" ht="28.8" x14ac:dyDescent="0.3">
      <c r="A121" s="43" t="str">
        <f t="shared" si="3"/>
        <v>CAPA-12120</v>
      </c>
      <c r="B121" s="43" t="s">
        <v>515</v>
      </c>
      <c r="C121" s="43">
        <v>6726972</v>
      </c>
      <c r="D121" s="43" t="s">
        <v>608</v>
      </c>
      <c r="E121" s="102">
        <v>46063</v>
      </c>
    </row>
    <row r="122" spans="1:5" ht="28.8" x14ac:dyDescent="0.3">
      <c r="A122" s="43" t="str">
        <f t="shared" si="3"/>
        <v>CAPA-12121</v>
      </c>
      <c r="B122" s="43" t="s">
        <v>386</v>
      </c>
      <c r="C122" s="43">
        <v>75567346</v>
      </c>
      <c r="D122" s="43" t="s">
        <v>608</v>
      </c>
      <c r="E122" s="102">
        <v>46063</v>
      </c>
    </row>
    <row r="123" spans="1:5" ht="28.8" x14ac:dyDescent="0.3">
      <c r="A123" s="43" t="str">
        <f t="shared" si="3"/>
        <v>CAPA-12122</v>
      </c>
      <c r="B123" s="43" t="s">
        <v>387</v>
      </c>
      <c r="C123" s="43">
        <v>74299722</v>
      </c>
      <c r="D123" s="43" t="s">
        <v>608</v>
      </c>
      <c r="E123" s="102">
        <v>46063</v>
      </c>
    </row>
    <row r="124" spans="1:5" ht="28.8" x14ac:dyDescent="0.3">
      <c r="A124" s="43" t="str">
        <f t="shared" si="3"/>
        <v>CAPA-12123</v>
      </c>
      <c r="B124" s="43" t="s">
        <v>388</v>
      </c>
      <c r="C124" s="43">
        <v>10376402</v>
      </c>
      <c r="D124" s="43" t="s">
        <v>608</v>
      </c>
      <c r="E124" s="102">
        <v>46063</v>
      </c>
    </row>
    <row r="125" spans="1:5" ht="43.2" x14ac:dyDescent="0.3">
      <c r="A125" s="43" t="str">
        <f t="shared" si="3"/>
        <v>CAPA-12124</v>
      </c>
      <c r="B125" s="43" t="s">
        <v>389</v>
      </c>
      <c r="C125" s="43">
        <v>75118894</v>
      </c>
      <c r="D125" s="43" t="s">
        <v>608</v>
      </c>
      <c r="E125" s="102">
        <v>46063</v>
      </c>
    </row>
    <row r="126" spans="1:5" ht="28.8" x14ac:dyDescent="0.3">
      <c r="A126" s="43" t="str">
        <f t="shared" si="3"/>
        <v>CAPA-12125</v>
      </c>
      <c r="B126" s="43" t="s">
        <v>390</v>
      </c>
      <c r="C126" s="43">
        <v>44817038</v>
      </c>
      <c r="D126" s="43" t="s">
        <v>608</v>
      </c>
      <c r="E126" s="102">
        <v>46063</v>
      </c>
    </row>
    <row r="127" spans="1:5" ht="28.8" x14ac:dyDescent="0.3">
      <c r="A127" s="43" t="str">
        <f t="shared" si="3"/>
        <v>CAPA-12126</v>
      </c>
      <c r="B127" s="43" t="s">
        <v>391</v>
      </c>
      <c r="C127" s="43">
        <v>42499246</v>
      </c>
      <c r="D127" s="43" t="s">
        <v>608</v>
      </c>
      <c r="E127" s="102">
        <v>46063</v>
      </c>
    </row>
    <row r="128" spans="1:5" ht="28.8" x14ac:dyDescent="0.3">
      <c r="A128" s="43" t="str">
        <f t="shared" si="3"/>
        <v>CAPA-12127</v>
      </c>
      <c r="B128" s="43" t="s">
        <v>392</v>
      </c>
      <c r="C128" s="43">
        <v>46765199</v>
      </c>
      <c r="D128" s="43" t="s">
        <v>608</v>
      </c>
      <c r="E128" s="102">
        <v>46063</v>
      </c>
    </row>
    <row r="129" spans="1:5" ht="28.8" x14ac:dyDescent="0.3">
      <c r="A129" s="43" t="str">
        <f t="shared" si="3"/>
        <v>CAPA-12128</v>
      </c>
      <c r="B129" s="43" t="s">
        <v>393</v>
      </c>
      <c r="C129" s="43">
        <v>40555173</v>
      </c>
      <c r="D129" s="43" t="s">
        <v>608</v>
      </c>
      <c r="E129" s="102">
        <v>46063</v>
      </c>
    </row>
    <row r="130" spans="1:5" ht="28.8" x14ac:dyDescent="0.3">
      <c r="A130" s="43" t="str">
        <f t="shared" si="3"/>
        <v>CAPA-12129</v>
      </c>
      <c r="B130" s="43" t="s">
        <v>580</v>
      </c>
      <c r="C130" s="43">
        <v>6026998</v>
      </c>
      <c r="D130" s="43" t="s">
        <v>608</v>
      </c>
      <c r="E130" s="102">
        <v>46063</v>
      </c>
    </row>
    <row r="131" spans="1:5" ht="28.8" x14ac:dyDescent="0.3">
      <c r="A131" s="43" t="str">
        <f t="shared" si="3"/>
        <v>CAPA-12130</v>
      </c>
      <c r="B131" s="43" t="s">
        <v>394</v>
      </c>
      <c r="C131" s="43">
        <v>10720158</v>
      </c>
      <c r="D131" s="43" t="s">
        <v>608</v>
      </c>
      <c r="E131" s="102">
        <v>46063</v>
      </c>
    </row>
    <row r="132" spans="1:5" ht="28.8" x14ac:dyDescent="0.3">
      <c r="A132" s="43" t="str">
        <f t="shared" si="3"/>
        <v>CAPA-12131</v>
      </c>
      <c r="B132" s="43" t="s">
        <v>581</v>
      </c>
      <c r="C132" s="43">
        <v>42604453</v>
      </c>
      <c r="D132" s="43" t="s">
        <v>608</v>
      </c>
      <c r="E132" s="102">
        <v>46063</v>
      </c>
    </row>
    <row r="133" spans="1:5" ht="28.8" x14ac:dyDescent="0.3">
      <c r="A133" s="43" t="str">
        <f t="shared" si="3"/>
        <v>CAPA-12132</v>
      </c>
      <c r="B133" s="43" t="s">
        <v>395</v>
      </c>
      <c r="C133" s="43">
        <v>75338214</v>
      </c>
      <c r="D133" s="43" t="s">
        <v>608</v>
      </c>
      <c r="E133" s="102">
        <v>46063</v>
      </c>
    </row>
    <row r="134" spans="1:5" ht="28.8" x14ac:dyDescent="0.3">
      <c r="A134" s="43" t="str">
        <f t="shared" si="3"/>
        <v>CAPA-12133</v>
      </c>
      <c r="B134" s="43" t="s">
        <v>396</v>
      </c>
      <c r="C134" s="43">
        <v>72765369</v>
      </c>
      <c r="D134" s="43" t="s">
        <v>608</v>
      </c>
      <c r="E134" s="102">
        <v>46063</v>
      </c>
    </row>
    <row r="135" spans="1:5" ht="43.2" x14ac:dyDescent="0.3">
      <c r="A135" s="43" t="str">
        <f t="shared" si="3"/>
        <v>CAPA-12134</v>
      </c>
      <c r="B135" s="43" t="s">
        <v>397</v>
      </c>
      <c r="C135" s="43">
        <v>42915986</v>
      </c>
      <c r="D135" s="43" t="s">
        <v>608</v>
      </c>
      <c r="E135" s="102">
        <v>46063</v>
      </c>
    </row>
    <row r="136" spans="1:5" ht="28.8" x14ac:dyDescent="0.3">
      <c r="A136" s="43" t="str">
        <f t="shared" si="3"/>
        <v>CAPA-12135</v>
      </c>
      <c r="B136" s="43" t="s">
        <v>398</v>
      </c>
      <c r="C136" s="43">
        <v>21867392</v>
      </c>
      <c r="D136" s="43" t="s">
        <v>608</v>
      </c>
      <c r="E136" s="102">
        <v>46063</v>
      </c>
    </row>
    <row r="137" spans="1:5" ht="28.8" x14ac:dyDescent="0.3">
      <c r="A137" s="43" t="str">
        <f t="shared" si="3"/>
        <v>CAPA-12136</v>
      </c>
      <c r="B137" s="43" t="s">
        <v>399</v>
      </c>
      <c r="C137" s="43">
        <v>16652334</v>
      </c>
      <c r="D137" s="43" t="s">
        <v>608</v>
      </c>
      <c r="E137" s="102">
        <v>46063</v>
      </c>
    </row>
    <row r="138" spans="1:5" ht="28.8" x14ac:dyDescent="0.3">
      <c r="A138" s="43" t="str">
        <f t="shared" ref="A138:A158" si="4">IF(B138&lt;&gt;"", "CAPA-" &amp; TEXT(12000 + ROW(A138) - 1, "0000"), "")</f>
        <v>CAPA-12137</v>
      </c>
      <c r="B138" s="43" t="s">
        <v>400</v>
      </c>
      <c r="C138" s="43">
        <v>44849912</v>
      </c>
      <c r="D138" s="43" t="s">
        <v>608</v>
      </c>
      <c r="E138" s="102">
        <v>46063</v>
      </c>
    </row>
    <row r="139" spans="1:5" ht="28.8" x14ac:dyDescent="0.3">
      <c r="A139" s="43" t="str">
        <f t="shared" si="4"/>
        <v>CAPA-12138</v>
      </c>
      <c r="B139" s="43" t="s">
        <v>401</v>
      </c>
      <c r="C139" s="43">
        <v>10335154</v>
      </c>
      <c r="D139" s="43" t="s">
        <v>608</v>
      </c>
      <c r="E139" s="102">
        <v>46063</v>
      </c>
    </row>
    <row r="140" spans="1:5" ht="28.8" x14ac:dyDescent="0.3">
      <c r="A140" s="43" t="str">
        <f t="shared" si="4"/>
        <v>CAPA-12139</v>
      </c>
      <c r="B140" s="43" t="s">
        <v>402</v>
      </c>
      <c r="C140" s="43">
        <v>40702358</v>
      </c>
      <c r="D140" s="43" t="s">
        <v>608</v>
      </c>
      <c r="E140" s="102">
        <v>46063</v>
      </c>
    </row>
    <row r="141" spans="1:5" ht="28.8" x14ac:dyDescent="0.3">
      <c r="A141" s="43" t="str">
        <f t="shared" si="4"/>
        <v>CAPA-12140</v>
      </c>
      <c r="B141" s="43" t="s">
        <v>403</v>
      </c>
      <c r="C141" s="43">
        <v>47361655</v>
      </c>
      <c r="D141" s="43" t="s">
        <v>608</v>
      </c>
      <c r="E141" s="102">
        <v>46063</v>
      </c>
    </row>
    <row r="142" spans="1:5" ht="28.8" x14ac:dyDescent="0.3">
      <c r="A142" s="43" t="str">
        <f t="shared" si="4"/>
        <v>CAPA-12141</v>
      </c>
      <c r="B142" s="43" t="s">
        <v>404</v>
      </c>
      <c r="C142" s="43">
        <v>76624943</v>
      </c>
      <c r="D142" s="43" t="s">
        <v>608</v>
      </c>
      <c r="E142" s="102">
        <v>46063</v>
      </c>
    </row>
    <row r="143" spans="1:5" ht="28.8" x14ac:dyDescent="0.3">
      <c r="A143" s="43" t="str">
        <f t="shared" si="4"/>
        <v>CAPA-12142</v>
      </c>
      <c r="B143" s="43" t="s">
        <v>405</v>
      </c>
      <c r="C143" s="43">
        <v>9844603</v>
      </c>
      <c r="D143" s="43" t="s">
        <v>608</v>
      </c>
      <c r="E143" s="102">
        <v>46063</v>
      </c>
    </row>
    <row r="144" spans="1:5" ht="28.8" x14ac:dyDescent="0.3">
      <c r="A144" s="43" t="str">
        <f t="shared" si="4"/>
        <v>CAPA-12143</v>
      </c>
      <c r="B144" s="43" t="s">
        <v>406</v>
      </c>
      <c r="C144" s="43">
        <v>41683293</v>
      </c>
      <c r="D144" s="43" t="s">
        <v>608</v>
      </c>
      <c r="E144" s="102">
        <v>46063</v>
      </c>
    </row>
    <row r="145" spans="1:5" ht="43.2" x14ac:dyDescent="0.3">
      <c r="A145" s="43" t="str">
        <f t="shared" si="4"/>
        <v>CAPA-12144</v>
      </c>
      <c r="B145" s="43" t="s">
        <v>407</v>
      </c>
      <c r="C145" s="43">
        <v>42441086</v>
      </c>
      <c r="D145" s="43" t="s">
        <v>608</v>
      </c>
      <c r="E145" s="102">
        <v>46063</v>
      </c>
    </row>
    <row r="146" spans="1:5" ht="28.8" x14ac:dyDescent="0.3">
      <c r="A146" s="43" t="str">
        <f t="shared" si="4"/>
        <v>CAPA-12145</v>
      </c>
      <c r="B146" s="43" t="s">
        <v>408</v>
      </c>
      <c r="C146" s="43">
        <v>25402541</v>
      </c>
      <c r="D146" s="43" t="s">
        <v>608</v>
      </c>
      <c r="E146" s="102">
        <v>46063</v>
      </c>
    </row>
    <row r="147" spans="1:5" ht="28.8" x14ac:dyDescent="0.3">
      <c r="A147" s="43" t="str">
        <f t="shared" si="4"/>
        <v>CAPA-12146</v>
      </c>
      <c r="B147" s="43" t="s">
        <v>409</v>
      </c>
      <c r="C147" s="43">
        <v>61701858</v>
      </c>
      <c r="D147" s="43" t="s">
        <v>608</v>
      </c>
      <c r="E147" s="102">
        <v>46063</v>
      </c>
    </row>
    <row r="148" spans="1:5" ht="28.8" x14ac:dyDescent="0.3">
      <c r="A148" s="43" t="str">
        <f t="shared" si="4"/>
        <v>CAPA-12147</v>
      </c>
      <c r="B148" s="43" t="s">
        <v>410</v>
      </c>
      <c r="C148" s="43">
        <v>47275861</v>
      </c>
      <c r="D148" s="43" t="s">
        <v>608</v>
      </c>
      <c r="E148" s="102">
        <v>46063</v>
      </c>
    </row>
    <row r="149" spans="1:5" ht="28.8" x14ac:dyDescent="0.3">
      <c r="A149" s="43" t="str">
        <f t="shared" si="4"/>
        <v>CAPA-12148</v>
      </c>
      <c r="B149" s="43" t="s">
        <v>411</v>
      </c>
      <c r="C149" s="43">
        <v>70089567</v>
      </c>
      <c r="D149" s="43" t="s">
        <v>608</v>
      </c>
      <c r="E149" s="102">
        <v>46063</v>
      </c>
    </row>
    <row r="150" spans="1:5" ht="28.8" x14ac:dyDescent="0.3">
      <c r="A150" s="43" t="str">
        <f t="shared" si="4"/>
        <v>CAPA-12149</v>
      </c>
      <c r="B150" s="43" t="s">
        <v>412</v>
      </c>
      <c r="C150" s="43">
        <v>10607645</v>
      </c>
      <c r="D150" s="43" t="s">
        <v>608</v>
      </c>
      <c r="E150" s="102">
        <v>46063</v>
      </c>
    </row>
    <row r="151" spans="1:5" ht="28.8" x14ac:dyDescent="0.3">
      <c r="A151" s="43" t="str">
        <f t="shared" si="4"/>
        <v>CAPA-12150</v>
      </c>
      <c r="B151" s="43" t="s">
        <v>413</v>
      </c>
      <c r="C151" s="43">
        <v>9906328</v>
      </c>
      <c r="D151" s="43" t="s">
        <v>608</v>
      </c>
      <c r="E151" s="102">
        <v>46063</v>
      </c>
    </row>
    <row r="152" spans="1:5" ht="28.8" x14ac:dyDescent="0.3">
      <c r="A152" s="43" t="str">
        <f t="shared" si="4"/>
        <v>CAPA-12151</v>
      </c>
      <c r="B152" s="43" t="s">
        <v>414</v>
      </c>
      <c r="C152" s="43">
        <v>10026993</v>
      </c>
      <c r="D152" s="43" t="s">
        <v>608</v>
      </c>
      <c r="E152" s="102">
        <v>46063</v>
      </c>
    </row>
    <row r="153" spans="1:5" ht="28.8" x14ac:dyDescent="0.3">
      <c r="A153" s="43" t="str">
        <f t="shared" si="4"/>
        <v>CAPA-12152</v>
      </c>
      <c r="B153" s="43" t="s">
        <v>415</v>
      </c>
      <c r="C153" s="43">
        <v>7317850</v>
      </c>
      <c r="D153" s="43" t="s">
        <v>608</v>
      </c>
      <c r="E153" s="102">
        <v>46063</v>
      </c>
    </row>
    <row r="154" spans="1:5" ht="28.8" x14ac:dyDescent="0.3">
      <c r="A154" s="43" t="str">
        <f t="shared" si="4"/>
        <v>CAPA-12153</v>
      </c>
      <c r="B154" s="43" t="s">
        <v>416</v>
      </c>
      <c r="C154" s="43">
        <v>48092993</v>
      </c>
      <c r="D154" s="43" t="s">
        <v>608</v>
      </c>
      <c r="E154" s="102">
        <v>46063</v>
      </c>
    </row>
    <row r="155" spans="1:5" ht="43.2" x14ac:dyDescent="0.3">
      <c r="A155" s="43" t="str">
        <f t="shared" si="4"/>
        <v>CAPA-12154</v>
      </c>
      <c r="B155" s="43" t="s">
        <v>417</v>
      </c>
      <c r="C155" s="43">
        <v>47295135</v>
      </c>
      <c r="D155" s="43" t="s">
        <v>608</v>
      </c>
      <c r="E155" s="102">
        <v>46063</v>
      </c>
    </row>
    <row r="156" spans="1:5" ht="43.2" x14ac:dyDescent="0.3">
      <c r="A156" s="43" t="str">
        <f t="shared" si="4"/>
        <v>CAPA-12155</v>
      </c>
      <c r="B156" s="43" t="s">
        <v>418</v>
      </c>
      <c r="C156" s="43">
        <v>43754165</v>
      </c>
      <c r="D156" s="43" t="s">
        <v>608</v>
      </c>
      <c r="E156" s="102">
        <v>46063</v>
      </c>
    </row>
    <row r="157" spans="1:5" ht="28.8" x14ac:dyDescent="0.3">
      <c r="A157" s="43" t="str">
        <f t="shared" si="4"/>
        <v>CAPA-12156</v>
      </c>
      <c r="B157" s="43" t="s">
        <v>419</v>
      </c>
      <c r="C157" s="43">
        <v>74352038</v>
      </c>
      <c r="D157" s="43" t="s">
        <v>608</v>
      </c>
      <c r="E157" s="102">
        <v>46063</v>
      </c>
    </row>
    <row r="158" spans="1:5" ht="28.8" x14ac:dyDescent="0.3">
      <c r="A158" s="43" t="str">
        <f t="shared" si="4"/>
        <v>CAPA-12157</v>
      </c>
      <c r="B158" s="43" t="s">
        <v>420</v>
      </c>
      <c r="C158" s="43">
        <v>21121185</v>
      </c>
      <c r="D158" s="43" t="s">
        <v>608</v>
      </c>
      <c r="E158" s="102">
        <v>46063</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B2BED-1B24-411F-8222-9CCBEAD43CB2}">
  <sheetPr codeName="Hoja7">
    <tabColor rgb="FF92D050"/>
  </sheetPr>
  <dimension ref="A1:E2"/>
  <sheetViews>
    <sheetView workbookViewId="0">
      <pane ySplit="1" topLeftCell="A2" activePane="bottomLeft" state="frozen"/>
      <selection activeCell="E2" sqref="E2"/>
      <selection pane="bottomLeft" activeCell="A2" sqref="A2"/>
    </sheetView>
  </sheetViews>
  <sheetFormatPr baseColWidth="10" defaultColWidth="8.88671875" defaultRowHeight="14.4" x14ac:dyDescent="0.3"/>
  <cols>
    <col min="1" max="1" width="15.6640625" style="2" customWidth="1"/>
    <col min="2" max="2" width="25.6640625" style="2" customWidth="1"/>
    <col min="3" max="3" width="15.6640625" style="2" customWidth="1"/>
    <col min="4" max="5" width="25.6640625" style="21" customWidth="1"/>
  </cols>
  <sheetData>
    <row r="1" spans="1:5" ht="14.4" customHeight="1" x14ac:dyDescent="0.3">
      <c r="A1" s="8" t="s">
        <v>239</v>
      </c>
      <c r="B1" s="8" t="s">
        <v>2</v>
      </c>
      <c r="C1" s="8" t="s">
        <v>1</v>
      </c>
      <c r="D1" s="9" t="s">
        <v>27</v>
      </c>
      <c r="E1" s="9" t="s">
        <v>28</v>
      </c>
    </row>
    <row r="2" spans="1:5" ht="14.4" customHeight="1" x14ac:dyDescent="0.3">
      <c r="A2" s="22" t="str">
        <f>IF(B2&lt;&gt;"", "VMO_SEG-" &amp; TEXT(7000 + ROW(A2) - 1, "0000"), "")</f>
        <v/>
      </c>
      <c r="B2" s="23"/>
      <c r="C2" s="22" t="str">
        <f>IF(B2="", "", _xlfn.XLOOKUP(B2, tbl_Trabajadores[Nombre], tbl_Trabajadores[DNI], ""))</f>
        <v/>
      </c>
      <c r="D2" s="22"/>
      <c r="E2" s="22"/>
    </row>
  </sheetData>
  <pageMargins left="0.75" right="0.75" top="1" bottom="1" header="0.5" footer="0.5"/>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3">
    <tabColor rgb="FF92D050"/>
  </sheetPr>
  <dimension ref="A1:I232"/>
  <sheetViews>
    <sheetView topLeftCell="D1" workbookViewId="0">
      <selection activeCell="F29" sqref="F29"/>
    </sheetView>
  </sheetViews>
  <sheetFormatPr baseColWidth="10" defaultColWidth="11.44140625" defaultRowHeight="14.4" x14ac:dyDescent="0.3"/>
  <cols>
    <col min="1" max="1" width="11.44140625" customWidth="1"/>
    <col min="2" max="2" width="38.6640625" style="1" customWidth="1"/>
    <col min="3" max="3" width="11.44140625" style="25" customWidth="1"/>
    <col min="4" max="4" width="40.6640625" style="25" customWidth="1"/>
    <col min="5" max="5" width="25.6640625" style="25" customWidth="1"/>
    <col min="6" max="6" width="15.6640625" style="27" customWidth="1"/>
    <col min="7" max="7" width="20.6640625" style="26" customWidth="1"/>
    <col min="8" max="8" width="12.6640625" style="26" customWidth="1"/>
    <col min="11" max="11" width="19.33203125" bestFit="1" customWidth="1"/>
  </cols>
  <sheetData>
    <row r="1" spans="1:9" x14ac:dyDescent="0.3">
      <c r="A1" s="204"/>
      <c r="B1" s="191"/>
      <c r="C1" s="191"/>
      <c r="D1" s="191"/>
      <c r="E1" s="191"/>
      <c r="F1" s="191"/>
      <c r="G1" s="191"/>
      <c r="H1" s="191"/>
      <c r="I1" s="191"/>
    </row>
    <row r="2" spans="1:9" x14ac:dyDescent="0.3">
      <c r="A2" s="205"/>
      <c r="B2" s="191"/>
      <c r="C2" s="191"/>
      <c r="D2" s="191"/>
      <c r="E2" s="191"/>
      <c r="F2" s="191"/>
      <c r="G2" s="191"/>
      <c r="H2" s="191"/>
      <c r="I2" s="191"/>
    </row>
    <row r="3" spans="1:9" x14ac:dyDescent="0.3">
      <c r="A3" s="200"/>
      <c r="B3" s="200"/>
      <c r="C3" s="191"/>
      <c r="D3" s="191"/>
      <c r="E3" s="191"/>
      <c r="F3" s="191"/>
      <c r="G3" s="191"/>
      <c r="H3" s="191"/>
      <c r="I3" s="191"/>
    </row>
    <row r="4" spans="1:9" ht="14.4" customHeight="1" x14ac:dyDescent="0.3">
      <c r="A4" s="189" t="s">
        <v>240</v>
      </c>
      <c r="B4" s="190"/>
      <c r="C4" s="190"/>
      <c r="D4" s="190"/>
      <c r="E4" s="190"/>
      <c r="F4" s="190"/>
      <c r="G4" s="190"/>
      <c r="H4" s="190"/>
      <c r="I4" s="190"/>
    </row>
    <row r="5" spans="1:9" ht="14.4" customHeight="1" x14ac:dyDescent="0.3">
      <c r="A5" s="189"/>
      <c r="B5" s="190"/>
      <c r="C5" s="190"/>
      <c r="D5" s="190"/>
      <c r="E5" s="190"/>
      <c r="F5" s="190"/>
      <c r="G5" s="190"/>
      <c r="H5" s="190"/>
      <c r="I5" s="190"/>
    </row>
    <row r="6" spans="1:9" ht="14.4" customHeight="1" x14ac:dyDescent="0.3">
      <c r="A6" s="202" t="s">
        <v>241</v>
      </c>
      <c r="B6" s="197"/>
      <c r="C6" s="198"/>
      <c r="D6" s="202" t="s">
        <v>242</v>
      </c>
      <c r="E6" s="192" t="s">
        <v>243</v>
      </c>
      <c r="F6" s="193"/>
      <c r="G6" s="187" t="s">
        <v>244</v>
      </c>
      <c r="H6" s="188"/>
      <c r="I6" s="188"/>
    </row>
    <row r="7" spans="1:9" x14ac:dyDescent="0.3">
      <c r="A7" s="199"/>
      <c r="B7" s="200"/>
      <c r="C7" s="201"/>
      <c r="D7" s="203"/>
      <c r="E7" s="194"/>
      <c r="F7" s="195"/>
      <c r="G7" s="187"/>
      <c r="H7" s="188"/>
      <c r="I7" s="188"/>
    </row>
    <row r="8" spans="1:9" ht="14.4" customHeight="1" x14ac:dyDescent="0.3">
      <c r="A8" s="196" t="s">
        <v>245</v>
      </c>
      <c r="B8" s="197"/>
      <c r="C8" s="198"/>
      <c r="D8" s="196" t="s">
        <v>246</v>
      </c>
      <c r="E8" s="206" t="s">
        <v>247</v>
      </c>
      <c r="F8" s="207"/>
      <c r="G8" s="185">
        <f>COUNTA(Trabajadores!C:C) - 1</f>
        <v>117</v>
      </c>
      <c r="H8" s="186"/>
      <c r="I8" s="186"/>
    </row>
    <row r="9" spans="1:9" x14ac:dyDescent="0.3">
      <c r="A9" s="199"/>
      <c r="B9" s="200"/>
      <c r="C9" s="201"/>
      <c r="D9" s="203"/>
      <c r="E9" s="199"/>
      <c r="F9" s="208"/>
      <c r="G9" s="185"/>
      <c r="H9" s="186"/>
      <c r="I9" s="186"/>
    </row>
    <row r="10" spans="1:9" ht="14.4" customHeight="1" x14ac:dyDescent="0.3">
      <c r="A10" s="183" t="s">
        <v>248</v>
      </c>
      <c r="B10" s="184"/>
      <c r="C10" s="184"/>
      <c r="D10" s="184"/>
      <c r="E10" s="184"/>
      <c r="F10" s="184"/>
      <c r="G10" s="184"/>
      <c r="H10" s="184"/>
      <c r="I10" s="184"/>
    </row>
    <row r="11" spans="1:9" ht="14.4" customHeight="1" x14ac:dyDescent="0.3">
      <c r="A11" s="183"/>
      <c r="B11" s="184"/>
      <c r="C11" s="184"/>
      <c r="D11" s="184"/>
      <c r="E11" s="184"/>
      <c r="F11" s="184"/>
      <c r="G11" s="184"/>
      <c r="H11" s="184"/>
      <c r="I11" s="184"/>
    </row>
    <row r="12" spans="1:9" x14ac:dyDescent="0.3">
      <c r="A12" s="54" t="s">
        <v>249</v>
      </c>
      <c r="B12" s="54" t="s">
        <v>250</v>
      </c>
      <c r="C12" s="54" t="s">
        <v>1</v>
      </c>
      <c r="D12" s="54" t="s">
        <v>251</v>
      </c>
      <c r="E12" s="54" t="s">
        <v>252</v>
      </c>
      <c r="F12" s="113" t="s">
        <v>253</v>
      </c>
      <c r="G12" s="54" t="s">
        <v>21</v>
      </c>
      <c r="H12" s="18" t="s">
        <v>254</v>
      </c>
      <c r="I12" s="54" t="s">
        <v>255</v>
      </c>
    </row>
    <row r="13" spans="1:9" x14ac:dyDescent="0.3">
      <c r="A13" s="30" t="str">
        <f t="shared" ref="A13:A44" si="0">IF(B13&lt;&gt;"", "EMO-" &amp; TEXT(1000 + ROW(A2) - 1, "0000"), "")</f>
        <v>EMO-1001</v>
      </c>
      <c r="B13" s="31" t="s">
        <v>314</v>
      </c>
      <c r="C13" s="148">
        <v>74046340</v>
      </c>
      <c r="D13" s="32" t="s">
        <v>421</v>
      </c>
      <c r="E13" s="32" t="s">
        <v>611</v>
      </c>
      <c r="F13" s="98">
        <v>46069</v>
      </c>
      <c r="G13" s="32" t="s">
        <v>38</v>
      </c>
      <c r="H13" s="147" t="s">
        <v>610</v>
      </c>
      <c r="I13" s="99">
        <v>46071</v>
      </c>
    </row>
    <row r="14" spans="1:9" x14ac:dyDescent="0.3">
      <c r="A14" s="30" t="str">
        <f t="shared" si="0"/>
        <v>EMO-1002</v>
      </c>
      <c r="B14" s="31" t="s">
        <v>315</v>
      </c>
      <c r="C14" s="148">
        <v>74842142</v>
      </c>
      <c r="D14" s="32" t="s">
        <v>422</v>
      </c>
      <c r="E14" s="32" t="s">
        <v>609</v>
      </c>
      <c r="F14" s="98">
        <v>46069</v>
      </c>
      <c r="G14" s="32" t="s">
        <v>35</v>
      </c>
      <c r="H14" s="147" t="s">
        <v>610</v>
      </c>
      <c r="I14" s="99">
        <v>46070</v>
      </c>
    </row>
    <row r="15" spans="1:9" x14ac:dyDescent="0.3">
      <c r="A15" s="30" t="str">
        <f t="shared" si="0"/>
        <v>EMO-1003</v>
      </c>
      <c r="B15" s="31" t="s">
        <v>316</v>
      </c>
      <c r="C15" s="148">
        <v>43493102</v>
      </c>
      <c r="D15" s="32" t="s">
        <v>423</v>
      </c>
      <c r="E15" s="32" t="s">
        <v>609</v>
      </c>
      <c r="F15" s="98">
        <v>46069</v>
      </c>
      <c r="G15" s="32" t="s">
        <v>35</v>
      </c>
      <c r="H15" s="147" t="s">
        <v>610</v>
      </c>
      <c r="I15" s="99">
        <v>46070</v>
      </c>
    </row>
    <row r="16" spans="1:9" x14ac:dyDescent="0.3">
      <c r="A16" s="30" t="str">
        <f t="shared" si="0"/>
        <v>EMO-1004</v>
      </c>
      <c r="B16" s="31" t="s">
        <v>317</v>
      </c>
      <c r="C16" s="148">
        <v>73190928</v>
      </c>
      <c r="D16" s="32" t="s">
        <v>424</v>
      </c>
      <c r="E16" s="32" t="s">
        <v>609</v>
      </c>
      <c r="F16" s="98">
        <v>46069</v>
      </c>
      <c r="G16" s="32" t="s">
        <v>38</v>
      </c>
      <c r="H16" s="147" t="s">
        <v>610</v>
      </c>
      <c r="I16" s="99">
        <v>46070</v>
      </c>
    </row>
    <row r="17" spans="1:9" x14ac:dyDescent="0.3">
      <c r="A17" s="30" t="str">
        <f t="shared" si="0"/>
        <v>EMO-1005</v>
      </c>
      <c r="B17" s="31" t="s">
        <v>318</v>
      </c>
      <c r="C17" s="148">
        <v>7658651</v>
      </c>
      <c r="D17" s="32" t="s">
        <v>425</v>
      </c>
      <c r="E17" s="32" t="s">
        <v>609</v>
      </c>
      <c r="F17" s="98">
        <v>46069</v>
      </c>
      <c r="G17" s="32" t="s">
        <v>38</v>
      </c>
      <c r="H17" s="147" t="s">
        <v>610</v>
      </c>
      <c r="I17" s="99">
        <v>46070</v>
      </c>
    </row>
    <row r="18" spans="1:9" x14ac:dyDescent="0.3">
      <c r="A18" s="30" t="str">
        <f t="shared" si="0"/>
        <v>EMO-1006</v>
      </c>
      <c r="B18" s="31" t="s">
        <v>319</v>
      </c>
      <c r="C18" s="148">
        <v>72529893</v>
      </c>
      <c r="D18" s="32" t="s">
        <v>426</v>
      </c>
      <c r="E18" s="32" t="s">
        <v>609</v>
      </c>
      <c r="F18" s="98">
        <v>46069</v>
      </c>
      <c r="G18" s="32" t="s">
        <v>35</v>
      </c>
      <c r="H18" s="147" t="s">
        <v>610</v>
      </c>
      <c r="I18" s="99">
        <v>46070</v>
      </c>
    </row>
    <row r="19" spans="1:9" x14ac:dyDescent="0.3">
      <c r="A19" s="30" t="str">
        <f t="shared" si="0"/>
        <v>EMO-1007</v>
      </c>
      <c r="B19" s="31" t="s">
        <v>320</v>
      </c>
      <c r="C19" s="148">
        <v>10664050</v>
      </c>
      <c r="D19" s="32" t="s">
        <v>427</v>
      </c>
      <c r="E19" s="32" t="s">
        <v>609</v>
      </c>
      <c r="F19" s="98">
        <v>46069</v>
      </c>
      <c r="G19" s="32" t="s">
        <v>38</v>
      </c>
      <c r="H19" s="147" t="s">
        <v>610</v>
      </c>
      <c r="I19" s="99">
        <v>46070</v>
      </c>
    </row>
    <row r="20" spans="1:9" x14ac:dyDescent="0.3">
      <c r="A20" s="30" t="str">
        <f t="shared" si="0"/>
        <v>EMO-1008</v>
      </c>
      <c r="B20" s="31" t="s">
        <v>321</v>
      </c>
      <c r="C20" s="148">
        <v>71427351</v>
      </c>
      <c r="D20" s="32" t="s">
        <v>428</v>
      </c>
      <c r="E20" s="32" t="s">
        <v>609</v>
      </c>
      <c r="F20" s="98">
        <v>46069</v>
      </c>
      <c r="G20" s="32" t="s">
        <v>35</v>
      </c>
      <c r="H20" s="147" t="s">
        <v>610</v>
      </c>
      <c r="I20" s="99">
        <v>46070</v>
      </c>
    </row>
    <row r="21" spans="1:9" x14ac:dyDescent="0.3">
      <c r="A21" s="30" t="str">
        <f t="shared" si="0"/>
        <v>EMO-1009</v>
      </c>
      <c r="B21" s="31" t="s">
        <v>322</v>
      </c>
      <c r="C21" s="148">
        <v>71878076</v>
      </c>
      <c r="D21" s="32" t="s">
        <v>429</v>
      </c>
      <c r="E21" s="32" t="s">
        <v>609</v>
      </c>
      <c r="F21" s="98">
        <v>46069</v>
      </c>
      <c r="G21" s="32" t="s">
        <v>520</v>
      </c>
      <c r="H21" s="147" t="s">
        <v>610</v>
      </c>
      <c r="I21" s="99">
        <v>46070</v>
      </c>
    </row>
    <row r="22" spans="1:9" x14ac:dyDescent="0.3">
      <c r="A22" s="30" t="str">
        <f t="shared" si="0"/>
        <v>EMO-1010</v>
      </c>
      <c r="B22" s="31" t="s">
        <v>323</v>
      </c>
      <c r="C22" s="148">
        <v>45503329</v>
      </c>
      <c r="D22" s="32" t="s">
        <v>430</v>
      </c>
      <c r="E22" s="32" t="s">
        <v>609</v>
      </c>
      <c r="F22" s="98">
        <v>46069</v>
      </c>
      <c r="G22" s="32" t="s">
        <v>38</v>
      </c>
      <c r="H22" s="147" t="s">
        <v>610</v>
      </c>
      <c r="I22" s="99">
        <v>46070</v>
      </c>
    </row>
    <row r="23" spans="1:9" x14ac:dyDescent="0.3">
      <c r="A23" s="30" t="str">
        <f t="shared" si="0"/>
        <v>EMO-1011</v>
      </c>
      <c r="B23" s="31" t="s">
        <v>575</v>
      </c>
      <c r="C23" s="148">
        <v>20901410</v>
      </c>
      <c r="D23" s="32" t="s">
        <v>431</v>
      </c>
      <c r="E23" s="32" t="s">
        <v>609</v>
      </c>
      <c r="F23" s="98">
        <v>46069</v>
      </c>
      <c r="G23" s="32" t="s">
        <v>38</v>
      </c>
      <c r="H23" s="147" t="s">
        <v>610</v>
      </c>
      <c r="I23" s="99">
        <v>46070</v>
      </c>
    </row>
    <row r="24" spans="1:9" x14ac:dyDescent="0.3">
      <c r="A24" s="30" t="str">
        <f t="shared" si="0"/>
        <v>EMO-1012</v>
      </c>
      <c r="B24" s="31" t="s">
        <v>324</v>
      </c>
      <c r="C24" s="148">
        <v>45977070</v>
      </c>
      <c r="D24" s="32" t="s">
        <v>432</v>
      </c>
      <c r="E24" s="32" t="s">
        <v>609</v>
      </c>
      <c r="F24" s="98">
        <v>46069</v>
      </c>
      <c r="G24" s="32" t="s">
        <v>38</v>
      </c>
      <c r="H24" s="147" t="s">
        <v>610</v>
      </c>
      <c r="I24" s="99">
        <v>46070</v>
      </c>
    </row>
    <row r="25" spans="1:9" x14ac:dyDescent="0.3">
      <c r="A25" s="30" t="str">
        <f t="shared" si="0"/>
        <v>EMO-1013</v>
      </c>
      <c r="B25" s="31" t="s">
        <v>325</v>
      </c>
      <c r="C25" s="148">
        <v>6794299</v>
      </c>
      <c r="D25" s="32" t="s">
        <v>433</v>
      </c>
      <c r="E25" s="32" t="s">
        <v>609</v>
      </c>
      <c r="F25" s="98">
        <v>46069</v>
      </c>
      <c r="G25" s="32" t="s">
        <v>520</v>
      </c>
      <c r="H25" s="147" t="s">
        <v>610</v>
      </c>
      <c r="I25" s="99">
        <v>46070</v>
      </c>
    </row>
    <row r="26" spans="1:9" x14ac:dyDescent="0.3">
      <c r="A26" s="30" t="str">
        <f t="shared" si="0"/>
        <v>EMO-1014</v>
      </c>
      <c r="B26" s="31" t="s">
        <v>326</v>
      </c>
      <c r="C26" s="148">
        <v>74880419</v>
      </c>
      <c r="D26" s="32" t="s">
        <v>434</v>
      </c>
      <c r="E26" s="32" t="s">
        <v>609</v>
      </c>
      <c r="F26" s="98">
        <v>46069</v>
      </c>
      <c r="G26" s="32" t="s">
        <v>38</v>
      </c>
      <c r="H26" s="147" t="s">
        <v>610</v>
      </c>
      <c r="I26" s="99">
        <v>46070</v>
      </c>
    </row>
    <row r="27" spans="1:9" x14ac:dyDescent="0.3">
      <c r="A27" s="30" t="str">
        <f t="shared" si="0"/>
        <v>EMO-1015</v>
      </c>
      <c r="B27" s="31" t="s">
        <v>327</v>
      </c>
      <c r="C27" s="148">
        <v>42010010</v>
      </c>
      <c r="D27" s="32" t="s">
        <v>436</v>
      </c>
      <c r="E27" s="32" t="s">
        <v>609</v>
      </c>
      <c r="F27" s="98">
        <v>46069</v>
      </c>
      <c r="G27" s="32" t="s">
        <v>38</v>
      </c>
      <c r="H27" s="147" t="s">
        <v>610</v>
      </c>
      <c r="I27" s="99">
        <v>46070</v>
      </c>
    </row>
    <row r="28" spans="1:9" x14ac:dyDescent="0.3">
      <c r="A28" s="30" t="str">
        <f t="shared" si="0"/>
        <v>EMO-1016</v>
      </c>
      <c r="B28" s="31" t="s">
        <v>576</v>
      </c>
      <c r="C28" s="148">
        <v>41284268</v>
      </c>
      <c r="D28" s="32" t="s">
        <v>435</v>
      </c>
      <c r="E28" s="32" t="s">
        <v>609</v>
      </c>
      <c r="F28" s="98">
        <v>46069</v>
      </c>
      <c r="G28" s="32" t="s">
        <v>38</v>
      </c>
      <c r="H28" s="147" t="s">
        <v>610</v>
      </c>
      <c r="I28" s="99">
        <v>46070</v>
      </c>
    </row>
    <row r="29" spans="1:9" x14ac:dyDescent="0.3">
      <c r="A29" s="30" t="str">
        <f t="shared" si="0"/>
        <v>EMO-1017</v>
      </c>
      <c r="B29" s="31" t="s">
        <v>577</v>
      </c>
      <c r="C29" s="148">
        <v>9545053</v>
      </c>
      <c r="D29" s="32" t="s">
        <v>437</v>
      </c>
      <c r="E29" s="32" t="s">
        <v>609</v>
      </c>
      <c r="F29" s="98">
        <v>45966</v>
      </c>
      <c r="G29" s="32" t="s">
        <v>35</v>
      </c>
      <c r="H29" s="147" t="s">
        <v>610</v>
      </c>
      <c r="I29" s="99">
        <v>46070</v>
      </c>
    </row>
    <row r="30" spans="1:9" x14ac:dyDescent="0.3">
      <c r="A30" s="30" t="str">
        <f t="shared" si="0"/>
        <v>EMO-1018</v>
      </c>
      <c r="B30" s="31" t="s">
        <v>328</v>
      </c>
      <c r="C30" s="148">
        <v>48348234</v>
      </c>
      <c r="D30" s="32" t="s">
        <v>428</v>
      </c>
      <c r="E30" s="32" t="s">
        <v>609</v>
      </c>
      <c r="F30" s="98">
        <v>46069</v>
      </c>
      <c r="G30" s="32" t="s">
        <v>35</v>
      </c>
      <c r="H30" s="147" t="s">
        <v>610</v>
      </c>
      <c r="I30" s="99">
        <v>46070</v>
      </c>
    </row>
    <row r="31" spans="1:9" x14ac:dyDescent="0.3">
      <c r="A31" s="30" t="str">
        <f t="shared" si="0"/>
        <v>EMO-1019</v>
      </c>
      <c r="B31" s="31" t="s">
        <v>329</v>
      </c>
      <c r="C31" s="148">
        <v>72954104</v>
      </c>
      <c r="D31" s="32" t="s">
        <v>438</v>
      </c>
      <c r="E31" s="32" t="s">
        <v>609</v>
      </c>
      <c r="F31" s="98">
        <v>46069</v>
      </c>
      <c r="G31" s="32" t="s">
        <v>38</v>
      </c>
      <c r="H31" s="147" t="s">
        <v>610</v>
      </c>
      <c r="I31" s="99">
        <v>46070</v>
      </c>
    </row>
    <row r="32" spans="1:9" x14ac:dyDescent="0.3">
      <c r="A32" s="30" t="str">
        <f t="shared" si="0"/>
        <v>EMO-1020</v>
      </c>
      <c r="B32" s="31" t="s">
        <v>330</v>
      </c>
      <c r="C32" s="148">
        <v>9059960</v>
      </c>
      <c r="D32" s="32" t="s">
        <v>425</v>
      </c>
      <c r="E32" s="32" t="s">
        <v>609</v>
      </c>
      <c r="F32" s="98">
        <v>46069</v>
      </c>
      <c r="G32" s="32" t="s">
        <v>520</v>
      </c>
      <c r="H32" s="147" t="s">
        <v>610</v>
      </c>
      <c r="I32" s="99">
        <v>46070</v>
      </c>
    </row>
    <row r="33" spans="1:9" x14ac:dyDescent="0.3">
      <c r="A33" s="30" t="str">
        <f t="shared" si="0"/>
        <v>EMO-1021</v>
      </c>
      <c r="B33" s="31" t="s">
        <v>331</v>
      </c>
      <c r="C33" s="148">
        <v>42021229</v>
      </c>
      <c r="D33" s="32" t="s">
        <v>439</v>
      </c>
      <c r="E33" s="32" t="s">
        <v>609</v>
      </c>
      <c r="F33" s="98">
        <v>46069</v>
      </c>
      <c r="G33" s="32" t="s">
        <v>35</v>
      </c>
      <c r="H33" s="147" t="s">
        <v>610</v>
      </c>
      <c r="I33" s="99">
        <v>46070</v>
      </c>
    </row>
    <row r="34" spans="1:9" x14ac:dyDescent="0.3">
      <c r="A34" s="30" t="str">
        <f t="shared" si="0"/>
        <v>EMO-1022</v>
      </c>
      <c r="B34" s="31" t="s">
        <v>332</v>
      </c>
      <c r="C34" s="148">
        <v>75854632</v>
      </c>
      <c r="D34" s="32" t="s">
        <v>438</v>
      </c>
      <c r="E34" s="32" t="s">
        <v>609</v>
      </c>
      <c r="F34" s="98">
        <v>46069</v>
      </c>
      <c r="G34" s="32" t="s">
        <v>35</v>
      </c>
      <c r="H34" s="147" t="s">
        <v>610</v>
      </c>
      <c r="I34" s="99">
        <v>46070</v>
      </c>
    </row>
    <row r="35" spans="1:9" x14ac:dyDescent="0.3">
      <c r="A35" s="30" t="str">
        <f t="shared" si="0"/>
        <v>EMO-1023</v>
      </c>
      <c r="B35" s="31" t="s">
        <v>333</v>
      </c>
      <c r="C35" s="148">
        <v>47876235</v>
      </c>
      <c r="D35" s="32" t="s">
        <v>440</v>
      </c>
      <c r="E35" s="32" t="s">
        <v>609</v>
      </c>
      <c r="F35" s="98">
        <v>46069</v>
      </c>
      <c r="G35" s="32" t="s">
        <v>38</v>
      </c>
      <c r="H35" s="147" t="s">
        <v>610</v>
      </c>
      <c r="I35" s="99">
        <v>46070</v>
      </c>
    </row>
    <row r="36" spans="1:9" x14ac:dyDescent="0.3">
      <c r="A36" s="30" t="str">
        <f t="shared" si="0"/>
        <v>EMO-1024</v>
      </c>
      <c r="B36" s="31" t="s">
        <v>334</v>
      </c>
      <c r="C36" s="148">
        <v>45798528</v>
      </c>
      <c r="D36" s="32" t="s">
        <v>428</v>
      </c>
      <c r="E36" s="32" t="s">
        <v>609</v>
      </c>
      <c r="F36" s="98">
        <v>46069</v>
      </c>
      <c r="G36" s="32" t="s">
        <v>35</v>
      </c>
      <c r="H36" s="147" t="s">
        <v>610</v>
      </c>
      <c r="I36" s="99">
        <v>46070</v>
      </c>
    </row>
    <row r="37" spans="1:9" x14ac:dyDescent="0.3">
      <c r="A37" s="30" t="str">
        <f t="shared" si="0"/>
        <v>EMO-1025</v>
      </c>
      <c r="B37" s="31" t="s">
        <v>335</v>
      </c>
      <c r="C37" s="148">
        <v>9943578</v>
      </c>
      <c r="D37" s="32" t="s">
        <v>441</v>
      </c>
      <c r="E37" s="32" t="s">
        <v>609</v>
      </c>
      <c r="F37" s="98">
        <v>46069</v>
      </c>
      <c r="G37" s="32" t="s">
        <v>38</v>
      </c>
      <c r="H37" s="147" t="s">
        <v>610</v>
      </c>
      <c r="I37" s="99">
        <v>46070</v>
      </c>
    </row>
    <row r="38" spans="1:9" x14ac:dyDescent="0.3">
      <c r="A38" s="30" t="str">
        <f t="shared" si="0"/>
        <v>EMO-1026</v>
      </c>
      <c r="B38" s="31" t="s">
        <v>336</v>
      </c>
      <c r="C38" s="148">
        <v>43119608</v>
      </c>
      <c r="D38" s="32" t="s">
        <v>442</v>
      </c>
      <c r="E38" s="32" t="s">
        <v>609</v>
      </c>
      <c r="F38" s="98">
        <v>46069</v>
      </c>
      <c r="G38" s="32" t="s">
        <v>38</v>
      </c>
      <c r="H38" s="147" t="s">
        <v>610</v>
      </c>
      <c r="I38" s="99">
        <v>46070</v>
      </c>
    </row>
    <row r="39" spans="1:9" x14ac:dyDescent="0.3">
      <c r="A39" s="30" t="str">
        <f t="shared" si="0"/>
        <v>EMO-1027</v>
      </c>
      <c r="B39" s="31" t="s">
        <v>337</v>
      </c>
      <c r="C39" s="148">
        <v>46201268</v>
      </c>
      <c r="D39" s="32" t="s">
        <v>428</v>
      </c>
      <c r="E39" s="32" t="s">
        <v>609</v>
      </c>
      <c r="F39" s="98">
        <v>46069</v>
      </c>
      <c r="G39" s="32" t="s">
        <v>35</v>
      </c>
      <c r="H39" s="147" t="s">
        <v>610</v>
      </c>
      <c r="I39" s="99">
        <v>46070</v>
      </c>
    </row>
    <row r="40" spans="1:9" x14ac:dyDescent="0.3">
      <c r="A40" s="30" t="str">
        <f t="shared" si="0"/>
        <v>EMO-1028</v>
      </c>
      <c r="B40" s="31" t="s">
        <v>338</v>
      </c>
      <c r="C40" s="148">
        <v>44848085</v>
      </c>
      <c r="D40" s="32" t="s">
        <v>443</v>
      </c>
      <c r="E40" s="32" t="s">
        <v>609</v>
      </c>
      <c r="F40" s="98">
        <v>46069</v>
      </c>
      <c r="G40" s="32" t="s">
        <v>35</v>
      </c>
      <c r="H40" s="147" t="s">
        <v>610</v>
      </c>
      <c r="I40" s="99">
        <v>46070</v>
      </c>
    </row>
    <row r="41" spans="1:9" x14ac:dyDescent="0.3">
      <c r="A41" s="30" t="str">
        <f t="shared" si="0"/>
        <v>EMO-1029</v>
      </c>
      <c r="B41" s="31" t="s">
        <v>339</v>
      </c>
      <c r="C41" s="148">
        <v>76126043</v>
      </c>
      <c r="D41" s="32" t="s">
        <v>444</v>
      </c>
      <c r="E41" s="32" t="s">
        <v>609</v>
      </c>
      <c r="F41" s="98">
        <v>46069</v>
      </c>
      <c r="G41" s="32" t="s">
        <v>35</v>
      </c>
      <c r="H41" s="147" t="s">
        <v>610</v>
      </c>
      <c r="I41" s="99">
        <v>46070</v>
      </c>
    </row>
    <row r="42" spans="1:9" x14ac:dyDescent="0.3">
      <c r="A42" s="30" t="str">
        <f t="shared" si="0"/>
        <v>EMO-1030</v>
      </c>
      <c r="B42" s="31" t="s">
        <v>340</v>
      </c>
      <c r="C42" s="148">
        <v>7499832</v>
      </c>
      <c r="D42" s="32" t="s">
        <v>445</v>
      </c>
      <c r="E42" s="32" t="s">
        <v>609</v>
      </c>
      <c r="F42" s="98">
        <v>46069</v>
      </c>
      <c r="G42" s="32" t="s">
        <v>35</v>
      </c>
      <c r="H42" s="147" t="s">
        <v>610</v>
      </c>
      <c r="I42" s="99">
        <v>46070</v>
      </c>
    </row>
    <row r="43" spans="1:9" x14ac:dyDescent="0.3">
      <c r="A43" s="30" t="str">
        <f t="shared" si="0"/>
        <v>EMO-1031</v>
      </c>
      <c r="B43" s="31" t="s">
        <v>341</v>
      </c>
      <c r="C43" s="148">
        <v>76502350</v>
      </c>
      <c r="D43" s="32" t="s">
        <v>430</v>
      </c>
      <c r="E43" s="32" t="s">
        <v>609</v>
      </c>
      <c r="F43" s="98">
        <v>46069</v>
      </c>
      <c r="G43" s="32" t="s">
        <v>35</v>
      </c>
      <c r="H43" s="147" t="s">
        <v>610</v>
      </c>
      <c r="I43" s="99">
        <v>46070</v>
      </c>
    </row>
    <row r="44" spans="1:9" x14ac:dyDescent="0.3">
      <c r="A44" s="30" t="str">
        <f t="shared" si="0"/>
        <v>EMO-1032</v>
      </c>
      <c r="B44" s="31" t="s">
        <v>342</v>
      </c>
      <c r="C44" s="148">
        <v>48162112</v>
      </c>
      <c r="D44" s="32" t="s">
        <v>446</v>
      </c>
      <c r="E44" s="32" t="s">
        <v>609</v>
      </c>
      <c r="F44" s="98">
        <v>46069</v>
      </c>
      <c r="G44" s="32" t="s">
        <v>38</v>
      </c>
      <c r="H44" s="147" t="s">
        <v>610</v>
      </c>
      <c r="I44" s="99">
        <v>46070</v>
      </c>
    </row>
    <row r="45" spans="1:9" x14ac:dyDescent="0.3">
      <c r="A45" s="30" t="str">
        <f t="shared" ref="A45:A76" si="1">IF(B45&lt;&gt;"", "EMO-" &amp; TEXT(1000 + ROW(A34) - 1, "0000"), "")</f>
        <v>EMO-1033</v>
      </c>
      <c r="B45" s="31" t="s">
        <v>343</v>
      </c>
      <c r="C45" s="148">
        <v>8754584</v>
      </c>
      <c r="D45" s="32" t="s">
        <v>447</v>
      </c>
      <c r="E45" s="32" t="s">
        <v>609</v>
      </c>
      <c r="F45" s="98">
        <v>46069</v>
      </c>
      <c r="G45" s="32" t="s">
        <v>38</v>
      </c>
      <c r="H45" s="147" t="s">
        <v>610</v>
      </c>
      <c r="I45" s="99">
        <v>46070</v>
      </c>
    </row>
    <row r="46" spans="1:9" x14ac:dyDescent="0.3">
      <c r="A46" s="30" t="str">
        <f t="shared" si="1"/>
        <v>EMO-1034</v>
      </c>
      <c r="B46" s="31" t="s">
        <v>344</v>
      </c>
      <c r="C46" s="148">
        <v>44125562</v>
      </c>
      <c r="D46" s="32" t="s">
        <v>448</v>
      </c>
      <c r="E46" s="32" t="s">
        <v>609</v>
      </c>
      <c r="F46" s="98">
        <v>46069</v>
      </c>
      <c r="G46" s="32" t="s">
        <v>38</v>
      </c>
      <c r="H46" s="147" t="s">
        <v>610</v>
      </c>
      <c r="I46" s="99">
        <v>46070</v>
      </c>
    </row>
    <row r="47" spans="1:9" x14ac:dyDescent="0.3">
      <c r="A47" s="30" t="str">
        <f t="shared" si="1"/>
        <v>EMO-1035</v>
      </c>
      <c r="B47" s="31" t="s">
        <v>345</v>
      </c>
      <c r="C47" s="148">
        <v>73340067</v>
      </c>
      <c r="D47" s="32" t="s">
        <v>449</v>
      </c>
      <c r="E47" s="32" t="s">
        <v>609</v>
      </c>
      <c r="F47" s="98">
        <v>46069</v>
      </c>
      <c r="G47" s="32" t="s">
        <v>38</v>
      </c>
      <c r="H47" s="147" t="s">
        <v>610</v>
      </c>
      <c r="I47" s="99">
        <v>46070</v>
      </c>
    </row>
    <row r="48" spans="1:9" x14ac:dyDescent="0.3">
      <c r="A48" s="30" t="str">
        <f t="shared" si="1"/>
        <v>EMO-1036</v>
      </c>
      <c r="B48" s="31" t="s">
        <v>346</v>
      </c>
      <c r="C48" s="148">
        <v>3496246</v>
      </c>
      <c r="D48" s="32" t="s">
        <v>450</v>
      </c>
      <c r="E48" s="32" t="s">
        <v>609</v>
      </c>
      <c r="F48" s="98">
        <v>46069</v>
      </c>
      <c r="G48" s="32" t="s">
        <v>38</v>
      </c>
      <c r="H48" s="147" t="s">
        <v>610</v>
      </c>
      <c r="I48" s="99">
        <v>46070</v>
      </c>
    </row>
    <row r="49" spans="1:9" x14ac:dyDescent="0.3">
      <c r="A49" s="30" t="str">
        <f t="shared" si="1"/>
        <v>EMO-1037</v>
      </c>
      <c r="B49" s="31" t="s">
        <v>578</v>
      </c>
      <c r="C49" s="148">
        <v>70346273</v>
      </c>
      <c r="D49" s="32" t="s">
        <v>451</v>
      </c>
      <c r="E49" s="32" t="s">
        <v>609</v>
      </c>
      <c r="F49" s="98">
        <v>46069</v>
      </c>
      <c r="G49" s="32" t="s">
        <v>35</v>
      </c>
      <c r="H49" s="147" t="s">
        <v>610</v>
      </c>
      <c r="I49" s="99">
        <v>46070</v>
      </c>
    </row>
    <row r="50" spans="1:9" x14ac:dyDescent="0.3">
      <c r="A50" s="30" t="str">
        <f t="shared" si="1"/>
        <v>EMO-1038</v>
      </c>
      <c r="B50" s="31" t="s">
        <v>347</v>
      </c>
      <c r="C50" s="148">
        <v>70346272</v>
      </c>
      <c r="D50" s="32" t="s">
        <v>436</v>
      </c>
      <c r="E50" s="32" t="s">
        <v>609</v>
      </c>
      <c r="F50" s="98">
        <v>46069</v>
      </c>
      <c r="G50" s="32" t="s">
        <v>35</v>
      </c>
      <c r="H50" s="147" t="s">
        <v>610</v>
      </c>
      <c r="I50" s="99">
        <v>46070</v>
      </c>
    </row>
    <row r="51" spans="1:9" x14ac:dyDescent="0.3">
      <c r="A51" s="30" t="str">
        <f t="shared" si="1"/>
        <v>EMO-1039</v>
      </c>
      <c r="B51" s="31" t="s">
        <v>348</v>
      </c>
      <c r="C51" s="148">
        <v>73671729</v>
      </c>
      <c r="D51" s="32" t="s">
        <v>452</v>
      </c>
      <c r="E51" s="32" t="s">
        <v>609</v>
      </c>
      <c r="F51" s="98">
        <v>46069</v>
      </c>
      <c r="G51" s="32" t="s">
        <v>35</v>
      </c>
      <c r="H51" s="147" t="s">
        <v>610</v>
      </c>
      <c r="I51" s="99">
        <v>46070</v>
      </c>
    </row>
    <row r="52" spans="1:9" x14ac:dyDescent="0.3">
      <c r="A52" s="30" t="str">
        <f t="shared" si="1"/>
        <v>EMO-1040</v>
      </c>
      <c r="B52" s="31" t="s">
        <v>349</v>
      </c>
      <c r="C52" s="148">
        <v>6772102</v>
      </c>
      <c r="D52" s="32" t="s">
        <v>453</v>
      </c>
      <c r="E52" s="32" t="s">
        <v>609</v>
      </c>
      <c r="F52" s="98">
        <v>46069</v>
      </c>
      <c r="G52" s="32" t="s">
        <v>38</v>
      </c>
      <c r="H52" s="147" t="s">
        <v>610</v>
      </c>
      <c r="I52" s="99">
        <v>46070</v>
      </c>
    </row>
    <row r="53" spans="1:9" x14ac:dyDescent="0.3">
      <c r="A53" s="30" t="str">
        <f t="shared" si="1"/>
        <v>EMO-1041</v>
      </c>
      <c r="B53" s="31" t="s">
        <v>350</v>
      </c>
      <c r="C53" s="148">
        <v>60918518</v>
      </c>
      <c r="D53" s="32" t="s">
        <v>454</v>
      </c>
      <c r="E53" s="32" t="s">
        <v>609</v>
      </c>
      <c r="F53" s="98">
        <v>46069</v>
      </c>
      <c r="G53" s="32" t="s">
        <v>35</v>
      </c>
      <c r="H53" s="147" t="s">
        <v>610</v>
      </c>
      <c r="I53" s="99">
        <v>46070</v>
      </c>
    </row>
    <row r="54" spans="1:9" x14ac:dyDescent="0.3">
      <c r="A54" s="30" t="str">
        <f t="shared" si="1"/>
        <v>EMO-1042</v>
      </c>
      <c r="B54" s="31" t="s">
        <v>351</v>
      </c>
      <c r="C54" s="148">
        <v>10738339</v>
      </c>
      <c r="D54" s="32" t="s">
        <v>449</v>
      </c>
      <c r="E54" s="32" t="s">
        <v>609</v>
      </c>
      <c r="F54" s="98">
        <v>46069</v>
      </c>
      <c r="G54" s="32" t="s">
        <v>38</v>
      </c>
      <c r="H54" s="147" t="s">
        <v>610</v>
      </c>
      <c r="I54" s="99">
        <v>46070</v>
      </c>
    </row>
    <row r="55" spans="1:9" x14ac:dyDescent="0.3">
      <c r="A55" s="30" t="str">
        <f t="shared" si="1"/>
        <v>EMO-1043</v>
      </c>
      <c r="B55" s="31" t="s">
        <v>352</v>
      </c>
      <c r="C55" s="148">
        <v>76638656</v>
      </c>
      <c r="D55" s="32" t="s">
        <v>455</v>
      </c>
      <c r="E55" s="32" t="s">
        <v>609</v>
      </c>
      <c r="F55" s="98">
        <v>46069</v>
      </c>
      <c r="G55" s="32" t="s">
        <v>35</v>
      </c>
      <c r="H55" s="147" t="s">
        <v>610</v>
      </c>
      <c r="I55" s="99">
        <v>46070</v>
      </c>
    </row>
    <row r="56" spans="1:9" x14ac:dyDescent="0.3">
      <c r="A56" s="30" t="str">
        <f t="shared" si="1"/>
        <v>EMO-1044</v>
      </c>
      <c r="B56" s="31" t="s">
        <v>579</v>
      </c>
      <c r="C56" s="148">
        <v>43193757</v>
      </c>
      <c r="D56" s="32" t="s">
        <v>456</v>
      </c>
      <c r="E56" s="32" t="s">
        <v>609</v>
      </c>
      <c r="F56" s="98">
        <v>46069</v>
      </c>
      <c r="G56" s="32" t="s">
        <v>38</v>
      </c>
      <c r="H56" s="147" t="s">
        <v>610</v>
      </c>
      <c r="I56" s="99">
        <v>46070</v>
      </c>
    </row>
    <row r="57" spans="1:9" x14ac:dyDescent="0.3">
      <c r="A57" s="30" t="str">
        <f t="shared" si="1"/>
        <v>EMO-1045</v>
      </c>
      <c r="B57" s="31" t="s">
        <v>353</v>
      </c>
      <c r="C57" s="148">
        <v>43975693</v>
      </c>
      <c r="D57" s="32" t="s">
        <v>457</v>
      </c>
      <c r="E57" s="32" t="s">
        <v>609</v>
      </c>
      <c r="F57" s="98">
        <v>46069</v>
      </c>
      <c r="G57" s="32" t="s">
        <v>520</v>
      </c>
      <c r="H57" s="147" t="s">
        <v>610</v>
      </c>
      <c r="I57" s="99">
        <v>46070</v>
      </c>
    </row>
    <row r="58" spans="1:9" x14ac:dyDescent="0.3">
      <c r="A58" s="30" t="str">
        <f t="shared" si="1"/>
        <v>EMO-1046</v>
      </c>
      <c r="B58" s="31" t="s">
        <v>354</v>
      </c>
      <c r="C58" s="148">
        <v>60418300</v>
      </c>
      <c r="D58" s="32" t="s">
        <v>438</v>
      </c>
      <c r="E58" s="32" t="s">
        <v>609</v>
      </c>
      <c r="F58" s="98">
        <v>46069</v>
      </c>
      <c r="G58" s="32" t="s">
        <v>35</v>
      </c>
      <c r="H58" s="147" t="s">
        <v>610</v>
      </c>
      <c r="I58" s="99">
        <v>46070</v>
      </c>
    </row>
    <row r="59" spans="1:9" x14ac:dyDescent="0.3">
      <c r="A59" s="30" t="str">
        <f t="shared" si="1"/>
        <v>EMO-1047</v>
      </c>
      <c r="B59" s="31" t="s">
        <v>355</v>
      </c>
      <c r="C59" s="148">
        <v>45957426</v>
      </c>
      <c r="D59" s="32" t="s">
        <v>458</v>
      </c>
      <c r="E59" s="32" t="s">
        <v>609</v>
      </c>
      <c r="F59" s="98">
        <v>46069</v>
      </c>
      <c r="G59" s="32" t="s">
        <v>38</v>
      </c>
      <c r="H59" s="147" t="s">
        <v>610</v>
      </c>
      <c r="I59" s="99">
        <v>46070</v>
      </c>
    </row>
    <row r="60" spans="1:9" x14ac:dyDescent="0.3">
      <c r="A60" s="30" t="str">
        <f t="shared" si="1"/>
        <v>EMO-1048</v>
      </c>
      <c r="B60" s="31" t="s">
        <v>356</v>
      </c>
      <c r="C60" s="148">
        <v>10060532</v>
      </c>
      <c r="D60" s="32" t="s">
        <v>459</v>
      </c>
      <c r="E60" s="32" t="s">
        <v>609</v>
      </c>
      <c r="F60" s="98">
        <v>46069</v>
      </c>
      <c r="G60" s="32" t="s">
        <v>35</v>
      </c>
      <c r="H60" s="147" t="s">
        <v>610</v>
      </c>
      <c r="I60" s="99">
        <v>46070</v>
      </c>
    </row>
    <row r="61" spans="1:9" x14ac:dyDescent="0.3">
      <c r="A61" s="30" t="str">
        <f t="shared" si="1"/>
        <v>EMO-1049</v>
      </c>
      <c r="B61" s="31" t="s">
        <v>357</v>
      </c>
      <c r="C61" s="148">
        <v>73808813</v>
      </c>
      <c r="D61" s="32" t="s">
        <v>460</v>
      </c>
      <c r="E61" s="32" t="s">
        <v>609</v>
      </c>
      <c r="F61" s="98">
        <v>46069</v>
      </c>
      <c r="G61" s="32" t="s">
        <v>38</v>
      </c>
      <c r="H61" s="147" t="s">
        <v>610</v>
      </c>
      <c r="I61" s="99">
        <v>46070</v>
      </c>
    </row>
    <row r="62" spans="1:9" x14ac:dyDescent="0.3">
      <c r="A62" s="30" t="str">
        <f t="shared" si="1"/>
        <v>EMO-1050</v>
      </c>
      <c r="B62" s="31" t="s">
        <v>358</v>
      </c>
      <c r="C62" s="148">
        <v>46276514</v>
      </c>
      <c r="D62" s="32" t="s">
        <v>461</v>
      </c>
      <c r="E62" s="32" t="s">
        <v>609</v>
      </c>
      <c r="F62" s="98">
        <v>46069</v>
      </c>
      <c r="G62" s="32" t="s">
        <v>38</v>
      </c>
      <c r="H62" s="147" t="s">
        <v>610</v>
      </c>
      <c r="I62" s="99">
        <v>46070</v>
      </c>
    </row>
    <row r="63" spans="1:9" x14ac:dyDescent="0.3">
      <c r="A63" s="30" t="str">
        <f t="shared" si="1"/>
        <v>EMO-1051</v>
      </c>
      <c r="B63" s="31" t="s">
        <v>359</v>
      </c>
      <c r="C63" s="148">
        <v>44839341</v>
      </c>
      <c r="D63" s="32" t="s">
        <v>432</v>
      </c>
      <c r="E63" s="32" t="s">
        <v>609</v>
      </c>
      <c r="F63" s="98">
        <v>46069</v>
      </c>
      <c r="G63" s="32" t="s">
        <v>520</v>
      </c>
      <c r="H63" s="147" t="s">
        <v>610</v>
      </c>
      <c r="I63" s="99">
        <v>46070</v>
      </c>
    </row>
    <row r="64" spans="1:9" x14ac:dyDescent="0.3">
      <c r="A64" s="30" t="str">
        <f t="shared" si="1"/>
        <v>EMO-1052</v>
      </c>
      <c r="B64" s="31" t="s">
        <v>360</v>
      </c>
      <c r="C64" s="148">
        <v>70794375</v>
      </c>
      <c r="D64" s="32" t="s">
        <v>462</v>
      </c>
      <c r="E64" s="32" t="s">
        <v>609</v>
      </c>
      <c r="F64" s="98">
        <v>46069</v>
      </c>
      <c r="G64" s="32" t="s">
        <v>35</v>
      </c>
      <c r="H64" s="147" t="s">
        <v>610</v>
      </c>
      <c r="I64" s="99">
        <v>46070</v>
      </c>
    </row>
    <row r="65" spans="1:9" x14ac:dyDescent="0.3">
      <c r="A65" s="30" t="str">
        <f t="shared" si="1"/>
        <v>EMO-1053</v>
      </c>
      <c r="B65" s="31" t="s">
        <v>518</v>
      </c>
      <c r="C65" s="148">
        <v>4306995</v>
      </c>
      <c r="D65" s="32" t="s">
        <v>519</v>
      </c>
      <c r="E65" s="32" t="s">
        <v>609</v>
      </c>
      <c r="F65" s="98">
        <v>46069</v>
      </c>
      <c r="G65" s="32" t="s">
        <v>38</v>
      </c>
      <c r="H65" s="147" t="s">
        <v>610</v>
      </c>
      <c r="I65" s="99">
        <v>46070</v>
      </c>
    </row>
    <row r="66" spans="1:9" x14ac:dyDescent="0.3">
      <c r="A66" s="30" t="str">
        <f t="shared" si="1"/>
        <v>EMO-1054</v>
      </c>
      <c r="B66" s="31" t="s">
        <v>361</v>
      </c>
      <c r="C66" s="148">
        <v>73099801</v>
      </c>
      <c r="D66" s="32" t="s">
        <v>428</v>
      </c>
      <c r="E66" s="32" t="s">
        <v>609</v>
      </c>
      <c r="F66" s="98">
        <v>46069</v>
      </c>
      <c r="G66" s="32" t="s">
        <v>38</v>
      </c>
      <c r="H66" s="147" t="s">
        <v>610</v>
      </c>
      <c r="I66" s="99">
        <v>46070</v>
      </c>
    </row>
    <row r="67" spans="1:9" x14ac:dyDescent="0.3">
      <c r="A67" s="30" t="str">
        <f t="shared" si="1"/>
        <v>EMO-1055</v>
      </c>
      <c r="B67" s="31" t="s">
        <v>362</v>
      </c>
      <c r="C67" s="148">
        <v>70346267</v>
      </c>
      <c r="D67" s="32" t="s">
        <v>463</v>
      </c>
      <c r="E67" s="32" t="s">
        <v>609</v>
      </c>
      <c r="F67" s="98">
        <v>46069</v>
      </c>
      <c r="G67" s="32" t="s">
        <v>520</v>
      </c>
      <c r="H67" s="147" t="s">
        <v>610</v>
      </c>
      <c r="I67" s="99">
        <v>46070</v>
      </c>
    </row>
    <row r="68" spans="1:9" x14ac:dyDescent="0.3">
      <c r="A68" s="30" t="str">
        <f t="shared" si="1"/>
        <v>EMO-1056</v>
      </c>
      <c r="B68" s="31" t="s">
        <v>363</v>
      </c>
      <c r="C68" s="148">
        <v>47695766</v>
      </c>
      <c r="D68" s="32" t="s">
        <v>464</v>
      </c>
      <c r="E68" s="32" t="s">
        <v>609</v>
      </c>
      <c r="F68" s="98">
        <v>46069</v>
      </c>
      <c r="G68" s="32" t="s">
        <v>35</v>
      </c>
      <c r="H68" s="147" t="s">
        <v>610</v>
      </c>
      <c r="I68" s="99">
        <v>46070</v>
      </c>
    </row>
    <row r="69" spans="1:9" x14ac:dyDescent="0.3">
      <c r="A69" s="30" t="str">
        <f t="shared" si="1"/>
        <v>EMO-1057</v>
      </c>
      <c r="B69" s="31" t="s">
        <v>364</v>
      </c>
      <c r="C69" s="148">
        <v>75620055</v>
      </c>
      <c r="D69" s="32" t="s">
        <v>436</v>
      </c>
      <c r="E69" s="32" t="s">
        <v>609</v>
      </c>
      <c r="F69" s="98">
        <v>46069</v>
      </c>
      <c r="G69" s="32" t="s">
        <v>35</v>
      </c>
      <c r="H69" s="147" t="s">
        <v>610</v>
      </c>
      <c r="I69" s="99">
        <v>46070</v>
      </c>
    </row>
    <row r="70" spans="1:9" x14ac:dyDescent="0.3">
      <c r="A70" s="30" t="str">
        <f t="shared" si="1"/>
        <v>EMO-1058</v>
      </c>
      <c r="B70" s="31" t="s">
        <v>365</v>
      </c>
      <c r="C70" s="148">
        <v>42083682</v>
      </c>
      <c r="D70" s="32" t="s">
        <v>441</v>
      </c>
      <c r="E70" s="32" t="s">
        <v>609</v>
      </c>
      <c r="F70" s="98">
        <v>46069</v>
      </c>
      <c r="G70" s="32" t="s">
        <v>38</v>
      </c>
      <c r="H70" s="147" t="s">
        <v>610</v>
      </c>
      <c r="I70" s="99">
        <v>46070</v>
      </c>
    </row>
    <row r="71" spans="1:9" x14ac:dyDescent="0.3">
      <c r="A71" s="30" t="str">
        <f t="shared" si="1"/>
        <v>EMO-1059</v>
      </c>
      <c r="B71" s="31" t="s">
        <v>366</v>
      </c>
      <c r="C71" s="148">
        <v>9655714</v>
      </c>
      <c r="D71" s="32" t="s">
        <v>425</v>
      </c>
      <c r="E71" s="32" t="s">
        <v>609</v>
      </c>
      <c r="F71" s="98">
        <v>46069</v>
      </c>
      <c r="G71" s="32" t="s">
        <v>38</v>
      </c>
      <c r="H71" s="147" t="s">
        <v>610</v>
      </c>
      <c r="I71" s="99">
        <v>46070</v>
      </c>
    </row>
    <row r="72" spans="1:9" x14ac:dyDescent="0.3">
      <c r="A72" s="30" t="str">
        <f t="shared" si="1"/>
        <v>EMO-1060</v>
      </c>
      <c r="B72" s="31" t="s">
        <v>367</v>
      </c>
      <c r="C72" s="148">
        <v>47652437</v>
      </c>
      <c r="D72" s="32" t="s">
        <v>465</v>
      </c>
      <c r="E72" s="32" t="s">
        <v>609</v>
      </c>
      <c r="F72" s="98">
        <v>46069</v>
      </c>
      <c r="G72" s="32" t="s">
        <v>520</v>
      </c>
      <c r="H72" s="147" t="s">
        <v>610</v>
      </c>
      <c r="I72" s="99">
        <v>46070</v>
      </c>
    </row>
    <row r="73" spans="1:9" x14ac:dyDescent="0.3">
      <c r="A73" s="30" t="str">
        <f t="shared" si="1"/>
        <v>EMO-1061</v>
      </c>
      <c r="B73" s="31" t="s">
        <v>368</v>
      </c>
      <c r="C73" s="148">
        <v>73481775</v>
      </c>
      <c r="D73" s="32" t="s">
        <v>466</v>
      </c>
      <c r="E73" s="32" t="s">
        <v>609</v>
      </c>
      <c r="F73" s="98">
        <v>46069</v>
      </c>
      <c r="G73" s="32" t="s">
        <v>520</v>
      </c>
      <c r="H73" s="147" t="s">
        <v>610</v>
      </c>
      <c r="I73" s="99">
        <v>46070</v>
      </c>
    </row>
    <row r="74" spans="1:9" x14ac:dyDescent="0.3">
      <c r="A74" s="30" t="str">
        <f t="shared" si="1"/>
        <v>EMO-1062</v>
      </c>
      <c r="B74" s="31" t="s">
        <v>369</v>
      </c>
      <c r="C74" s="148">
        <v>48144866</v>
      </c>
      <c r="D74" s="32" t="s">
        <v>428</v>
      </c>
      <c r="E74" s="32" t="s">
        <v>609</v>
      </c>
      <c r="F74" s="98">
        <v>46069</v>
      </c>
      <c r="G74" s="32" t="s">
        <v>35</v>
      </c>
      <c r="H74" s="147" t="s">
        <v>610</v>
      </c>
      <c r="I74" s="99">
        <v>46070</v>
      </c>
    </row>
    <row r="75" spans="1:9" x14ac:dyDescent="0.3">
      <c r="A75" s="30" t="str">
        <f t="shared" si="1"/>
        <v>EMO-1063</v>
      </c>
      <c r="B75" s="31" t="s">
        <v>510</v>
      </c>
      <c r="C75" s="148">
        <v>9073506</v>
      </c>
      <c r="D75" s="32" t="s">
        <v>517</v>
      </c>
      <c r="E75" s="32" t="s">
        <v>609</v>
      </c>
      <c r="F75" s="98">
        <v>46069</v>
      </c>
      <c r="G75" s="32" t="s">
        <v>38</v>
      </c>
      <c r="H75" s="147" t="s">
        <v>610</v>
      </c>
      <c r="I75" s="99">
        <v>46070</v>
      </c>
    </row>
    <row r="76" spans="1:9" x14ac:dyDescent="0.3">
      <c r="A76" s="30" t="str">
        <f t="shared" si="1"/>
        <v>EMO-1064</v>
      </c>
      <c r="B76" s="31" t="s">
        <v>370</v>
      </c>
      <c r="C76" s="148">
        <v>433686</v>
      </c>
      <c r="D76" s="32" t="s">
        <v>467</v>
      </c>
      <c r="E76" s="32" t="s">
        <v>609</v>
      </c>
      <c r="F76" s="98">
        <v>46069</v>
      </c>
      <c r="G76" s="32" t="s">
        <v>35</v>
      </c>
      <c r="H76" s="147" t="s">
        <v>610</v>
      </c>
      <c r="I76" s="99">
        <v>46070</v>
      </c>
    </row>
    <row r="77" spans="1:9" x14ac:dyDescent="0.3">
      <c r="A77" s="30" t="str">
        <f t="shared" ref="A77:A108" si="2">IF(B77&lt;&gt;"", "EMO-" &amp; TEXT(1000 + ROW(A66) - 1, "0000"), "")</f>
        <v>EMO-1065</v>
      </c>
      <c r="B77" s="31" t="s">
        <v>371</v>
      </c>
      <c r="C77" s="148">
        <v>72759604</v>
      </c>
      <c r="D77" s="32" t="s">
        <v>582</v>
      </c>
      <c r="E77" s="32" t="s">
        <v>609</v>
      </c>
      <c r="F77" s="98">
        <v>46069</v>
      </c>
      <c r="G77" s="32" t="s">
        <v>35</v>
      </c>
      <c r="H77" s="147" t="s">
        <v>610</v>
      </c>
      <c r="I77" s="99">
        <v>46070</v>
      </c>
    </row>
    <row r="78" spans="1:9" x14ac:dyDescent="0.3">
      <c r="A78" s="30" t="str">
        <f t="shared" si="2"/>
        <v>EMO-1066</v>
      </c>
      <c r="B78" s="31" t="s">
        <v>372</v>
      </c>
      <c r="C78" s="148">
        <v>45310288</v>
      </c>
      <c r="D78" s="32" t="s">
        <v>435</v>
      </c>
      <c r="E78" s="32" t="s">
        <v>609</v>
      </c>
      <c r="F78" s="98">
        <v>46069</v>
      </c>
      <c r="G78" s="32" t="s">
        <v>520</v>
      </c>
      <c r="H78" s="147" t="s">
        <v>610</v>
      </c>
      <c r="I78" s="99">
        <v>46070</v>
      </c>
    </row>
    <row r="79" spans="1:9" x14ac:dyDescent="0.3">
      <c r="A79" s="30" t="str">
        <f t="shared" si="2"/>
        <v>EMO-1067</v>
      </c>
      <c r="B79" s="31" t="s">
        <v>373</v>
      </c>
      <c r="C79" s="148">
        <v>77344625</v>
      </c>
      <c r="D79" s="32" t="s">
        <v>468</v>
      </c>
      <c r="E79" s="32" t="s">
        <v>609</v>
      </c>
      <c r="F79" s="98">
        <v>46069</v>
      </c>
      <c r="G79" s="32" t="s">
        <v>38</v>
      </c>
      <c r="H79" s="147" t="s">
        <v>610</v>
      </c>
      <c r="I79" s="99">
        <v>46070</v>
      </c>
    </row>
    <row r="80" spans="1:9" x14ac:dyDescent="0.3">
      <c r="A80" s="30" t="str">
        <f t="shared" si="2"/>
        <v>EMO-1068</v>
      </c>
      <c r="B80" s="31" t="s">
        <v>374</v>
      </c>
      <c r="C80" s="148">
        <v>75268060</v>
      </c>
      <c r="D80" s="32" t="s">
        <v>469</v>
      </c>
      <c r="E80" s="32" t="s">
        <v>609</v>
      </c>
      <c r="F80" s="98">
        <v>46069</v>
      </c>
      <c r="G80" s="32" t="s">
        <v>38</v>
      </c>
      <c r="H80" s="147" t="s">
        <v>610</v>
      </c>
      <c r="I80" s="99">
        <v>46070</v>
      </c>
    </row>
    <row r="81" spans="1:9" x14ac:dyDescent="0.3">
      <c r="A81" s="30" t="str">
        <f t="shared" si="2"/>
        <v>EMO-1069</v>
      </c>
      <c r="B81" s="31" t="s">
        <v>375</v>
      </c>
      <c r="C81" s="148">
        <v>45144020</v>
      </c>
      <c r="D81" s="32" t="s">
        <v>470</v>
      </c>
      <c r="E81" s="32" t="s">
        <v>609</v>
      </c>
      <c r="F81" s="98">
        <v>46069</v>
      </c>
      <c r="G81" s="32" t="s">
        <v>520</v>
      </c>
      <c r="H81" s="147" t="s">
        <v>610</v>
      </c>
      <c r="I81" s="99">
        <v>46070</v>
      </c>
    </row>
    <row r="82" spans="1:9" x14ac:dyDescent="0.3">
      <c r="A82" s="30" t="str">
        <f t="shared" si="2"/>
        <v>EMO-1070</v>
      </c>
      <c r="B82" s="31" t="s">
        <v>376</v>
      </c>
      <c r="C82" s="148">
        <v>10577555</v>
      </c>
      <c r="D82" s="32" t="s">
        <v>471</v>
      </c>
      <c r="E82" s="32" t="s">
        <v>609</v>
      </c>
      <c r="F82" s="98">
        <v>46069</v>
      </c>
      <c r="G82" s="32" t="s">
        <v>35</v>
      </c>
      <c r="H82" s="147" t="s">
        <v>610</v>
      </c>
      <c r="I82" s="99">
        <v>46070</v>
      </c>
    </row>
    <row r="83" spans="1:9" x14ac:dyDescent="0.3">
      <c r="A83" s="30" t="str">
        <f t="shared" si="2"/>
        <v>EMO-1071</v>
      </c>
      <c r="B83" s="31" t="s">
        <v>377</v>
      </c>
      <c r="C83" s="148">
        <v>70110862</v>
      </c>
      <c r="D83" s="32" t="s">
        <v>472</v>
      </c>
      <c r="E83" s="32" t="s">
        <v>609</v>
      </c>
      <c r="F83" s="98">
        <v>46069</v>
      </c>
      <c r="G83" s="32" t="s">
        <v>520</v>
      </c>
      <c r="H83" s="147" t="s">
        <v>610</v>
      </c>
      <c r="I83" s="99">
        <v>46070</v>
      </c>
    </row>
    <row r="84" spans="1:9" x14ac:dyDescent="0.3">
      <c r="A84" s="30" t="str">
        <f t="shared" si="2"/>
        <v>EMO-1072</v>
      </c>
      <c r="B84" s="31" t="s">
        <v>378</v>
      </c>
      <c r="C84" s="148">
        <v>43747439</v>
      </c>
      <c r="D84" s="32" t="s">
        <v>421</v>
      </c>
      <c r="E84" s="32" t="s">
        <v>609</v>
      </c>
      <c r="F84" s="98">
        <v>46069</v>
      </c>
      <c r="G84" s="32" t="s">
        <v>520</v>
      </c>
      <c r="H84" s="147" t="s">
        <v>610</v>
      </c>
      <c r="I84" s="99">
        <v>46070</v>
      </c>
    </row>
    <row r="85" spans="1:9" x14ac:dyDescent="0.3">
      <c r="A85" s="30" t="str">
        <f t="shared" si="2"/>
        <v>EMO-1073</v>
      </c>
      <c r="B85" s="31" t="s">
        <v>379</v>
      </c>
      <c r="C85" s="148">
        <v>47259573</v>
      </c>
      <c r="D85" s="32" t="s">
        <v>430</v>
      </c>
      <c r="E85" s="32" t="s">
        <v>609</v>
      </c>
      <c r="F85" s="98">
        <v>46069</v>
      </c>
      <c r="G85" s="32" t="s">
        <v>520</v>
      </c>
      <c r="H85" s="147" t="s">
        <v>610</v>
      </c>
      <c r="I85" s="99">
        <v>46070</v>
      </c>
    </row>
    <row r="86" spans="1:9" x14ac:dyDescent="0.3">
      <c r="A86" s="30" t="str">
        <f t="shared" si="2"/>
        <v>EMO-1074</v>
      </c>
      <c r="B86" s="31" t="s">
        <v>380</v>
      </c>
      <c r="C86" s="148">
        <v>77232866</v>
      </c>
      <c r="D86" s="32" t="s">
        <v>449</v>
      </c>
      <c r="E86" s="32" t="s">
        <v>609</v>
      </c>
      <c r="F86" s="98">
        <v>46069</v>
      </c>
      <c r="G86" s="32" t="s">
        <v>35</v>
      </c>
      <c r="H86" s="147" t="s">
        <v>610</v>
      </c>
      <c r="I86" s="99">
        <v>46070</v>
      </c>
    </row>
    <row r="87" spans="1:9" x14ac:dyDescent="0.3">
      <c r="A87" s="30" t="str">
        <f t="shared" si="2"/>
        <v>EMO-1075</v>
      </c>
      <c r="B87" s="31" t="s">
        <v>381</v>
      </c>
      <c r="C87" s="148">
        <v>43888135</v>
      </c>
      <c r="D87" s="32" t="s">
        <v>473</v>
      </c>
      <c r="E87" s="32" t="s">
        <v>609</v>
      </c>
      <c r="F87" s="98">
        <v>46069</v>
      </c>
      <c r="G87" s="32" t="s">
        <v>520</v>
      </c>
      <c r="H87" s="147" t="s">
        <v>610</v>
      </c>
      <c r="I87" s="99">
        <v>46070</v>
      </c>
    </row>
    <row r="88" spans="1:9" x14ac:dyDescent="0.3">
      <c r="A88" s="30" t="str">
        <f t="shared" si="2"/>
        <v>EMO-1076</v>
      </c>
      <c r="B88" s="31" t="s">
        <v>382</v>
      </c>
      <c r="C88" s="148">
        <v>40756719</v>
      </c>
      <c r="D88" s="32" t="s">
        <v>474</v>
      </c>
      <c r="E88" s="32" t="s">
        <v>609</v>
      </c>
      <c r="F88" s="98">
        <v>46069</v>
      </c>
      <c r="G88" s="32" t="s">
        <v>520</v>
      </c>
      <c r="H88" s="147" t="s">
        <v>610</v>
      </c>
      <c r="I88" s="99">
        <v>46070</v>
      </c>
    </row>
    <row r="89" spans="1:9" x14ac:dyDescent="0.3">
      <c r="A89" s="30" t="str">
        <f t="shared" si="2"/>
        <v>EMO-1077</v>
      </c>
      <c r="B89" s="31" t="s">
        <v>383</v>
      </c>
      <c r="C89" s="148">
        <v>45441597</v>
      </c>
      <c r="D89" s="32" t="s">
        <v>436</v>
      </c>
      <c r="E89" s="32" t="s">
        <v>609</v>
      </c>
      <c r="F89" s="98">
        <v>46069</v>
      </c>
      <c r="G89" s="32" t="s">
        <v>520</v>
      </c>
      <c r="H89" s="147" t="s">
        <v>610</v>
      </c>
      <c r="I89" s="99">
        <v>46070</v>
      </c>
    </row>
    <row r="90" spans="1:9" x14ac:dyDescent="0.3">
      <c r="A90" s="30" t="str">
        <f t="shared" si="2"/>
        <v>EMO-1078</v>
      </c>
      <c r="B90" s="31" t="s">
        <v>384</v>
      </c>
      <c r="C90" s="148">
        <v>76188564</v>
      </c>
      <c r="D90" s="32" t="s">
        <v>431</v>
      </c>
      <c r="E90" s="32" t="s">
        <v>609</v>
      </c>
      <c r="F90" s="98">
        <v>46069</v>
      </c>
      <c r="G90" s="32" t="s">
        <v>520</v>
      </c>
      <c r="H90" s="147" t="s">
        <v>610</v>
      </c>
      <c r="I90" s="99">
        <v>46070</v>
      </c>
    </row>
    <row r="91" spans="1:9" x14ac:dyDescent="0.3">
      <c r="A91" s="30" t="str">
        <f t="shared" si="2"/>
        <v>EMO-1079</v>
      </c>
      <c r="B91" s="31" t="s">
        <v>385</v>
      </c>
      <c r="C91" s="148">
        <v>75578447</v>
      </c>
      <c r="D91" s="32" t="s">
        <v>441</v>
      </c>
      <c r="E91" s="32" t="s">
        <v>609</v>
      </c>
      <c r="F91" s="98">
        <v>46069</v>
      </c>
      <c r="G91" s="32" t="s">
        <v>520</v>
      </c>
      <c r="H91" s="147" t="s">
        <v>610</v>
      </c>
      <c r="I91" s="99">
        <v>46070</v>
      </c>
    </row>
    <row r="92" spans="1:9" x14ac:dyDescent="0.3">
      <c r="A92" s="30" t="str">
        <f t="shared" si="2"/>
        <v>EMO-1080</v>
      </c>
      <c r="B92" s="31" t="s">
        <v>515</v>
      </c>
      <c r="C92" s="148">
        <v>6726972</v>
      </c>
      <c r="D92" s="32" t="s">
        <v>516</v>
      </c>
      <c r="E92" s="32" t="s">
        <v>609</v>
      </c>
      <c r="F92" s="98">
        <v>46069</v>
      </c>
      <c r="G92" s="32" t="s">
        <v>520</v>
      </c>
      <c r="H92" s="147" t="s">
        <v>610</v>
      </c>
      <c r="I92" s="99">
        <v>46070</v>
      </c>
    </row>
    <row r="93" spans="1:9" x14ac:dyDescent="0.3">
      <c r="A93" s="30" t="str">
        <f t="shared" si="2"/>
        <v>EMO-1081</v>
      </c>
      <c r="B93" s="31" t="s">
        <v>386</v>
      </c>
      <c r="C93" s="148">
        <v>75567346</v>
      </c>
      <c r="D93" s="32" t="s">
        <v>421</v>
      </c>
      <c r="E93" s="32" t="s">
        <v>609</v>
      </c>
      <c r="F93" s="98">
        <v>46069</v>
      </c>
      <c r="G93" s="32" t="s">
        <v>35</v>
      </c>
      <c r="H93" s="147" t="s">
        <v>610</v>
      </c>
      <c r="I93" s="99">
        <v>46070</v>
      </c>
    </row>
    <row r="94" spans="1:9" x14ac:dyDescent="0.3">
      <c r="A94" s="30" t="str">
        <f t="shared" si="2"/>
        <v>EMO-1082</v>
      </c>
      <c r="B94" s="31" t="s">
        <v>387</v>
      </c>
      <c r="C94" s="148">
        <v>74299722</v>
      </c>
      <c r="D94" s="32" t="s">
        <v>446</v>
      </c>
      <c r="E94" s="32" t="s">
        <v>609</v>
      </c>
      <c r="F94" s="98">
        <v>46069</v>
      </c>
      <c r="G94" s="32" t="s">
        <v>520</v>
      </c>
      <c r="H94" s="147" t="s">
        <v>610</v>
      </c>
      <c r="I94" s="99">
        <v>46070</v>
      </c>
    </row>
    <row r="95" spans="1:9" x14ac:dyDescent="0.3">
      <c r="A95" s="30" t="str">
        <f t="shared" si="2"/>
        <v>EMO-1083</v>
      </c>
      <c r="B95" s="31" t="s">
        <v>388</v>
      </c>
      <c r="C95" s="148">
        <v>10376402</v>
      </c>
      <c r="D95" s="32" t="s">
        <v>431</v>
      </c>
      <c r="E95" s="32" t="s">
        <v>609</v>
      </c>
      <c r="F95" s="98">
        <v>46069</v>
      </c>
      <c r="G95" s="32" t="s">
        <v>520</v>
      </c>
      <c r="H95" s="147" t="s">
        <v>610</v>
      </c>
      <c r="I95" s="99">
        <v>46070</v>
      </c>
    </row>
    <row r="96" spans="1:9" x14ac:dyDescent="0.3">
      <c r="A96" s="30" t="str">
        <f t="shared" si="2"/>
        <v>EMO-1084</v>
      </c>
      <c r="B96" s="31" t="s">
        <v>389</v>
      </c>
      <c r="C96" s="148">
        <v>75118894</v>
      </c>
      <c r="D96" s="32" t="s">
        <v>425</v>
      </c>
      <c r="E96" s="32" t="s">
        <v>609</v>
      </c>
      <c r="F96" s="98">
        <v>46069</v>
      </c>
      <c r="G96" s="32" t="s">
        <v>35</v>
      </c>
      <c r="H96" s="147" t="s">
        <v>610</v>
      </c>
      <c r="I96" s="99">
        <v>46070</v>
      </c>
    </row>
    <row r="97" spans="1:9" x14ac:dyDescent="0.3">
      <c r="A97" s="30" t="str">
        <f t="shared" si="2"/>
        <v>EMO-1085</v>
      </c>
      <c r="B97" s="31" t="s">
        <v>390</v>
      </c>
      <c r="C97" s="148">
        <v>44817038</v>
      </c>
      <c r="D97" s="32" t="s">
        <v>428</v>
      </c>
      <c r="E97" s="32" t="s">
        <v>609</v>
      </c>
      <c r="F97" s="98">
        <v>46069</v>
      </c>
      <c r="G97" s="32" t="s">
        <v>520</v>
      </c>
      <c r="H97" s="147" t="s">
        <v>610</v>
      </c>
      <c r="I97" s="99">
        <v>46070</v>
      </c>
    </row>
    <row r="98" spans="1:9" x14ac:dyDescent="0.3">
      <c r="A98" s="30" t="str">
        <f t="shared" si="2"/>
        <v>EMO-1086</v>
      </c>
      <c r="B98" s="31" t="s">
        <v>391</v>
      </c>
      <c r="C98" s="148">
        <v>42499246</v>
      </c>
      <c r="D98" s="32" t="s">
        <v>424</v>
      </c>
      <c r="E98" s="32" t="s">
        <v>609</v>
      </c>
      <c r="F98" s="98">
        <v>46069</v>
      </c>
      <c r="G98" s="32" t="s">
        <v>38</v>
      </c>
      <c r="H98" s="147" t="s">
        <v>610</v>
      </c>
      <c r="I98" s="99">
        <v>46070</v>
      </c>
    </row>
    <row r="99" spans="1:9" x14ac:dyDescent="0.3">
      <c r="A99" s="30" t="str">
        <f t="shared" si="2"/>
        <v>EMO-1087</v>
      </c>
      <c r="B99" s="31" t="s">
        <v>392</v>
      </c>
      <c r="C99" s="148">
        <v>46765199</v>
      </c>
      <c r="D99" s="32" t="s">
        <v>432</v>
      </c>
      <c r="E99" s="32" t="s">
        <v>609</v>
      </c>
      <c r="F99" s="98">
        <v>46069</v>
      </c>
      <c r="G99" s="32" t="s">
        <v>520</v>
      </c>
      <c r="H99" s="147" t="s">
        <v>610</v>
      </c>
      <c r="I99" s="99">
        <v>46070</v>
      </c>
    </row>
    <row r="100" spans="1:9" x14ac:dyDescent="0.3">
      <c r="A100" s="30" t="str">
        <f t="shared" si="2"/>
        <v>EMO-1088</v>
      </c>
      <c r="B100" s="31" t="s">
        <v>393</v>
      </c>
      <c r="C100" s="148">
        <v>40555173</v>
      </c>
      <c r="D100" s="32" t="s">
        <v>425</v>
      </c>
      <c r="E100" s="32" t="s">
        <v>609</v>
      </c>
      <c r="F100" s="98">
        <v>46069</v>
      </c>
      <c r="G100" s="32" t="s">
        <v>520</v>
      </c>
      <c r="H100" s="147" t="s">
        <v>610</v>
      </c>
      <c r="I100" s="99">
        <v>46070</v>
      </c>
    </row>
    <row r="101" spans="1:9" x14ac:dyDescent="0.3">
      <c r="A101" s="30" t="str">
        <f t="shared" si="2"/>
        <v>EMO-1089</v>
      </c>
      <c r="B101" s="31" t="s">
        <v>580</v>
      </c>
      <c r="C101" s="148">
        <v>6026998</v>
      </c>
      <c r="D101" s="32" t="s">
        <v>583</v>
      </c>
      <c r="E101" s="32" t="s">
        <v>609</v>
      </c>
      <c r="F101" s="98">
        <v>46069</v>
      </c>
      <c r="G101" s="32" t="s">
        <v>38</v>
      </c>
      <c r="H101" s="147" t="s">
        <v>610</v>
      </c>
      <c r="I101" s="99">
        <v>46070</v>
      </c>
    </row>
    <row r="102" spans="1:9" x14ac:dyDescent="0.3">
      <c r="A102" s="30" t="str">
        <f t="shared" si="2"/>
        <v>EMO-1090</v>
      </c>
      <c r="B102" s="31" t="s">
        <v>394</v>
      </c>
      <c r="C102" s="148">
        <v>10720158</v>
      </c>
      <c r="D102" s="32" t="s">
        <v>449</v>
      </c>
      <c r="E102" s="32" t="s">
        <v>609</v>
      </c>
      <c r="F102" s="98">
        <v>46069</v>
      </c>
      <c r="G102" s="32" t="s">
        <v>38</v>
      </c>
      <c r="H102" s="147" t="s">
        <v>610</v>
      </c>
      <c r="I102" s="99">
        <v>46070</v>
      </c>
    </row>
    <row r="103" spans="1:9" x14ac:dyDescent="0.3">
      <c r="A103" s="30" t="str">
        <f t="shared" si="2"/>
        <v>EMO-1091</v>
      </c>
      <c r="B103" s="31" t="s">
        <v>581</v>
      </c>
      <c r="C103" s="148">
        <v>42604453</v>
      </c>
      <c r="D103" s="32" t="s">
        <v>449</v>
      </c>
      <c r="E103" s="32" t="s">
        <v>609</v>
      </c>
      <c r="F103" s="98">
        <v>46069</v>
      </c>
      <c r="G103" s="32" t="s">
        <v>520</v>
      </c>
      <c r="H103" s="147" t="s">
        <v>610</v>
      </c>
      <c r="I103" s="99">
        <v>46070</v>
      </c>
    </row>
    <row r="104" spans="1:9" x14ac:dyDescent="0.3">
      <c r="A104" s="30" t="str">
        <f t="shared" si="2"/>
        <v>EMO-1092</v>
      </c>
      <c r="B104" s="31" t="s">
        <v>395</v>
      </c>
      <c r="C104" s="148">
        <v>75338214</v>
      </c>
      <c r="D104" s="32" t="s">
        <v>428</v>
      </c>
      <c r="E104" s="32" t="s">
        <v>609</v>
      </c>
      <c r="F104" s="98">
        <v>46069</v>
      </c>
      <c r="G104" s="32" t="s">
        <v>35</v>
      </c>
      <c r="H104" s="147" t="s">
        <v>610</v>
      </c>
      <c r="I104" s="99">
        <v>46070</v>
      </c>
    </row>
    <row r="105" spans="1:9" x14ac:dyDescent="0.3">
      <c r="A105" s="30" t="str">
        <f t="shared" si="2"/>
        <v>EMO-1093</v>
      </c>
      <c r="B105" s="31" t="s">
        <v>396</v>
      </c>
      <c r="C105" s="148">
        <v>72765369</v>
      </c>
      <c r="D105" s="32" t="s">
        <v>584</v>
      </c>
      <c r="E105" s="32" t="s">
        <v>609</v>
      </c>
      <c r="F105" s="98">
        <v>46069</v>
      </c>
      <c r="G105" s="32" t="s">
        <v>38</v>
      </c>
      <c r="H105" s="147" t="s">
        <v>610</v>
      </c>
      <c r="I105" s="99">
        <v>46070</v>
      </c>
    </row>
    <row r="106" spans="1:9" x14ac:dyDescent="0.3">
      <c r="A106" s="30" t="str">
        <f t="shared" si="2"/>
        <v>EMO-1094</v>
      </c>
      <c r="B106" s="31" t="s">
        <v>397</v>
      </c>
      <c r="C106" s="148">
        <v>42915986</v>
      </c>
      <c r="D106" s="32" t="s">
        <v>475</v>
      </c>
      <c r="E106" s="32" t="s">
        <v>609</v>
      </c>
      <c r="F106" s="98">
        <v>46069</v>
      </c>
      <c r="G106" s="32" t="s">
        <v>38</v>
      </c>
      <c r="H106" s="147" t="s">
        <v>610</v>
      </c>
      <c r="I106" s="99">
        <v>46070</v>
      </c>
    </row>
    <row r="107" spans="1:9" x14ac:dyDescent="0.3">
      <c r="A107" s="30" t="str">
        <f t="shared" si="2"/>
        <v>EMO-1095</v>
      </c>
      <c r="B107" s="31" t="s">
        <v>398</v>
      </c>
      <c r="C107" s="148">
        <v>21867392</v>
      </c>
      <c r="D107" s="32" t="s">
        <v>425</v>
      </c>
      <c r="E107" s="32" t="s">
        <v>609</v>
      </c>
      <c r="F107" s="98">
        <v>46069</v>
      </c>
      <c r="G107" s="32" t="s">
        <v>38</v>
      </c>
      <c r="H107" s="147" t="s">
        <v>610</v>
      </c>
      <c r="I107" s="99">
        <v>46070</v>
      </c>
    </row>
    <row r="108" spans="1:9" x14ac:dyDescent="0.3">
      <c r="A108" s="30" t="str">
        <f t="shared" si="2"/>
        <v>EMO-1096</v>
      </c>
      <c r="B108" s="31" t="s">
        <v>399</v>
      </c>
      <c r="C108" s="148">
        <v>16652334</v>
      </c>
      <c r="D108" s="32" t="s">
        <v>431</v>
      </c>
      <c r="E108" s="32" t="s">
        <v>609</v>
      </c>
      <c r="F108" s="98">
        <v>46069</v>
      </c>
      <c r="G108" s="32" t="s">
        <v>38</v>
      </c>
      <c r="H108" s="147" t="s">
        <v>610</v>
      </c>
      <c r="I108" s="99">
        <v>46070</v>
      </c>
    </row>
    <row r="109" spans="1:9" x14ac:dyDescent="0.3">
      <c r="A109" s="30" t="str">
        <f t="shared" ref="A109:A129" si="3">IF(B109&lt;&gt;"", "EMO-" &amp; TEXT(1000 + ROW(A98) - 1, "0000"), "")</f>
        <v>EMO-1097</v>
      </c>
      <c r="B109" s="31" t="s">
        <v>400</v>
      </c>
      <c r="C109" s="148">
        <v>44849912</v>
      </c>
      <c r="D109" s="32" t="s">
        <v>449</v>
      </c>
      <c r="E109" s="32" t="s">
        <v>609</v>
      </c>
      <c r="F109" s="98">
        <v>46069</v>
      </c>
      <c r="G109" s="32" t="s">
        <v>35</v>
      </c>
      <c r="H109" s="147" t="s">
        <v>610</v>
      </c>
      <c r="I109" s="99">
        <v>46070</v>
      </c>
    </row>
    <row r="110" spans="1:9" x14ac:dyDescent="0.3">
      <c r="A110" s="30" t="str">
        <f t="shared" si="3"/>
        <v>EMO-1098</v>
      </c>
      <c r="B110" s="31" t="s">
        <v>401</v>
      </c>
      <c r="C110" s="148">
        <v>10335154</v>
      </c>
      <c r="D110" s="32" t="s">
        <v>435</v>
      </c>
      <c r="E110" s="32" t="s">
        <v>609</v>
      </c>
      <c r="F110" s="98">
        <v>46069</v>
      </c>
      <c r="G110" s="32" t="s">
        <v>38</v>
      </c>
      <c r="H110" s="147" t="s">
        <v>610</v>
      </c>
      <c r="I110" s="99">
        <v>46070</v>
      </c>
    </row>
    <row r="111" spans="1:9" x14ac:dyDescent="0.3">
      <c r="A111" s="30" t="str">
        <f t="shared" si="3"/>
        <v>EMO-1099</v>
      </c>
      <c r="B111" s="31" t="s">
        <v>402</v>
      </c>
      <c r="C111" s="148">
        <v>40702358</v>
      </c>
      <c r="D111" s="32" t="s">
        <v>585</v>
      </c>
      <c r="E111" s="32" t="s">
        <v>609</v>
      </c>
      <c r="F111" s="98">
        <v>46069</v>
      </c>
      <c r="G111" s="32" t="s">
        <v>38</v>
      </c>
      <c r="H111" s="147" t="s">
        <v>610</v>
      </c>
      <c r="I111" s="99">
        <v>46070</v>
      </c>
    </row>
    <row r="112" spans="1:9" x14ac:dyDescent="0.3">
      <c r="A112" s="30" t="str">
        <f t="shared" si="3"/>
        <v>EMO-1100</v>
      </c>
      <c r="B112" s="31" t="s">
        <v>403</v>
      </c>
      <c r="C112" s="148">
        <v>47361655</v>
      </c>
      <c r="D112" s="32" t="s">
        <v>476</v>
      </c>
      <c r="E112" s="32" t="s">
        <v>609</v>
      </c>
      <c r="F112" s="98">
        <v>46069</v>
      </c>
      <c r="G112" s="32" t="s">
        <v>38</v>
      </c>
      <c r="H112" s="147" t="s">
        <v>610</v>
      </c>
      <c r="I112" s="99">
        <v>46070</v>
      </c>
    </row>
    <row r="113" spans="1:9" x14ac:dyDescent="0.3">
      <c r="A113" s="30" t="str">
        <f t="shared" si="3"/>
        <v>EMO-1101</v>
      </c>
      <c r="B113" s="31" t="s">
        <v>404</v>
      </c>
      <c r="C113" s="148">
        <v>76624943</v>
      </c>
      <c r="D113" s="32" t="s">
        <v>453</v>
      </c>
      <c r="E113" s="32" t="s">
        <v>609</v>
      </c>
      <c r="F113" s="98">
        <v>46069</v>
      </c>
      <c r="G113" s="32" t="s">
        <v>35</v>
      </c>
      <c r="H113" s="147" t="s">
        <v>610</v>
      </c>
      <c r="I113" s="99">
        <v>46070</v>
      </c>
    </row>
    <row r="114" spans="1:9" x14ac:dyDescent="0.3">
      <c r="A114" s="30" t="str">
        <f t="shared" si="3"/>
        <v>EMO-1102</v>
      </c>
      <c r="B114" s="31" t="s">
        <v>405</v>
      </c>
      <c r="C114" s="148">
        <v>9844603</v>
      </c>
      <c r="D114" s="32" t="s">
        <v>477</v>
      </c>
      <c r="E114" s="32" t="s">
        <v>609</v>
      </c>
      <c r="F114" s="98">
        <v>46069</v>
      </c>
      <c r="G114" s="32" t="s">
        <v>38</v>
      </c>
      <c r="H114" s="147" t="s">
        <v>610</v>
      </c>
      <c r="I114" s="99">
        <v>46070</v>
      </c>
    </row>
    <row r="115" spans="1:9" x14ac:dyDescent="0.3">
      <c r="A115" s="30" t="str">
        <f t="shared" si="3"/>
        <v>EMO-1103</v>
      </c>
      <c r="B115" s="31" t="s">
        <v>406</v>
      </c>
      <c r="C115" s="148">
        <v>41683293</v>
      </c>
      <c r="D115" s="32" t="s">
        <v>478</v>
      </c>
      <c r="E115" s="32" t="s">
        <v>609</v>
      </c>
      <c r="F115" s="98">
        <v>46069</v>
      </c>
      <c r="G115" s="32" t="s">
        <v>35</v>
      </c>
      <c r="H115" s="147" t="s">
        <v>610</v>
      </c>
      <c r="I115" s="99">
        <v>46070</v>
      </c>
    </row>
    <row r="116" spans="1:9" x14ac:dyDescent="0.3">
      <c r="A116" s="30" t="str">
        <f t="shared" si="3"/>
        <v>EMO-1104</v>
      </c>
      <c r="B116" s="31" t="s">
        <v>407</v>
      </c>
      <c r="C116" s="148">
        <v>42441086</v>
      </c>
      <c r="D116" s="32" t="s">
        <v>479</v>
      </c>
      <c r="E116" s="32" t="s">
        <v>609</v>
      </c>
      <c r="F116" s="98">
        <v>46069</v>
      </c>
      <c r="G116" s="32" t="s">
        <v>38</v>
      </c>
      <c r="H116" s="147" t="s">
        <v>610</v>
      </c>
      <c r="I116" s="99">
        <v>46070</v>
      </c>
    </row>
    <row r="117" spans="1:9" x14ac:dyDescent="0.3">
      <c r="A117" s="30" t="str">
        <f t="shared" si="3"/>
        <v>EMO-1105</v>
      </c>
      <c r="B117" s="31" t="s">
        <v>408</v>
      </c>
      <c r="C117" s="148">
        <v>25402541</v>
      </c>
      <c r="D117" s="32" t="s">
        <v>480</v>
      </c>
      <c r="E117" s="32" t="s">
        <v>609</v>
      </c>
      <c r="F117" s="98">
        <v>46069</v>
      </c>
      <c r="G117" s="32" t="s">
        <v>520</v>
      </c>
      <c r="H117" s="147" t="s">
        <v>610</v>
      </c>
      <c r="I117" s="99">
        <v>46070</v>
      </c>
    </row>
    <row r="118" spans="1:9" x14ac:dyDescent="0.3">
      <c r="A118" s="30" t="str">
        <f t="shared" si="3"/>
        <v>EMO-1106</v>
      </c>
      <c r="B118" s="31" t="s">
        <v>409</v>
      </c>
      <c r="C118" s="148">
        <v>61701858</v>
      </c>
      <c r="D118" s="32" t="s">
        <v>431</v>
      </c>
      <c r="E118" s="32" t="s">
        <v>609</v>
      </c>
      <c r="F118" s="98">
        <v>46069</v>
      </c>
      <c r="G118" s="32" t="s">
        <v>35</v>
      </c>
      <c r="H118" s="147" t="s">
        <v>610</v>
      </c>
      <c r="I118" s="99">
        <v>46070</v>
      </c>
    </row>
    <row r="119" spans="1:9" x14ac:dyDescent="0.3">
      <c r="A119" s="30" t="str">
        <f t="shared" si="3"/>
        <v>EMO-1107</v>
      </c>
      <c r="B119" s="31" t="s">
        <v>410</v>
      </c>
      <c r="C119" s="148">
        <v>47275861</v>
      </c>
      <c r="D119" s="32" t="s">
        <v>481</v>
      </c>
      <c r="E119" s="32" t="s">
        <v>609</v>
      </c>
      <c r="F119" s="98">
        <v>46069</v>
      </c>
      <c r="G119" s="32" t="s">
        <v>35</v>
      </c>
      <c r="H119" s="147" t="s">
        <v>610</v>
      </c>
      <c r="I119" s="99">
        <v>46070</v>
      </c>
    </row>
    <row r="120" spans="1:9" x14ac:dyDescent="0.3">
      <c r="A120" s="30" t="str">
        <f t="shared" si="3"/>
        <v>EMO-1108</v>
      </c>
      <c r="B120" s="31" t="s">
        <v>411</v>
      </c>
      <c r="C120" s="148">
        <v>70089567</v>
      </c>
      <c r="D120" s="32" t="s">
        <v>482</v>
      </c>
      <c r="E120" s="32" t="s">
        <v>609</v>
      </c>
      <c r="F120" s="98">
        <v>46069</v>
      </c>
      <c r="G120" s="32" t="s">
        <v>35</v>
      </c>
      <c r="H120" s="147" t="s">
        <v>610</v>
      </c>
      <c r="I120" s="99">
        <v>46070</v>
      </c>
    </row>
    <row r="121" spans="1:9" x14ac:dyDescent="0.3">
      <c r="A121" s="30" t="str">
        <f t="shared" si="3"/>
        <v>EMO-1109</v>
      </c>
      <c r="B121" s="31" t="s">
        <v>412</v>
      </c>
      <c r="C121" s="148">
        <v>10607645</v>
      </c>
      <c r="D121" s="32" t="s">
        <v>449</v>
      </c>
      <c r="E121" s="32" t="s">
        <v>609</v>
      </c>
      <c r="F121" s="98">
        <v>46069</v>
      </c>
      <c r="G121" s="32" t="s">
        <v>35</v>
      </c>
      <c r="H121" s="147" t="s">
        <v>610</v>
      </c>
      <c r="I121" s="99">
        <v>46070</v>
      </c>
    </row>
    <row r="122" spans="1:9" x14ac:dyDescent="0.3">
      <c r="A122" s="30" t="str">
        <f t="shared" si="3"/>
        <v>EMO-1110</v>
      </c>
      <c r="B122" s="31" t="s">
        <v>413</v>
      </c>
      <c r="C122" s="148">
        <v>9906328</v>
      </c>
      <c r="D122" s="32" t="s">
        <v>483</v>
      </c>
      <c r="E122" s="32" t="s">
        <v>609</v>
      </c>
      <c r="F122" s="98">
        <v>46069</v>
      </c>
      <c r="G122" s="32" t="s">
        <v>35</v>
      </c>
      <c r="H122" s="147" t="s">
        <v>610</v>
      </c>
      <c r="I122" s="99">
        <v>46070</v>
      </c>
    </row>
    <row r="123" spans="1:9" x14ac:dyDescent="0.3">
      <c r="A123" s="30" t="str">
        <f t="shared" si="3"/>
        <v>EMO-1111</v>
      </c>
      <c r="B123" s="31" t="s">
        <v>414</v>
      </c>
      <c r="C123" s="148">
        <v>10026993</v>
      </c>
      <c r="D123" s="32" t="s">
        <v>484</v>
      </c>
      <c r="E123" s="32" t="s">
        <v>609</v>
      </c>
      <c r="F123" s="98">
        <v>46069</v>
      </c>
      <c r="G123" s="32" t="s">
        <v>35</v>
      </c>
      <c r="H123" s="147" t="s">
        <v>610</v>
      </c>
      <c r="I123" s="99">
        <v>46070</v>
      </c>
    </row>
    <row r="124" spans="1:9" x14ac:dyDescent="0.3">
      <c r="A124" s="30" t="str">
        <f t="shared" si="3"/>
        <v>EMO-1112</v>
      </c>
      <c r="B124" s="31" t="s">
        <v>415</v>
      </c>
      <c r="C124" s="148">
        <v>7317850</v>
      </c>
      <c r="D124" s="32" t="s">
        <v>586</v>
      </c>
      <c r="E124" s="32" t="s">
        <v>609</v>
      </c>
      <c r="F124" s="98">
        <v>46069</v>
      </c>
      <c r="G124" s="32" t="s">
        <v>35</v>
      </c>
      <c r="H124" s="147" t="s">
        <v>610</v>
      </c>
      <c r="I124" s="99">
        <v>46070</v>
      </c>
    </row>
    <row r="125" spans="1:9" x14ac:dyDescent="0.3">
      <c r="A125" s="30" t="str">
        <f t="shared" si="3"/>
        <v>EMO-1113</v>
      </c>
      <c r="B125" s="31" t="s">
        <v>416</v>
      </c>
      <c r="C125" s="148">
        <v>48092993</v>
      </c>
      <c r="D125" s="32" t="s">
        <v>485</v>
      </c>
      <c r="E125" s="32" t="s">
        <v>609</v>
      </c>
      <c r="F125" s="98">
        <v>46069</v>
      </c>
      <c r="G125" s="32" t="s">
        <v>35</v>
      </c>
      <c r="H125" s="147" t="s">
        <v>610</v>
      </c>
      <c r="I125" s="99">
        <v>46070</v>
      </c>
    </row>
    <row r="126" spans="1:9" x14ac:dyDescent="0.3">
      <c r="A126" s="30" t="str">
        <f t="shared" si="3"/>
        <v>EMO-1114</v>
      </c>
      <c r="B126" s="31" t="s">
        <v>417</v>
      </c>
      <c r="C126" s="148">
        <v>47295135</v>
      </c>
      <c r="D126" s="32" t="s">
        <v>587</v>
      </c>
      <c r="E126" s="32" t="s">
        <v>609</v>
      </c>
      <c r="F126" s="98">
        <v>46069</v>
      </c>
      <c r="G126" s="32" t="s">
        <v>38</v>
      </c>
      <c r="H126" s="147" t="s">
        <v>610</v>
      </c>
      <c r="I126" s="99">
        <v>46070</v>
      </c>
    </row>
    <row r="127" spans="1:9" x14ac:dyDescent="0.3">
      <c r="A127" s="30" t="str">
        <f t="shared" si="3"/>
        <v>EMO-1115</v>
      </c>
      <c r="B127" s="31" t="s">
        <v>418</v>
      </c>
      <c r="C127" s="148">
        <v>43754165</v>
      </c>
      <c r="D127" s="32" t="s">
        <v>441</v>
      </c>
      <c r="E127" s="32" t="s">
        <v>609</v>
      </c>
      <c r="F127" s="98">
        <v>46069</v>
      </c>
      <c r="G127" s="32" t="s">
        <v>35</v>
      </c>
      <c r="H127" s="147" t="s">
        <v>610</v>
      </c>
      <c r="I127" s="99">
        <v>46070</v>
      </c>
    </row>
    <row r="128" spans="1:9" x14ac:dyDescent="0.3">
      <c r="A128" s="30" t="str">
        <f t="shared" si="3"/>
        <v>EMO-1116</v>
      </c>
      <c r="B128" s="31" t="s">
        <v>419</v>
      </c>
      <c r="C128" s="148">
        <v>74352038</v>
      </c>
      <c r="D128" s="32" t="s">
        <v>481</v>
      </c>
      <c r="E128" s="32" t="s">
        <v>609</v>
      </c>
      <c r="F128" s="98">
        <v>46069</v>
      </c>
      <c r="G128" s="32" t="s">
        <v>38</v>
      </c>
      <c r="H128" s="147" t="s">
        <v>610</v>
      </c>
      <c r="I128" s="99">
        <v>46070</v>
      </c>
    </row>
    <row r="129" spans="1:9" x14ac:dyDescent="0.3">
      <c r="A129" s="30" t="str">
        <f t="shared" si="3"/>
        <v>EMO-1117</v>
      </c>
      <c r="B129" s="31" t="s">
        <v>420</v>
      </c>
      <c r="C129" s="148">
        <v>21121185</v>
      </c>
      <c r="D129" s="32" t="s">
        <v>468</v>
      </c>
      <c r="E129" s="32" t="s">
        <v>609</v>
      </c>
      <c r="F129" s="98">
        <v>46069</v>
      </c>
      <c r="G129" s="32" t="s">
        <v>520</v>
      </c>
      <c r="H129" s="147" t="s">
        <v>610</v>
      </c>
      <c r="I129" s="99">
        <v>46070</v>
      </c>
    </row>
    <row r="130" spans="1:9" x14ac:dyDescent="0.3">
      <c r="A130" s="30" t="str">
        <f t="shared" ref="A130:A160" si="4">IF(B130&lt;&gt;"", "EMO-" &amp; TEXT(1000 + ROW(A119) - 1, "0000"), "")</f>
        <v>EMO-1118</v>
      </c>
      <c r="B130" s="31" t="s">
        <v>314</v>
      </c>
      <c r="C130" s="148">
        <v>74046340</v>
      </c>
      <c r="D130" s="32" t="s">
        <v>421</v>
      </c>
      <c r="E130" s="32" t="s">
        <v>611</v>
      </c>
      <c r="F130" s="98">
        <v>45966</v>
      </c>
      <c r="G130" s="32" t="s">
        <v>38</v>
      </c>
      <c r="H130" s="147" t="s">
        <v>610</v>
      </c>
      <c r="I130" s="99">
        <v>46002</v>
      </c>
    </row>
    <row r="131" spans="1:9" x14ac:dyDescent="0.3">
      <c r="A131" s="30" t="str">
        <f t="shared" si="4"/>
        <v>EMO-1119</v>
      </c>
      <c r="B131" s="31" t="s">
        <v>315</v>
      </c>
      <c r="C131" s="148">
        <v>74842142</v>
      </c>
      <c r="D131" s="32" t="s">
        <v>422</v>
      </c>
      <c r="E131" s="32" t="s">
        <v>609</v>
      </c>
      <c r="F131" s="98">
        <v>45966</v>
      </c>
      <c r="G131" s="32" t="s">
        <v>35</v>
      </c>
      <c r="H131" s="147" t="s">
        <v>610</v>
      </c>
      <c r="I131" s="99">
        <v>46007</v>
      </c>
    </row>
    <row r="132" spans="1:9" x14ac:dyDescent="0.3">
      <c r="A132" s="30" t="str">
        <f t="shared" si="4"/>
        <v>EMO-1120</v>
      </c>
      <c r="B132" s="31" t="s">
        <v>316</v>
      </c>
      <c r="C132" s="148">
        <v>43493102</v>
      </c>
      <c r="D132" s="32" t="s">
        <v>423</v>
      </c>
      <c r="E132" s="32" t="s">
        <v>611</v>
      </c>
      <c r="F132" s="98">
        <v>45966</v>
      </c>
      <c r="G132" s="32" t="s">
        <v>35</v>
      </c>
      <c r="H132" s="147" t="s">
        <v>610</v>
      </c>
      <c r="I132" s="99">
        <v>45988</v>
      </c>
    </row>
    <row r="133" spans="1:9" x14ac:dyDescent="0.3">
      <c r="A133" s="30" t="str">
        <f t="shared" si="4"/>
        <v>EMO-1121</v>
      </c>
      <c r="B133" s="31" t="s">
        <v>317</v>
      </c>
      <c r="C133" s="148">
        <v>73190928</v>
      </c>
      <c r="D133" s="32" t="s">
        <v>424</v>
      </c>
      <c r="E133" s="32" t="s">
        <v>609</v>
      </c>
      <c r="F133" s="98">
        <v>45966</v>
      </c>
      <c r="G133" s="32" t="s">
        <v>38</v>
      </c>
      <c r="H133" s="147" t="s">
        <v>610</v>
      </c>
      <c r="I133" s="99">
        <v>45993</v>
      </c>
    </row>
    <row r="134" spans="1:9" x14ac:dyDescent="0.3">
      <c r="A134" s="30" t="str">
        <f t="shared" si="4"/>
        <v>EMO-1122</v>
      </c>
      <c r="B134" s="31" t="s">
        <v>318</v>
      </c>
      <c r="C134" s="148">
        <v>7658651</v>
      </c>
      <c r="D134" s="32" t="s">
        <v>425</v>
      </c>
      <c r="E134" s="32" t="s">
        <v>611</v>
      </c>
      <c r="F134" s="98">
        <v>45966</v>
      </c>
      <c r="G134" s="32" t="s">
        <v>38</v>
      </c>
      <c r="H134" s="147" t="s">
        <v>36</v>
      </c>
      <c r="I134" s="99"/>
    </row>
    <row r="135" spans="1:9" x14ac:dyDescent="0.3">
      <c r="A135" s="30" t="str">
        <f t="shared" si="4"/>
        <v>EMO-1123</v>
      </c>
      <c r="B135" s="31" t="s">
        <v>320</v>
      </c>
      <c r="C135" s="148">
        <v>10664050</v>
      </c>
      <c r="D135" s="32" t="s">
        <v>427</v>
      </c>
      <c r="E135" s="32" t="s">
        <v>609</v>
      </c>
      <c r="F135" s="98">
        <v>45966</v>
      </c>
      <c r="G135" s="32" t="s">
        <v>38</v>
      </c>
      <c r="H135" s="147" t="s">
        <v>610</v>
      </c>
      <c r="I135" s="99">
        <v>45988</v>
      </c>
    </row>
    <row r="136" spans="1:9" x14ac:dyDescent="0.3">
      <c r="A136" s="30" t="str">
        <f t="shared" si="4"/>
        <v>EMO-1124</v>
      </c>
      <c r="B136" s="31" t="s">
        <v>321</v>
      </c>
      <c r="C136" s="148">
        <v>71427351</v>
      </c>
      <c r="D136" s="32" t="s">
        <v>428</v>
      </c>
      <c r="E136" s="32" t="s">
        <v>611</v>
      </c>
      <c r="F136" s="98">
        <v>45966</v>
      </c>
      <c r="G136" s="32" t="s">
        <v>35</v>
      </c>
      <c r="H136" s="147" t="s">
        <v>610</v>
      </c>
      <c r="I136" s="99">
        <v>46002</v>
      </c>
    </row>
    <row r="137" spans="1:9" x14ac:dyDescent="0.3">
      <c r="A137" s="30" t="str">
        <f t="shared" si="4"/>
        <v>EMO-1125</v>
      </c>
      <c r="B137" s="31" t="s">
        <v>322</v>
      </c>
      <c r="C137" s="148">
        <v>71878076</v>
      </c>
      <c r="D137" s="32" t="s">
        <v>429</v>
      </c>
      <c r="E137" s="32" t="s">
        <v>611</v>
      </c>
      <c r="F137" s="98">
        <v>45980</v>
      </c>
      <c r="G137" s="32" t="s">
        <v>38</v>
      </c>
      <c r="H137" s="147" t="s">
        <v>610</v>
      </c>
      <c r="I137" s="99">
        <v>46007</v>
      </c>
    </row>
    <row r="138" spans="1:9" x14ac:dyDescent="0.3">
      <c r="A138" s="30" t="str">
        <f t="shared" si="4"/>
        <v>EMO-1126</v>
      </c>
      <c r="B138" s="31" t="s">
        <v>575</v>
      </c>
      <c r="C138" s="148">
        <v>20901410</v>
      </c>
      <c r="D138" s="32" t="s">
        <v>431</v>
      </c>
      <c r="E138" s="32" t="s">
        <v>609</v>
      </c>
      <c r="F138" s="98">
        <v>45966</v>
      </c>
      <c r="G138" s="32" t="s">
        <v>38</v>
      </c>
      <c r="H138" s="147" t="s">
        <v>610</v>
      </c>
      <c r="I138" s="99">
        <v>45993</v>
      </c>
    </row>
    <row r="139" spans="1:9" x14ac:dyDescent="0.3">
      <c r="A139" s="30" t="str">
        <f t="shared" si="4"/>
        <v>EMO-1127</v>
      </c>
      <c r="B139" s="31" t="s">
        <v>324</v>
      </c>
      <c r="C139" s="148">
        <v>45977070</v>
      </c>
      <c r="D139" s="32" t="s">
        <v>432</v>
      </c>
      <c r="E139" s="32" t="s">
        <v>611</v>
      </c>
      <c r="F139" s="98">
        <v>45966</v>
      </c>
      <c r="G139" s="32" t="s">
        <v>38</v>
      </c>
      <c r="H139" s="147" t="s">
        <v>610</v>
      </c>
      <c r="I139" s="99">
        <v>46002</v>
      </c>
    </row>
    <row r="140" spans="1:9" x14ac:dyDescent="0.3">
      <c r="A140" s="30" t="str">
        <f t="shared" si="4"/>
        <v>EMO-1128</v>
      </c>
      <c r="B140" s="31" t="s">
        <v>325</v>
      </c>
      <c r="C140" s="148">
        <v>6794299</v>
      </c>
      <c r="D140" s="32" t="s">
        <v>433</v>
      </c>
      <c r="E140" s="32" t="s">
        <v>611</v>
      </c>
      <c r="F140" s="98">
        <v>45966</v>
      </c>
      <c r="G140" s="32" t="s">
        <v>520</v>
      </c>
      <c r="H140" s="147" t="s">
        <v>610</v>
      </c>
      <c r="I140" s="99">
        <v>45995</v>
      </c>
    </row>
    <row r="141" spans="1:9" x14ac:dyDescent="0.3">
      <c r="A141" s="30" t="str">
        <f t="shared" si="4"/>
        <v>EMO-1129</v>
      </c>
      <c r="B141" s="31" t="s">
        <v>326</v>
      </c>
      <c r="C141" s="148">
        <v>74880419</v>
      </c>
      <c r="D141" s="32" t="s">
        <v>434</v>
      </c>
      <c r="E141" s="32" t="s">
        <v>611</v>
      </c>
      <c r="F141" s="98">
        <v>45966</v>
      </c>
      <c r="G141" s="32" t="s">
        <v>38</v>
      </c>
      <c r="H141" s="147" t="s">
        <v>610</v>
      </c>
      <c r="I141" s="99">
        <v>45988</v>
      </c>
    </row>
    <row r="142" spans="1:9" x14ac:dyDescent="0.3">
      <c r="A142" s="30" t="str">
        <f t="shared" si="4"/>
        <v>EMO-1130</v>
      </c>
      <c r="B142" s="31" t="s">
        <v>327</v>
      </c>
      <c r="C142" s="148">
        <v>42010010</v>
      </c>
      <c r="D142" s="32" t="s">
        <v>436</v>
      </c>
      <c r="E142" s="32" t="s">
        <v>611</v>
      </c>
      <c r="F142" s="98">
        <v>45966</v>
      </c>
      <c r="G142" s="32" t="s">
        <v>38</v>
      </c>
      <c r="H142" s="147" t="s">
        <v>610</v>
      </c>
      <c r="I142" s="99">
        <v>45995</v>
      </c>
    </row>
    <row r="143" spans="1:9" x14ac:dyDescent="0.3">
      <c r="A143" s="30" t="str">
        <f t="shared" si="4"/>
        <v>EMO-1131</v>
      </c>
      <c r="B143" s="31" t="s">
        <v>576</v>
      </c>
      <c r="C143" s="148">
        <v>41284268</v>
      </c>
      <c r="D143" s="32" t="s">
        <v>435</v>
      </c>
      <c r="E143" s="32" t="s">
        <v>611</v>
      </c>
      <c r="F143" s="98">
        <v>45966</v>
      </c>
      <c r="G143" s="32" t="s">
        <v>38</v>
      </c>
      <c r="H143" s="147" t="s">
        <v>610</v>
      </c>
      <c r="I143" s="99">
        <v>46007</v>
      </c>
    </row>
    <row r="144" spans="1:9" x14ac:dyDescent="0.3">
      <c r="A144" s="30" t="str">
        <f t="shared" ref="A144:A153" si="5">IF(B144&lt;&gt;"", "EMO-" &amp; TEXT(1000 + ROW(A134) - 1, "0000"), "")</f>
        <v>EMO-1133</v>
      </c>
      <c r="B144" s="31" t="s">
        <v>328</v>
      </c>
      <c r="C144" s="148">
        <v>48348234</v>
      </c>
      <c r="D144" s="32" t="s">
        <v>428</v>
      </c>
      <c r="E144" s="32" t="s">
        <v>609</v>
      </c>
      <c r="F144" s="98">
        <v>45966</v>
      </c>
      <c r="G144" s="32" t="s">
        <v>35</v>
      </c>
      <c r="H144" s="147" t="s">
        <v>610</v>
      </c>
      <c r="I144" s="99">
        <v>46002</v>
      </c>
    </row>
    <row r="145" spans="1:9" x14ac:dyDescent="0.3">
      <c r="A145" s="30" t="str">
        <f t="shared" si="5"/>
        <v>EMO-1134</v>
      </c>
      <c r="B145" s="31" t="s">
        <v>329</v>
      </c>
      <c r="C145" s="148">
        <v>72954104</v>
      </c>
      <c r="D145" s="32" t="s">
        <v>438</v>
      </c>
      <c r="E145" s="32" t="s">
        <v>609</v>
      </c>
      <c r="F145" s="98">
        <v>45966</v>
      </c>
      <c r="G145" s="32" t="s">
        <v>38</v>
      </c>
      <c r="H145" s="147" t="s">
        <v>610</v>
      </c>
      <c r="I145" s="99">
        <v>46007</v>
      </c>
    </row>
    <row r="146" spans="1:9" x14ac:dyDescent="0.3">
      <c r="A146" s="30" t="str">
        <f t="shared" si="5"/>
        <v>EMO-1135</v>
      </c>
      <c r="B146" s="31" t="s">
        <v>330</v>
      </c>
      <c r="C146" s="148">
        <v>9059960</v>
      </c>
      <c r="D146" s="32" t="s">
        <v>425</v>
      </c>
      <c r="E146" s="32" t="s">
        <v>611</v>
      </c>
      <c r="F146" s="98">
        <v>45985</v>
      </c>
      <c r="G146" s="32" t="s">
        <v>38</v>
      </c>
      <c r="H146" s="147" t="s">
        <v>36</v>
      </c>
      <c r="I146" s="99"/>
    </row>
    <row r="147" spans="1:9" x14ac:dyDescent="0.3">
      <c r="A147" s="30" t="str">
        <f t="shared" si="5"/>
        <v>EMO-1136</v>
      </c>
      <c r="B147" s="31" t="s">
        <v>332</v>
      </c>
      <c r="C147" s="148">
        <v>75854632</v>
      </c>
      <c r="D147" s="32" t="s">
        <v>438</v>
      </c>
      <c r="E147" s="32" t="s">
        <v>609</v>
      </c>
      <c r="F147" s="98">
        <v>45966</v>
      </c>
      <c r="G147" s="32" t="s">
        <v>35</v>
      </c>
      <c r="H147" s="147" t="s">
        <v>610</v>
      </c>
      <c r="I147" s="99">
        <v>46007</v>
      </c>
    </row>
    <row r="148" spans="1:9" x14ac:dyDescent="0.3">
      <c r="A148" s="30" t="str">
        <f t="shared" si="5"/>
        <v>EMO-1137</v>
      </c>
      <c r="B148" s="31" t="s">
        <v>333</v>
      </c>
      <c r="C148" s="148">
        <v>47876235</v>
      </c>
      <c r="D148" s="32" t="s">
        <v>440</v>
      </c>
      <c r="E148" s="32" t="s">
        <v>611</v>
      </c>
      <c r="F148" s="98">
        <v>45966</v>
      </c>
      <c r="G148" s="32" t="s">
        <v>38</v>
      </c>
      <c r="H148" s="147" t="s">
        <v>610</v>
      </c>
      <c r="I148" s="99">
        <v>45995</v>
      </c>
    </row>
    <row r="149" spans="1:9" x14ac:dyDescent="0.3">
      <c r="A149" s="30" t="str">
        <f t="shared" si="5"/>
        <v>EMO-1138</v>
      </c>
      <c r="B149" s="31" t="s">
        <v>334</v>
      </c>
      <c r="C149" s="148">
        <v>45798528</v>
      </c>
      <c r="D149" s="32" t="s">
        <v>428</v>
      </c>
      <c r="E149" s="32" t="s">
        <v>611</v>
      </c>
      <c r="F149" s="98">
        <v>45966</v>
      </c>
      <c r="G149" s="32" t="s">
        <v>35</v>
      </c>
      <c r="H149" s="147" t="s">
        <v>610</v>
      </c>
      <c r="I149" s="99">
        <v>46002</v>
      </c>
    </row>
    <row r="150" spans="1:9" x14ac:dyDescent="0.3">
      <c r="A150" s="30" t="str">
        <f t="shared" si="5"/>
        <v>EMO-1139</v>
      </c>
      <c r="B150" s="31" t="s">
        <v>335</v>
      </c>
      <c r="C150" s="148">
        <v>9943578</v>
      </c>
      <c r="D150" s="32" t="s">
        <v>441</v>
      </c>
      <c r="E150" s="32" t="s">
        <v>611</v>
      </c>
      <c r="F150" s="98">
        <v>45966</v>
      </c>
      <c r="G150" s="32" t="s">
        <v>38</v>
      </c>
      <c r="H150" s="147" t="s">
        <v>610</v>
      </c>
      <c r="I150" s="99">
        <v>45995</v>
      </c>
    </row>
    <row r="151" spans="1:9" x14ac:dyDescent="0.3">
      <c r="A151" s="30" t="str">
        <f t="shared" si="5"/>
        <v>EMO-1140</v>
      </c>
      <c r="B151" s="31" t="s">
        <v>337</v>
      </c>
      <c r="C151" s="148">
        <v>46201268</v>
      </c>
      <c r="D151" s="32" t="s">
        <v>428</v>
      </c>
      <c r="E151" s="32" t="s">
        <v>609</v>
      </c>
      <c r="F151" s="98">
        <v>45966</v>
      </c>
      <c r="G151" s="32" t="s">
        <v>35</v>
      </c>
      <c r="H151" s="147" t="s">
        <v>610</v>
      </c>
      <c r="I151" s="99">
        <v>46002</v>
      </c>
    </row>
    <row r="152" spans="1:9" x14ac:dyDescent="0.3">
      <c r="A152" s="30" t="str">
        <f t="shared" si="5"/>
        <v>EMO-1141</v>
      </c>
      <c r="B152" s="31" t="s">
        <v>338</v>
      </c>
      <c r="C152" s="148">
        <v>44848085</v>
      </c>
      <c r="D152" s="32" t="s">
        <v>443</v>
      </c>
      <c r="E152" s="32" t="s">
        <v>611</v>
      </c>
      <c r="F152" s="98">
        <v>45966</v>
      </c>
      <c r="G152" s="32" t="s">
        <v>35</v>
      </c>
      <c r="H152" s="147" t="s">
        <v>610</v>
      </c>
      <c r="I152" s="99">
        <v>45995</v>
      </c>
    </row>
    <row r="153" spans="1:9" x14ac:dyDescent="0.3">
      <c r="A153" s="30" t="str">
        <f t="shared" si="5"/>
        <v>EMO-1142</v>
      </c>
      <c r="B153" s="31" t="s">
        <v>339</v>
      </c>
      <c r="C153" s="148">
        <v>76126043</v>
      </c>
      <c r="D153" s="32" t="s">
        <v>444</v>
      </c>
      <c r="E153" s="32" t="s">
        <v>611</v>
      </c>
      <c r="F153" s="98">
        <v>45966</v>
      </c>
      <c r="G153" s="32" t="s">
        <v>35</v>
      </c>
      <c r="H153" s="147" t="s">
        <v>610</v>
      </c>
      <c r="I153" s="99">
        <v>46007</v>
      </c>
    </row>
    <row r="154" spans="1:9" x14ac:dyDescent="0.3">
      <c r="A154" s="30" t="e">
        <f>IF(B154&lt;&gt;"", "EMO-" &amp; TEXT(1000 + ROW(#REF!) - 1, "0000"), "")</f>
        <v>#REF!</v>
      </c>
      <c r="B154" s="31" t="s">
        <v>340</v>
      </c>
      <c r="C154" s="148">
        <v>7499832</v>
      </c>
      <c r="D154" s="32" t="s">
        <v>445</v>
      </c>
      <c r="E154" s="32" t="s">
        <v>609</v>
      </c>
      <c r="F154" s="98">
        <v>45966</v>
      </c>
      <c r="G154" s="32" t="s">
        <v>35</v>
      </c>
      <c r="H154" s="147" t="s">
        <v>610</v>
      </c>
      <c r="I154" s="99">
        <v>45988</v>
      </c>
    </row>
    <row r="155" spans="1:9" x14ac:dyDescent="0.3">
      <c r="A155" s="30" t="str">
        <f t="shared" si="4"/>
        <v>EMO-1143</v>
      </c>
      <c r="B155" s="31" t="s">
        <v>343</v>
      </c>
      <c r="C155" s="148">
        <v>8754584</v>
      </c>
      <c r="D155" s="32" t="s">
        <v>447</v>
      </c>
      <c r="E155" s="32" t="s">
        <v>611</v>
      </c>
      <c r="F155" s="98">
        <v>45966</v>
      </c>
      <c r="G155" s="32" t="s">
        <v>38</v>
      </c>
      <c r="H155" s="147" t="s">
        <v>610</v>
      </c>
      <c r="I155" s="99">
        <v>46002</v>
      </c>
    </row>
    <row r="156" spans="1:9" x14ac:dyDescent="0.3">
      <c r="A156" s="30" t="str">
        <f t="shared" si="4"/>
        <v>EMO-1144</v>
      </c>
      <c r="B156" s="31" t="s">
        <v>344</v>
      </c>
      <c r="C156" s="148">
        <v>44125562</v>
      </c>
      <c r="D156" s="32" t="s">
        <v>448</v>
      </c>
      <c r="E156" s="32" t="s">
        <v>611</v>
      </c>
      <c r="F156" s="98">
        <v>45966</v>
      </c>
      <c r="G156" s="32" t="s">
        <v>38</v>
      </c>
      <c r="H156" s="147" t="s">
        <v>610</v>
      </c>
      <c r="I156" s="99">
        <v>46057</v>
      </c>
    </row>
    <row r="157" spans="1:9" x14ac:dyDescent="0.3">
      <c r="A157" s="30" t="str">
        <f t="shared" si="4"/>
        <v>EMO-1145</v>
      </c>
      <c r="B157" s="31" t="s">
        <v>345</v>
      </c>
      <c r="C157" s="148">
        <v>73340067</v>
      </c>
      <c r="D157" s="32" t="s">
        <v>449</v>
      </c>
      <c r="E157" s="32" t="s">
        <v>611</v>
      </c>
      <c r="F157" s="98">
        <v>45966</v>
      </c>
      <c r="G157" s="32" t="s">
        <v>38</v>
      </c>
      <c r="H157" s="147" t="s">
        <v>610</v>
      </c>
      <c r="I157" s="99">
        <v>46002</v>
      </c>
    </row>
    <row r="158" spans="1:9" x14ac:dyDescent="0.3">
      <c r="A158" s="30" t="str">
        <f t="shared" si="4"/>
        <v>EMO-1146</v>
      </c>
      <c r="B158" s="31" t="s">
        <v>346</v>
      </c>
      <c r="C158" s="148">
        <v>3496246</v>
      </c>
      <c r="D158" s="32" t="s">
        <v>450</v>
      </c>
      <c r="E158" s="32" t="s">
        <v>611</v>
      </c>
      <c r="F158" s="98">
        <v>45966</v>
      </c>
      <c r="G158" s="32" t="s">
        <v>38</v>
      </c>
      <c r="H158" s="147" t="s">
        <v>610</v>
      </c>
      <c r="I158" s="99">
        <v>46057</v>
      </c>
    </row>
    <row r="159" spans="1:9" x14ac:dyDescent="0.3">
      <c r="A159" s="30" t="str">
        <f t="shared" si="4"/>
        <v>EMO-1147</v>
      </c>
      <c r="B159" s="31" t="s">
        <v>578</v>
      </c>
      <c r="C159" s="148">
        <v>70346273</v>
      </c>
      <c r="D159" s="32" t="s">
        <v>451</v>
      </c>
      <c r="E159" s="32" t="s">
        <v>611</v>
      </c>
      <c r="F159" s="98">
        <v>45966</v>
      </c>
      <c r="G159" s="32" t="s">
        <v>35</v>
      </c>
      <c r="H159" s="147" t="s">
        <v>610</v>
      </c>
      <c r="I159" s="99">
        <v>46007</v>
      </c>
    </row>
    <row r="160" spans="1:9" x14ac:dyDescent="0.3">
      <c r="A160" s="30" t="str">
        <f t="shared" si="4"/>
        <v>EMO-1148</v>
      </c>
      <c r="B160" s="31" t="s">
        <v>347</v>
      </c>
      <c r="C160" s="148">
        <v>70346272</v>
      </c>
      <c r="D160" s="32" t="s">
        <v>436</v>
      </c>
      <c r="E160" s="32" t="s">
        <v>609</v>
      </c>
      <c r="F160" s="98">
        <v>45966</v>
      </c>
      <c r="G160" s="32" t="s">
        <v>35</v>
      </c>
      <c r="H160" s="147" t="s">
        <v>610</v>
      </c>
      <c r="I160" s="99">
        <v>45995</v>
      </c>
    </row>
    <row r="161" spans="1:9" x14ac:dyDescent="0.3">
      <c r="A161" s="30" t="str">
        <f t="shared" ref="A161:A192" si="6">IF(B161&lt;&gt;"", "EMO-" &amp; TEXT(1000 + ROW(A150) - 1, "0000"), "")</f>
        <v>EMO-1149</v>
      </c>
      <c r="B161" s="31" t="s">
        <v>348</v>
      </c>
      <c r="C161" s="148">
        <v>73671729</v>
      </c>
      <c r="D161" s="32" t="s">
        <v>452</v>
      </c>
      <c r="E161" s="32" t="s">
        <v>611</v>
      </c>
      <c r="F161" s="98">
        <v>45966</v>
      </c>
      <c r="G161" s="32" t="s">
        <v>35</v>
      </c>
      <c r="H161" s="147" t="s">
        <v>610</v>
      </c>
      <c r="I161" s="99">
        <v>45995</v>
      </c>
    </row>
    <row r="162" spans="1:9" x14ac:dyDescent="0.3">
      <c r="A162" s="30" t="str">
        <f t="shared" si="6"/>
        <v>EMO-1150</v>
      </c>
      <c r="B162" s="31" t="s">
        <v>349</v>
      </c>
      <c r="C162" s="148">
        <v>6772102</v>
      </c>
      <c r="D162" s="32" t="s">
        <v>453</v>
      </c>
      <c r="E162" s="32" t="s">
        <v>611</v>
      </c>
      <c r="F162" s="98">
        <v>45966</v>
      </c>
      <c r="G162" s="32" t="s">
        <v>38</v>
      </c>
      <c r="H162" s="147" t="s">
        <v>610</v>
      </c>
      <c r="I162" s="99">
        <v>45995</v>
      </c>
    </row>
    <row r="163" spans="1:9" x14ac:dyDescent="0.3">
      <c r="A163" s="30" t="str">
        <f t="shared" si="6"/>
        <v>EMO-1151</v>
      </c>
      <c r="B163" s="31" t="s">
        <v>350</v>
      </c>
      <c r="C163" s="148">
        <v>60918518</v>
      </c>
      <c r="D163" s="32" t="s">
        <v>454</v>
      </c>
      <c r="E163" s="32" t="s">
        <v>609</v>
      </c>
      <c r="F163" s="98">
        <v>45966</v>
      </c>
      <c r="G163" s="32" t="s">
        <v>35</v>
      </c>
      <c r="H163" s="147" t="s">
        <v>610</v>
      </c>
      <c r="I163" s="99">
        <v>46002</v>
      </c>
    </row>
    <row r="164" spans="1:9" x14ac:dyDescent="0.3">
      <c r="A164" s="30" t="str">
        <f t="shared" si="6"/>
        <v>EMO-1152</v>
      </c>
      <c r="B164" s="31" t="s">
        <v>351</v>
      </c>
      <c r="C164" s="148">
        <v>10738339</v>
      </c>
      <c r="D164" s="32" t="s">
        <v>449</v>
      </c>
      <c r="E164" s="32" t="s">
        <v>611</v>
      </c>
      <c r="F164" s="98">
        <v>45966</v>
      </c>
      <c r="G164" s="32" t="s">
        <v>38</v>
      </c>
      <c r="H164" s="147" t="s">
        <v>610</v>
      </c>
      <c r="I164" s="99">
        <v>46007</v>
      </c>
    </row>
    <row r="165" spans="1:9" x14ac:dyDescent="0.3">
      <c r="A165" s="30" t="str">
        <f t="shared" si="6"/>
        <v>EMO-1153</v>
      </c>
      <c r="B165" s="31" t="s">
        <v>352</v>
      </c>
      <c r="C165" s="148">
        <v>76638656</v>
      </c>
      <c r="D165" s="32" t="s">
        <v>455</v>
      </c>
      <c r="E165" s="32" t="s">
        <v>611</v>
      </c>
      <c r="F165" s="98">
        <v>45966</v>
      </c>
      <c r="G165" s="32" t="s">
        <v>35</v>
      </c>
      <c r="H165" s="147" t="s">
        <v>610</v>
      </c>
      <c r="I165" s="99">
        <v>45995</v>
      </c>
    </row>
    <row r="166" spans="1:9" x14ac:dyDescent="0.3">
      <c r="A166" s="30" t="str">
        <f t="shared" si="6"/>
        <v>EMO-1154</v>
      </c>
      <c r="B166" s="31" t="s">
        <v>579</v>
      </c>
      <c r="C166" s="148">
        <v>43193757</v>
      </c>
      <c r="D166" s="32" t="s">
        <v>456</v>
      </c>
      <c r="E166" s="32" t="s">
        <v>611</v>
      </c>
      <c r="F166" s="98">
        <v>45969</v>
      </c>
      <c r="G166" s="32" t="s">
        <v>38</v>
      </c>
      <c r="H166" s="147" t="s">
        <v>610</v>
      </c>
      <c r="I166" s="99">
        <v>46007</v>
      </c>
    </row>
    <row r="167" spans="1:9" x14ac:dyDescent="0.3">
      <c r="A167" s="30" t="str">
        <f t="shared" si="6"/>
        <v>EMO-1155</v>
      </c>
      <c r="B167" s="31" t="s">
        <v>353</v>
      </c>
      <c r="C167" s="148">
        <v>43975693</v>
      </c>
      <c r="D167" s="32" t="s">
        <v>457</v>
      </c>
      <c r="E167" s="32" t="s">
        <v>611</v>
      </c>
      <c r="F167" s="98">
        <v>45966</v>
      </c>
      <c r="G167" s="32" t="s">
        <v>520</v>
      </c>
      <c r="H167" s="147" t="s">
        <v>610</v>
      </c>
      <c r="I167" s="99">
        <v>46007</v>
      </c>
    </row>
    <row r="168" spans="1:9" x14ac:dyDescent="0.3">
      <c r="A168" s="30" t="str">
        <f t="shared" si="6"/>
        <v>EMO-1156</v>
      </c>
      <c r="B168" s="31" t="s">
        <v>354</v>
      </c>
      <c r="C168" s="148">
        <v>60418300</v>
      </c>
      <c r="D168" s="32" t="s">
        <v>438</v>
      </c>
      <c r="E168" s="32" t="s">
        <v>611</v>
      </c>
      <c r="F168" s="98">
        <v>45966</v>
      </c>
      <c r="G168" s="32" t="s">
        <v>35</v>
      </c>
      <c r="H168" s="147" t="s">
        <v>610</v>
      </c>
      <c r="I168" s="99">
        <v>46002</v>
      </c>
    </row>
    <row r="169" spans="1:9" x14ac:dyDescent="0.3">
      <c r="A169" s="30" t="str">
        <f t="shared" si="6"/>
        <v>EMO-1157</v>
      </c>
      <c r="B169" s="31" t="s">
        <v>355</v>
      </c>
      <c r="C169" s="148">
        <v>45957426</v>
      </c>
      <c r="D169" s="32" t="s">
        <v>458</v>
      </c>
      <c r="E169" s="32" t="s">
        <v>611</v>
      </c>
      <c r="F169" s="98">
        <v>45966</v>
      </c>
      <c r="G169" s="32" t="s">
        <v>38</v>
      </c>
      <c r="H169" s="147" t="s">
        <v>610</v>
      </c>
      <c r="I169" s="99">
        <v>45993</v>
      </c>
    </row>
    <row r="170" spans="1:9" x14ac:dyDescent="0.3">
      <c r="A170" s="30" t="str">
        <f t="shared" si="6"/>
        <v>EMO-1158</v>
      </c>
      <c r="B170" s="31" t="s">
        <v>357</v>
      </c>
      <c r="C170" s="148">
        <v>73808813</v>
      </c>
      <c r="D170" s="32" t="s">
        <v>460</v>
      </c>
      <c r="E170" s="32" t="s">
        <v>611</v>
      </c>
      <c r="F170" s="98">
        <v>45966</v>
      </c>
      <c r="G170" s="32" t="s">
        <v>35</v>
      </c>
      <c r="H170" s="147" t="s">
        <v>610</v>
      </c>
      <c r="I170" s="99">
        <v>46002</v>
      </c>
    </row>
    <row r="171" spans="1:9" x14ac:dyDescent="0.3">
      <c r="A171" s="30" t="str">
        <f t="shared" si="6"/>
        <v>EMO-1159</v>
      </c>
      <c r="B171" s="31" t="s">
        <v>358</v>
      </c>
      <c r="C171" s="148">
        <v>46276514</v>
      </c>
      <c r="D171" s="32" t="s">
        <v>461</v>
      </c>
      <c r="E171" s="32" t="s">
        <v>609</v>
      </c>
      <c r="F171" s="98">
        <v>45966</v>
      </c>
      <c r="G171" s="32" t="s">
        <v>38</v>
      </c>
      <c r="H171" s="147" t="s">
        <v>610</v>
      </c>
      <c r="I171" s="99">
        <v>46002</v>
      </c>
    </row>
    <row r="172" spans="1:9" x14ac:dyDescent="0.3">
      <c r="A172" s="30" t="str">
        <f t="shared" si="6"/>
        <v>EMO-1160</v>
      </c>
      <c r="B172" s="31" t="s">
        <v>359</v>
      </c>
      <c r="C172" s="148">
        <v>44839341</v>
      </c>
      <c r="D172" s="32" t="s">
        <v>432</v>
      </c>
      <c r="E172" s="32" t="s">
        <v>609</v>
      </c>
      <c r="F172" s="98">
        <v>45971</v>
      </c>
      <c r="G172" s="32" t="s">
        <v>520</v>
      </c>
      <c r="H172" s="147" t="s">
        <v>610</v>
      </c>
      <c r="I172" s="99">
        <v>45995</v>
      </c>
    </row>
    <row r="173" spans="1:9" x14ac:dyDescent="0.3">
      <c r="A173" s="30" t="str">
        <f t="shared" si="6"/>
        <v>EMO-1161</v>
      </c>
      <c r="B173" s="31" t="s">
        <v>360</v>
      </c>
      <c r="C173" s="148">
        <v>70794375</v>
      </c>
      <c r="D173" s="32" t="s">
        <v>462</v>
      </c>
      <c r="E173" s="32" t="s">
        <v>611</v>
      </c>
      <c r="F173" s="98">
        <v>45966</v>
      </c>
      <c r="G173" s="32" t="s">
        <v>35</v>
      </c>
      <c r="H173" s="147" t="s">
        <v>610</v>
      </c>
      <c r="I173" s="99">
        <v>45995</v>
      </c>
    </row>
    <row r="174" spans="1:9" x14ac:dyDescent="0.3">
      <c r="A174" s="30" t="str">
        <f t="shared" si="6"/>
        <v>EMO-1162</v>
      </c>
      <c r="B174" s="31" t="s">
        <v>518</v>
      </c>
      <c r="C174" s="148">
        <v>4306995</v>
      </c>
      <c r="D174" s="32" t="s">
        <v>519</v>
      </c>
      <c r="E174" s="32" t="s">
        <v>611</v>
      </c>
      <c r="F174" s="98">
        <v>45966</v>
      </c>
      <c r="G174" s="32" t="s">
        <v>38</v>
      </c>
      <c r="H174" s="147" t="s">
        <v>36</v>
      </c>
      <c r="I174" s="99"/>
    </row>
    <row r="175" spans="1:9" x14ac:dyDescent="0.3">
      <c r="A175" s="30" t="str">
        <f t="shared" si="6"/>
        <v>EMO-1163</v>
      </c>
      <c r="B175" s="31" t="s">
        <v>362</v>
      </c>
      <c r="C175" s="148">
        <v>70346267</v>
      </c>
      <c r="D175" s="32" t="s">
        <v>463</v>
      </c>
      <c r="E175" s="32" t="s">
        <v>609</v>
      </c>
      <c r="F175" s="98">
        <v>45966</v>
      </c>
      <c r="G175" s="32" t="s">
        <v>520</v>
      </c>
      <c r="H175" s="147" t="s">
        <v>610</v>
      </c>
      <c r="I175" s="99">
        <v>45995</v>
      </c>
    </row>
    <row r="176" spans="1:9" x14ac:dyDescent="0.3">
      <c r="A176" s="30" t="str">
        <f t="shared" si="6"/>
        <v>EMO-1164</v>
      </c>
      <c r="B176" s="31" t="s">
        <v>363</v>
      </c>
      <c r="C176" s="148">
        <v>47695766</v>
      </c>
      <c r="D176" s="32" t="s">
        <v>464</v>
      </c>
      <c r="E176" s="32" t="s">
        <v>609</v>
      </c>
      <c r="F176" s="98">
        <v>45966</v>
      </c>
      <c r="G176" s="32" t="s">
        <v>35</v>
      </c>
      <c r="H176" s="147" t="s">
        <v>610</v>
      </c>
      <c r="I176" s="99">
        <v>45993</v>
      </c>
    </row>
    <row r="177" spans="1:9" x14ac:dyDescent="0.3">
      <c r="A177" s="30" t="str">
        <f t="shared" si="6"/>
        <v>EMO-1165</v>
      </c>
      <c r="B177" s="31" t="s">
        <v>364</v>
      </c>
      <c r="C177" s="148">
        <v>75620055</v>
      </c>
      <c r="D177" s="32" t="s">
        <v>436</v>
      </c>
      <c r="E177" s="32" t="s">
        <v>609</v>
      </c>
      <c r="F177" s="98">
        <v>45966</v>
      </c>
      <c r="G177" s="32" t="s">
        <v>35</v>
      </c>
      <c r="H177" s="147" t="s">
        <v>610</v>
      </c>
      <c r="I177" s="99">
        <v>45995</v>
      </c>
    </row>
    <row r="178" spans="1:9" x14ac:dyDescent="0.3">
      <c r="A178" s="30" t="str">
        <f t="shared" si="6"/>
        <v>EMO-1166</v>
      </c>
      <c r="B178" s="31" t="s">
        <v>365</v>
      </c>
      <c r="C178" s="148">
        <v>42083682</v>
      </c>
      <c r="D178" s="32" t="s">
        <v>441</v>
      </c>
      <c r="E178" s="32" t="s">
        <v>611</v>
      </c>
      <c r="F178" s="98">
        <v>45966</v>
      </c>
      <c r="G178" s="32" t="s">
        <v>38</v>
      </c>
      <c r="H178" s="147" t="s">
        <v>610</v>
      </c>
      <c r="I178" s="99">
        <v>45995</v>
      </c>
    </row>
    <row r="179" spans="1:9" x14ac:dyDescent="0.3">
      <c r="A179" s="30" t="str">
        <f t="shared" si="6"/>
        <v>EMO-1167</v>
      </c>
      <c r="B179" s="31" t="s">
        <v>366</v>
      </c>
      <c r="C179" s="148">
        <v>9655714</v>
      </c>
      <c r="D179" s="32" t="s">
        <v>425</v>
      </c>
      <c r="E179" s="32" t="s">
        <v>611</v>
      </c>
      <c r="F179" s="98">
        <v>45969</v>
      </c>
      <c r="G179" s="32" t="s">
        <v>38</v>
      </c>
      <c r="H179" s="147" t="s">
        <v>36</v>
      </c>
      <c r="I179" s="99"/>
    </row>
    <row r="180" spans="1:9" x14ac:dyDescent="0.3">
      <c r="A180" s="30" t="str">
        <f t="shared" si="6"/>
        <v>EMO-1168</v>
      </c>
      <c r="B180" s="31" t="s">
        <v>367</v>
      </c>
      <c r="C180" s="148">
        <v>47652437</v>
      </c>
      <c r="D180" s="32" t="s">
        <v>465</v>
      </c>
      <c r="E180" s="32" t="s">
        <v>611</v>
      </c>
      <c r="F180" s="98">
        <v>45966</v>
      </c>
      <c r="G180" s="32" t="s">
        <v>38</v>
      </c>
      <c r="H180" s="147" t="s">
        <v>610</v>
      </c>
      <c r="I180" s="99">
        <v>46007</v>
      </c>
    </row>
    <row r="181" spans="1:9" x14ac:dyDescent="0.3">
      <c r="A181" s="30" t="str">
        <f t="shared" si="6"/>
        <v>EMO-1169</v>
      </c>
      <c r="B181" s="31" t="s">
        <v>368</v>
      </c>
      <c r="C181" s="148">
        <v>73481775</v>
      </c>
      <c r="D181" s="32" t="s">
        <v>466</v>
      </c>
      <c r="E181" s="32" t="s">
        <v>611</v>
      </c>
      <c r="F181" s="98">
        <v>45966</v>
      </c>
      <c r="G181" s="32" t="s">
        <v>520</v>
      </c>
      <c r="H181" s="147" t="s">
        <v>610</v>
      </c>
      <c r="I181" s="99">
        <v>46007</v>
      </c>
    </row>
    <row r="182" spans="1:9" x14ac:dyDescent="0.3">
      <c r="A182" s="30" t="str">
        <f t="shared" si="6"/>
        <v>EMO-1170</v>
      </c>
      <c r="B182" s="31" t="s">
        <v>369</v>
      </c>
      <c r="C182" s="148">
        <v>48144866</v>
      </c>
      <c r="D182" s="32" t="s">
        <v>428</v>
      </c>
      <c r="E182" s="32" t="s">
        <v>609</v>
      </c>
      <c r="F182" s="98">
        <v>45966</v>
      </c>
      <c r="G182" s="32" t="s">
        <v>35</v>
      </c>
      <c r="H182" s="147" t="s">
        <v>610</v>
      </c>
      <c r="I182" s="99">
        <v>46002</v>
      </c>
    </row>
    <row r="183" spans="1:9" x14ac:dyDescent="0.3">
      <c r="A183" s="30" t="str">
        <f t="shared" si="6"/>
        <v>EMO-1171</v>
      </c>
      <c r="B183" s="31" t="s">
        <v>510</v>
      </c>
      <c r="C183" s="148">
        <v>9073506</v>
      </c>
      <c r="D183" s="32" t="s">
        <v>517</v>
      </c>
      <c r="E183" s="32" t="s">
        <v>611</v>
      </c>
      <c r="F183" s="98">
        <v>45966</v>
      </c>
      <c r="G183" s="32" t="s">
        <v>38</v>
      </c>
      <c r="H183" s="147" t="s">
        <v>36</v>
      </c>
      <c r="I183" s="99"/>
    </row>
    <row r="184" spans="1:9" x14ac:dyDescent="0.3">
      <c r="A184" s="30" t="str">
        <f t="shared" si="6"/>
        <v>EMO-1172</v>
      </c>
      <c r="B184" s="31" t="s">
        <v>371</v>
      </c>
      <c r="C184" s="148">
        <v>72759604</v>
      </c>
      <c r="D184" s="32" t="s">
        <v>582</v>
      </c>
      <c r="E184" s="32" t="s">
        <v>611</v>
      </c>
      <c r="F184" s="98">
        <v>45966</v>
      </c>
      <c r="G184" s="32" t="s">
        <v>35</v>
      </c>
      <c r="H184" s="147" t="s">
        <v>610</v>
      </c>
      <c r="I184" s="99">
        <v>45988</v>
      </c>
    </row>
    <row r="185" spans="1:9" x14ac:dyDescent="0.3">
      <c r="A185" s="30" t="str">
        <f t="shared" si="6"/>
        <v>EMO-1173</v>
      </c>
      <c r="B185" s="31" t="s">
        <v>372</v>
      </c>
      <c r="C185" s="148">
        <v>45310288</v>
      </c>
      <c r="D185" s="32" t="s">
        <v>435</v>
      </c>
      <c r="E185" s="32" t="s">
        <v>611</v>
      </c>
      <c r="F185" s="98">
        <v>45966</v>
      </c>
      <c r="G185" s="32" t="s">
        <v>520</v>
      </c>
      <c r="H185" s="147" t="s">
        <v>610</v>
      </c>
      <c r="I185" s="99">
        <v>46007</v>
      </c>
    </row>
    <row r="186" spans="1:9" x14ac:dyDescent="0.3">
      <c r="A186" s="30" t="str">
        <f t="shared" si="6"/>
        <v>EMO-1174</v>
      </c>
      <c r="B186" s="31" t="s">
        <v>373</v>
      </c>
      <c r="C186" s="148">
        <v>77344625</v>
      </c>
      <c r="D186" s="32" t="s">
        <v>468</v>
      </c>
      <c r="E186" s="32" t="s">
        <v>611</v>
      </c>
      <c r="F186" s="98">
        <v>45966</v>
      </c>
      <c r="G186" s="32" t="s">
        <v>38</v>
      </c>
      <c r="H186" s="147" t="s">
        <v>610</v>
      </c>
      <c r="I186" s="99">
        <v>45995</v>
      </c>
    </row>
    <row r="187" spans="1:9" x14ac:dyDescent="0.3">
      <c r="A187" s="30" t="str">
        <f t="shared" si="6"/>
        <v>EMO-1175</v>
      </c>
      <c r="B187" s="31" t="s">
        <v>374</v>
      </c>
      <c r="C187" s="148">
        <v>75268060</v>
      </c>
      <c r="D187" s="32" t="s">
        <v>469</v>
      </c>
      <c r="E187" s="32" t="s">
        <v>611</v>
      </c>
      <c r="F187" s="98">
        <v>45966</v>
      </c>
      <c r="G187" s="32" t="s">
        <v>38</v>
      </c>
      <c r="H187" s="147" t="s">
        <v>610</v>
      </c>
      <c r="I187" s="99">
        <v>45988</v>
      </c>
    </row>
    <row r="188" spans="1:9" x14ac:dyDescent="0.3">
      <c r="A188" s="30" t="str">
        <f t="shared" si="6"/>
        <v>EMO-1176</v>
      </c>
      <c r="B188" s="31" t="s">
        <v>375</v>
      </c>
      <c r="C188" s="148">
        <v>45144020</v>
      </c>
      <c r="D188" s="32" t="s">
        <v>470</v>
      </c>
      <c r="E188" s="32" t="s">
        <v>611</v>
      </c>
      <c r="F188" s="98">
        <v>46035</v>
      </c>
      <c r="G188" s="32" t="s">
        <v>520</v>
      </c>
      <c r="H188" s="147" t="s">
        <v>610</v>
      </c>
      <c r="I188" s="99">
        <v>46042</v>
      </c>
    </row>
    <row r="189" spans="1:9" x14ac:dyDescent="0.3">
      <c r="A189" s="30" t="str">
        <f t="shared" si="6"/>
        <v>EMO-1177</v>
      </c>
      <c r="B189" s="31" t="s">
        <v>376</v>
      </c>
      <c r="C189" s="148">
        <v>10577555</v>
      </c>
      <c r="D189" s="32" t="s">
        <v>471</v>
      </c>
      <c r="E189" s="32" t="s">
        <v>611</v>
      </c>
      <c r="F189" s="98">
        <v>45966</v>
      </c>
      <c r="G189" s="32"/>
      <c r="H189" s="147" t="s">
        <v>36</v>
      </c>
      <c r="I189" s="99"/>
    </row>
    <row r="190" spans="1:9" x14ac:dyDescent="0.3">
      <c r="A190" s="30" t="str">
        <f t="shared" si="6"/>
        <v>EMO-1178</v>
      </c>
      <c r="B190" s="31" t="s">
        <v>377</v>
      </c>
      <c r="C190" s="148">
        <v>70110862</v>
      </c>
      <c r="D190" s="32" t="s">
        <v>472</v>
      </c>
      <c r="E190" s="32" t="s">
        <v>609</v>
      </c>
      <c r="F190" s="98">
        <v>45966</v>
      </c>
      <c r="G190" s="32" t="s">
        <v>38</v>
      </c>
      <c r="H190" s="147" t="s">
        <v>610</v>
      </c>
      <c r="I190" s="99">
        <v>45988</v>
      </c>
    </row>
    <row r="191" spans="1:9" x14ac:dyDescent="0.3">
      <c r="A191" s="30" t="str">
        <f t="shared" si="6"/>
        <v>EMO-1179</v>
      </c>
      <c r="B191" s="31" t="s">
        <v>378</v>
      </c>
      <c r="C191" s="148">
        <v>43747439</v>
      </c>
      <c r="D191" s="32" t="s">
        <v>421</v>
      </c>
      <c r="E191" s="32" t="s">
        <v>609</v>
      </c>
      <c r="F191" s="98">
        <v>45966</v>
      </c>
      <c r="G191" s="32" t="s">
        <v>38</v>
      </c>
      <c r="H191" s="147" t="s">
        <v>610</v>
      </c>
      <c r="I191" s="99">
        <v>46007</v>
      </c>
    </row>
    <row r="192" spans="1:9" x14ac:dyDescent="0.3">
      <c r="A192" s="30" t="str">
        <f t="shared" si="6"/>
        <v>EMO-1180</v>
      </c>
      <c r="B192" s="31" t="s">
        <v>379</v>
      </c>
      <c r="C192" s="148">
        <v>47259573</v>
      </c>
      <c r="D192" s="32" t="s">
        <v>430</v>
      </c>
      <c r="E192" s="32" t="s">
        <v>609</v>
      </c>
      <c r="F192" s="98">
        <v>45966</v>
      </c>
      <c r="G192" s="32" t="s">
        <v>35</v>
      </c>
      <c r="H192" s="147" t="s">
        <v>610</v>
      </c>
      <c r="I192" s="99">
        <v>45988</v>
      </c>
    </row>
    <row r="193" spans="1:9" x14ac:dyDescent="0.3">
      <c r="A193" s="30" t="str">
        <f t="shared" ref="A193:A224" si="7">IF(B193&lt;&gt;"", "EMO-" &amp; TEXT(1000 + ROW(A182) - 1, "0000"), "")</f>
        <v>EMO-1181</v>
      </c>
      <c r="B193" s="31" t="s">
        <v>381</v>
      </c>
      <c r="C193" s="148">
        <v>43888135</v>
      </c>
      <c r="D193" s="32" t="s">
        <v>473</v>
      </c>
      <c r="E193" s="32" t="s">
        <v>611</v>
      </c>
      <c r="F193" s="98">
        <v>45966</v>
      </c>
      <c r="G193" s="32" t="s">
        <v>38</v>
      </c>
      <c r="H193" s="147" t="s">
        <v>610</v>
      </c>
      <c r="I193" s="99">
        <v>46007</v>
      </c>
    </row>
    <row r="194" spans="1:9" x14ac:dyDescent="0.3">
      <c r="A194" s="30" t="str">
        <f t="shared" si="7"/>
        <v>EMO-1182</v>
      </c>
      <c r="B194" s="31" t="s">
        <v>382</v>
      </c>
      <c r="C194" s="148">
        <v>40756719</v>
      </c>
      <c r="D194" s="32" t="s">
        <v>474</v>
      </c>
      <c r="E194" s="32" t="s">
        <v>611</v>
      </c>
      <c r="F194" s="98">
        <v>45966</v>
      </c>
      <c r="G194" s="32" t="s">
        <v>38</v>
      </c>
      <c r="H194" s="147" t="s">
        <v>610</v>
      </c>
      <c r="I194" s="99">
        <v>45995</v>
      </c>
    </row>
    <row r="195" spans="1:9" x14ac:dyDescent="0.3">
      <c r="A195" s="30" t="str">
        <f t="shared" si="7"/>
        <v>EMO-1183</v>
      </c>
      <c r="B195" s="31" t="s">
        <v>383</v>
      </c>
      <c r="C195" s="148">
        <v>45441597</v>
      </c>
      <c r="D195" s="32" t="s">
        <v>436</v>
      </c>
      <c r="E195" s="32" t="s">
        <v>611</v>
      </c>
      <c r="F195" s="98">
        <v>45966</v>
      </c>
      <c r="G195" s="32" t="s">
        <v>38</v>
      </c>
      <c r="H195" s="147" t="s">
        <v>610</v>
      </c>
      <c r="I195" s="99">
        <v>45995</v>
      </c>
    </row>
    <row r="196" spans="1:9" x14ac:dyDescent="0.3">
      <c r="A196" s="30" t="str">
        <f t="shared" si="7"/>
        <v>EMO-1184</v>
      </c>
      <c r="B196" s="31" t="s">
        <v>384</v>
      </c>
      <c r="C196" s="148">
        <v>76188564</v>
      </c>
      <c r="D196" s="32" t="s">
        <v>431</v>
      </c>
      <c r="E196" s="32" t="s">
        <v>611</v>
      </c>
      <c r="F196" s="98">
        <v>45966</v>
      </c>
      <c r="G196" s="32" t="s">
        <v>38</v>
      </c>
      <c r="H196" s="147" t="s">
        <v>610</v>
      </c>
      <c r="I196" s="99">
        <v>46002</v>
      </c>
    </row>
    <row r="197" spans="1:9" x14ac:dyDescent="0.3">
      <c r="A197" s="30" t="str">
        <f t="shared" si="7"/>
        <v>EMO-1185</v>
      </c>
      <c r="B197" s="31" t="s">
        <v>385</v>
      </c>
      <c r="C197" s="148">
        <v>75578447</v>
      </c>
      <c r="D197" s="32" t="s">
        <v>441</v>
      </c>
      <c r="E197" s="32" t="s">
        <v>609</v>
      </c>
      <c r="F197" s="98">
        <v>45966</v>
      </c>
      <c r="G197" s="32" t="s">
        <v>38</v>
      </c>
      <c r="H197" s="147" t="s">
        <v>610</v>
      </c>
      <c r="I197" s="99">
        <v>45995</v>
      </c>
    </row>
    <row r="198" spans="1:9" x14ac:dyDescent="0.3">
      <c r="A198" s="30" t="str">
        <f t="shared" si="7"/>
        <v>EMO-1186</v>
      </c>
      <c r="B198" s="31" t="s">
        <v>515</v>
      </c>
      <c r="C198" s="148">
        <v>6726972</v>
      </c>
      <c r="D198" s="32" t="s">
        <v>516</v>
      </c>
      <c r="E198" s="32" t="s">
        <v>611</v>
      </c>
      <c r="F198" s="98">
        <v>45966</v>
      </c>
      <c r="G198" s="32" t="s">
        <v>520</v>
      </c>
      <c r="H198" s="147" t="s">
        <v>36</v>
      </c>
      <c r="I198" s="99"/>
    </row>
    <row r="199" spans="1:9" x14ac:dyDescent="0.3">
      <c r="A199" s="30" t="str">
        <f t="shared" si="7"/>
        <v>EMO-1187</v>
      </c>
      <c r="B199" s="31" t="s">
        <v>386</v>
      </c>
      <c r="C199" s="148">
        <v>75567346</v>
      </c>
      <c r="D199" s="32" t="s">
        <v>421</v>
      </c>
      <c r="E199" s="32" t="s">
        <v>609</v>
      </c>
      <c r="F199" s="98">
        <v>45966</v>
      </c>
      <c r="G199" s="32" t="s">
        <v>35</v>
      </c>
      <c r="H199" s="147" t="s">
        <v>610</v>
      </c>
      <c r="I199" s="99">
        <v>45995</v>
      </c>
    </row>
    <row r="200" spans="1:9" x14ac:dyDescent="0.3">
      <c r="A200" s="30" t="str">
        <f t="shared" si="7"/>
        <v>EMO-1188</v>
      </c>
      <c r="B200" s="31" t="s">
        <v>387</v>
      </c>
      <c r="C200" s="148">
        <v>74299722</v>
      </c>
      <c r="D200" s="32" t="s">
        <v>446</v>
      </c>
      <c r="E200" s="32" t="s">
        <v>609</v>
      </c>
      <c r="F200" s="98">
        <v>45966</v>
      </c>
      <c r="G200" s="32" t="s">
        <v>38</v>
      </c>
      <c r="H200" s="147" t="s">
        <v>610</v>
      </c>
      <c r="I200" s="99">
        <v>45995</v>
      </c>
    </row>
    <row r="201" spans="1:9" x14ac:dyDescent="0.3">
      <c r="A201" s="30" t="str">
        <f t="shared" si="7"/>
        <v>EMO-1189</v>
      </c>
      <c r="B201" s="31" t="s">
        <v>388</v>
      </c>
      <c r="C201" s="148">
        <v>10376402</v>
      </c>
      <c r="D201" s="32" t="s">
        <v>431</v>
      </c>
      <c r="E201" s="32" t="s">
        <v>611</v>
      </c>
      <c r="F201" s="98">
        <v>45966</v>
      </c>
      <c r="G201" s="32" t="s">
        <v>38</v>
      </c>
      <c r="H201" s="147" t="s">
        <v>610</v>
      </c>
      <c r="I201" s="99">
        <v>45993</v>
      </c>
    </row>
    <row r="202" spans="1:9" x14ac:dyDescent="0.3">
      <c r="A202" s="30" t="str">
        <f t="shared" si="7"/>
        <v>EMO-1190</v>
      </c>
      <c r="B202" s="31" t="s">
        <v>389</v>
      </c>
      <c r="C202" s="148">
        <v>75118894</v>
      </c>
      <c r="D202" s="32" t="s">
        <v>425</v>
      </c>
      <c r="E202" s="32" t="s">
        <v>611</v>
      </c>
      <c r="F202" s="98">
        <v>45973</v>
      </c>
      <c r="G202" s="32" t="s">
        <v>35</v>
      </c>
      <c r="H202" s="147" t="s">
        <v>610</v>
      </c>
      <c r="I202" s="99">
        <v>46007</v>
      </c>
    </row>
    <row r="203" spans="1:9" x14ac:dyDescent="0.3">
      <c r="A203" s="30" t="str">
        <f t="shared" si="7"/>
        <v>EMO-1191</v>
      </c>
      <c r="B203" s="31" t="s">
        <v>390</v>
      </c>
      <c r="C203" s="148">
        <v>44817038</v>
      </c>
      <c r="D203" s="32" t="s">
        <v>428</v>
      </c>
      <c r="E203" s="32" t="s">
        <v>609</v>
      </c>
      <c r="F203" s="98">
        <v>45966</v>
      </c>
      <c r="G203" s="32" t="s">
        <v>38</v>
      </c>
      <c r="H203" s="147" t="s">
        <v>610</v>
      </c>
      <c r="I203" s="99">
        <v>46002</v>
      </c>
    </row>
    <row r="204" spans="1:9" x14ac:dyDescent="0.3">
      <c r="A204" s="30" t="str">
        <f t="shared" si="7"/>
        <v>EMO-1192</v>
      </c>
      <c r="B204" s="31" t="s">
        <v>391</v>
      </c>
      <c r="C204" s="148">
        <v>42499246</v>
      </c>
      <c r="D204" s="32" t="s">
        <v>424</v>
      </c>
      <c r="E204" s="32" t="s">
        <v>609</v>
      </c>
      <c r="F204" s="98">
        <v>45966</v>
      </c>
      <c r="G204" s="32" t="s">
        <v>38</v>
      </c>
      <c r="H204" s="147" t="s">
        <v>610</v>
      </c>
      <c r="I204" s="99">
        <v>45988</v>
      </c>
    </row>
    <row r="205" spans="1:9" x14ac:dyDescent="0.3">
      <c r="A205" s="30" t="str">
        <f t="shared" si="7"/>
        <v>EMO-1193</v>
      </c>
      <c r="B205" s="31" t="s">
        <v>392</v>
      </c>
      <c r="C205" s="148">
        <v>46765199</v>
      </c>
      <c r="D205" s="32" t="s">
        <v>432</v>
      </c>
      <c r="E205" s="32" t="s">
        <v>609</v>
      </c>
      <c r="F205" s="98">
        <v>45966</v>
      </c>
      <c r="G205" s="32" t="s">
        <v>38</v>
      </c>
      <c r="H205" s="147" t="s">
        <v>610</v>
      </c>
      <c r="I205" s="99">
        <v>45993</v>
      </c>
    </row>
    <row r="206" spans="1:9" x14ac:dyDescent="0.3">
      <c r="A206" s="30" t="str">
        <f t="shared" si="7"/>
        <v>EMO-1194</v>
      </c>
      <c r="B206" s="31" t="s">
        <v>393</v>
      </c>
      <c r="C206" s="148">
        <v>40555173</v>
      </c>
      <c r="D206" s="32" t="s">
        <v>425</v>
      </c>
      <c r="E206" s="32" t="s">
        <v>611</v>
      </c>
      <c r="F206" s="98">
        <v>45966</v>
      </c>
      <c r="G206" s="32" t="s">
        <v>520</v>
      </c>
      <c r="H206" s="147" t="s">
        <v>610</v>
      </c>
      <c r="I206" s="99">
        <v>46007</v>
      </c>
    </row>
    <row r="207" spans="1:9" x14ac:dyDescent="0.3">
      <c r="A207" s="30" t="str">
        <f t="shared" si="7"/>
        <v>EMO-1195</v>
      </c>
      <c r="B207" s="31" t="s">
        <v>580</v>
      </c>
      <c r="C207" s="148">
        <v>6026998</v>
      </c>
      <c r="D207" s="32" t="s">
        <v>583</v>
      </c>
      <c r="E207" s="32" t="s">
        <v>609</v>
      </c>
      <c r="F207" s="98">
        <v>45966</v>
      </c>
      <c r="G207" s="32" t="s">
        <v>38</v>
      </c>
      <c r="H207" s="147" t="s">
        <v>610</v>
      </c>
      <c r="I207" s="99">
        <v>45988</v>
      </c>
    </row>
    <row r="208" spans="1:9" x14ac:dyDescent="0.3">
      <c r="A208" s="30" t="str">
        <f t="shared" si="7"/>
        <v>EMO-1196</v>
      </c>
      <c r="B208" s="31" t="s">
        <v>394</v>
      </c>
      <c r="C208" s="148">
        <v>10720158</v>
      </c>
      <c r="D208" s="32" t="s">
        <v>449</v>
      </c>
      <c r="E208" s="32" t="s">
        <v>609</v>
      </c>
      <c r="F208" s="98">
        <v>45966</v>
      </c>
      <c r="G208" s="32" t="s">
        <v>38</v>
      </c>
      <c r="H208" s="147" t="s">
        <v>610</v>
      </c>
      <c r="I208" s="99">
        <v>46007</v>
      </c>
    </row>
    <row r="209" spans="1:9" x14ac:dyDescent="0.3">
      <c r="A209" s="30" t="str">
        <f t="shared" si="7"/>
        <v>EMO-1197</v>
      </c>
      <c r="B209" s="31" t="s">
        <v>581</v>
      </c>
      <c r="C209" s="148">
        <v>42604453</v>
      </c>
      <c r="D209" s="32" t="s">
        <v>449</v>
      </c>
      <c r="E209" s="32" t="s">
        <v>609</v>
      </c>
      <c r="F209" s="98">
        <v>45966</v>
      </c>
      <c r="G209" s="32" t="s">
        <v>520</v>
      </c>
      <c r="H209" s="147" t="s">
        <v>610</v>
      </c>
      <c r="I209" s="99">
        <v>46002</v>
      </c>
    </row>
    <row r="210" spans="1:9" x14ac:dyDescent="0.3">
      <c r="A210" s="30" t="str">
        <f t="shared" si="7"/>
        <v>EMO-1198</v>
      </c>
      <c r="B210" s="31" t="s">
        <v>395</v>
      </c>
      <c r="C210" s="148">
        <v>75338214</v>
      </c>
      <c r="D210" s="32" t="s">
        <v>428</v>
      </c>
      <c r="E210" s="32" t="s">
        <v>609</v>
      </c>
      <c r="F210" s="98">
        <v>45966</v>
      </c>
      <c r="G210" s="32" t="s">
        <v>35</v>
      </c>
      <c r="H210" s="147" t="s">
        <v>610</v>
      </c>
      <c r="I210" s="99">
        <v>46002</v>
      </c>
    </row>
    <row r="211" spans="1:9" x14ac:dyDescent="0.3">
      <c r="A211" s="30" t="str">
        <f t="shared" si="7"/>
        <v>EMO-1199</v>
      </c>
      <c r="B211" s="31" t="s">
        <v>396</v>
      </c>
      <c r="C211" s="148">
        <v>72765369</v>
      </c>
      <c r="D211" s="32" t="s">
        <v>584</v>
      </c>
      <c r="E211" s="32" t="s">
        <v>611</v>
      </c>
      <c r="F211" s="98">
        <v>45966</v>
      </c>
      <c r="G211" s="32" t="s">
        <v>38</v>
      </c>
      <c r="H211" s="147" t="s">
        <v>610</v>
      </c>
      <c r="I211" s="99">
        <v>45993</v>
      </c>
    </row>
    <row r="212" spans="1:9" x14ac:dyDescent="0.3">
      <c r="A212" s="30" t="str">
        <f t="shared" si="7"/>
        <v>EMO-1200</v>
      </c>
      <c r="B212" s="31" t="s">
        <v>397</v>
      </c>
      <c r="C212" s="148">
        <v>42915986</v>
      </c>
      <c r="D212" s="32" t="s">
        <v>475</v>
      </c>
      <c r="E212" s="32" t="s">
        <v>611</v>
      </c>
      <c r="F212" s="98">
        <v>45966</v>
      </c>
      <c r="G212" s="32" t="s">
        <v>38</v>
      </c>
      <c r="H212" s="147" t="s">
        <v>610</v>
      </c>
      <c r="I212" s="99">
        <v>45988</v>
      </c>
    </row>
    <row r="213" spans="1:9" x14ac:dyDescent="0.3">
      <c r="A213" s="30" t="str">
        <f t="shared" si="7"/>
        <v>EMO-1201</v>
      </c>
      <c r="B213" s="31" t="s">
        <v>398</v>
      </c>
      <c r="C213" s="148">
        <v>21867392</v>
      </c>
      <c r="D213" s="32" t="s">
        <v>425</v>
      </c>
      <c r="E213" s="32" t="s">
        <v>611</v>
      </c>
      <c r="F213" s="98">
        <v>45966</v>
      </c>
      <c r="G213" s="32" t="s">
        <v>38</v>
      </c>
      <c r="H213" s="147" t="s">
        <v>36</v>
      </c>
      <c r="I213" s="99"/>
    </row>
    <row r="214" spans="1:9" x14ac:dyDescent="0.3">
      <c r="A214" s="30" t="str">
        <f t="shared" si="7"/>
        <v>EMO-1202</v>
      </c>
      <c r="B214" s="31" t="s">
        <v>399</v>
      </c>
      <c r="C214" s="148">
        <v>16652334</v>
      </c>
      <c r="D214" s="32" t="s">
        <v>431</v>
      </c>
      <c r="E214" s="32" t="s">
        <v>611</v>
      </c>
      <c r="F214" s="98">
        <v>45966</v>
      </c>
      <c r="G214" s="32" t="s">
        <v>38</v>
      </c>
      <c r="H214" s="147" t="s">
        <v>610</v>
      </c>
      <c r="I214" s="99">
        <v>45993</v>
      </c>
    </row>
    <row r="215" spans="1:9" x14ac:dyDescent="0.3">
      <c r="A215" s="30" t="str">
        <f t="shared" si="7"/>
        <v>EMO-1203</v>
      </c>
      <c r="B215" s="31" t="s">
        <v>400</v>
      </c>
      <c r="C215" s="148">
        <v>44849912</v>
      </c>
      <c r="D215" s="32" t="s">
        <v>449</v>
      </c>
      <c r="E215" s="32" t="s">
        <v>611</v>
      </c>
      <c r="F215" s="98">
        <v>45966</v>
      </c>
      <c r="G215" s="32" t="s">
        <v>35</v>
      </c>
      <c r="H215" s="147" t="s">
        <v>610</v>
      </c>
      <c r="I215" s="99">
        <v>46007</v>
      </c>
    </row>
    <row r="216" spans="1:9" x14ac:dyDescent="0.3">
      <c r="A216" s="30" t="str">
        <f t="shared" si="7"/>
        <v>EMO-1204</v>
      </c>
      <c r="B216" s="31" t="s">
        <v>401</v>
      </c>
      <c r="C216" s="148">
        <v>10335154</v>
      </c>
      <c r="D216" s="32" t="s">
        <v>435</v>
      </c>
      <c r="E216" s="32" t="s">
        <v>609</v>
      </c>
      <c r="F216" s="98">
        <v>45966</v>
      </c>
      <c r="G216" s="32" t="s">
        <v>38</v>
      </c>
      <c r="H216" s="147" t="s">
        <v>36</v>
      </c>
      <c r="I216" s="99"/>
    </row>
    <row r="217" spans="1:9" x14ac:dyDescent="0.3">
      <c r="A217" s="30" t="str">
        <f t="shared" si="7"/>
        <v>EMO-1205</v>
      </c>
      <c r="B217" s="31" t="s">
        <v>402</v>
      </c>
      <c r="C217" s="148">
        <v>40702358</v>
      </c>
      <c r="D217" s="32" t="s">
        <v>585</v>
      </c>
      <c r="E217" s="32" t="s">
        <v>611</v>
      </c>
      <c r="F217" s="98">
        <v>45966</v>
      </c>
      <c r="G217" s="32" t="s">
        <v>38</v>
      </c>
      <c r="H217" s="147" t="s">
        <v>610</v>
      </c>
      <c r="I217" s="99">
        <v>45995</v>
      </c>
    </row>
    <row r="218" spans="1:9" x14ac:dyDescent="0.3">
      <c r="A218" s="30" t="str">
        <f t="shared" si="7"/>
        <v>EMO-1206</v>
      </c>
      <c r="B218" s="31" t="s">
        <v>403</v>
      </c>
      <c r="C218" s="148">
        <v>47361655</v>
      </c>
      <c r="D218" s="32" t="s">
        <v>476</v>
      </c>
      <c r="E218" s="32" t="s">
        <v>611</v>
      </c>
      <c r="F218" s="98">
        <v>45966</v>
      </c>
      <c r="G218" s="32" t="s">
        <v>38</v>
      </c>
      <c r="H218" s="147" t="s">
        <v>610</v>
      </c>
      <c r="I218" s="99">
        <v>45988</v>
      </c>
    </row>
    <row r="219" spans="1:9" x14ac:dyDescent="0.3">
      <c r="A219" s="30" t="str">
        <f t="shared" si="7"/>
        <v>EMO-1207</v>
      </c>
      <c r="B219" s="31" t="s">
        <v>404</v>
      </c>
      <c r="C219" s="148">
        <v>76624943</v>
      </c>
      <c r="D219" s="32" t="s">
        <v>453</v>
      </c>
      <c r="E219" s="32" t="s">
        <v>611</v>
      </c>
      <c r="F219" s="98">
        <v>45966</v>
      </c>
      <c r="G219" s="32" t="s">
        <v>35</v>
      </c>
      <c r="H219" s="147" t="s">
        <v>610</v>
      </c>
      <c r="I219" s="99">
        <v>46057</v>
      </c>
    </row>
    <row r="220" spans="1:9" x14ac:dyDescent="0.3">
      <c r="A220" s="30" t="str">
        <f t="shared" si="7"/>
        <v>EMO-1208</v>
      </c>
      <c r="B220" s="31" t="s">
        <v>405</v>
      </c>
      <c r="C220" s="148">
        <v>9844603</v>
      </c>
      <c r="D220" s="32" t="s">
        <v>477</v>
      </c>
      <c r="E220" s="32" t="s">
        <v>611</v>
      </c>
      <c r="F220" s="98">
        <v>45966</v>
      </c>
      <c r="G220" s="32" t="s">
        <v>38</v>
      </c>
      <c r="H220" s="147" t="s">
        <v>610</v>
      </c>
      <c r="I220" s="99">
        <v>45995</v>
      </c>
    </row>
    <row r="221" spans="1:9" x14ac:dyDescent="0.3">
      <c r="A221" s="30" t="str">
        <f t="shared" si="7"/>
        <v>EMO-1209</v>
      </c>
      <c r="B221" s="31" t="s">
        <v>406</v>
      </c>
      <c r="C221" s="148">
        <v>41683293</v>
      </c>
      <c r="D221" s="32" t="s">
        <v>478</v>
      </c>
      <c r="E221" s="32" t="s">
        <v>611</v>
      </c>
      <c r="F221" s="98">
        <v>45966</v>
      </c>
      <c r="G221" s="32" t="s">
        <v>35</v>
      </c>
      <c r="H221" s="147" t="s">
        <v>610</v>
      </c>
      <c r="I221" s="99">
        <v>46057</v>
      </c>
    </row>
    <row r="222" spans="1:9" x14ac:dyDescent="0.3">
      <c r="A222" s="30" t="str">
        <f t="shared" si="7"/>
        <v>EMO-1210</v>
      </c>
      <c r="B222" s="31" t="s">
        <v>407</v>
      </c>
      <c r="C222" s="148">
        <v>42441086</v>
      </c>
      <c r="D222" s="32" t="s">
        <v>479</v>
      </c>
      <c r="E222" s="32" t="s">
        <v>611</v>
      </c>
      <c r="F222" s="98">
        <v>45966</v>
      </c>
      <c r="G222" s="32" t="s">
        <v>38</v>
      </c>
      <c r="H222" s="147" t="s">
        <v>610</v>
      </c>
      <c r="I222" s="99">
        <v>46002</v>
      </c>
    </row>
    <row r="223" spans="1:9" x14ac:dyDescent="0.3">
      <c r="A223" s="30" t="str">
        <f t="shared" si="7"/>
        <v>EMO-1211</v>
      </c>
      <c r="B223" s="31" t="s">
        <v>408</v>
      </c>
      <c r="C223" s="148">
        <v>25402541</v>
      </c>
      <c r="D223" s="32" t="s">
        <v>480</v>
      </c>
      <c r="E223" s="32" t="s">
        <v>611</v>
      </c>
      <c r="F223" s="98">
        <v>45979</v>
      </c>
      <c r="G223" s="32" t="s">
        <v>520</v>
      </c>
      <c r="H223" s="147" t="s">
        <v>610</v>
      </c>
      <c r="I223" s="99">
        <v>46007</v>
      </c>
    </row>
    <row r="224" spans="1:9" x14ac:dyDescent="0.3">
      <c r="A224" s="30" t="str">
        <f t="shared" si="7"/>
        <v>EMO-1212</v>
      </c>
      <c r="B224" s="31" t="s">
        <v>409</v>
      </c>
      <c r="C224" s="148">
        <v>61701858</v>
      </c>
      <c r="D224" s="32" t="s">
        <v>431</v>
      </c>
      <c r="E224" s="32" t="s">
        <v>609</v>
      </c>
      <c r="F224" s="98">
        <v>45966</v>
      </c>
      <c r="G224" s="32" t="s">
        <v>35</v>
      </c>
      <c r="H224" s="147" t="s">
        <v>610</v>
      </c>
      <c r="I224" s="99">
        <v>46002</v>
      </c>
    </row>
    <row r="225" spans="1:9" x14ac:dyDescent="0.3">
      <c r="A225" s="30" t="str">
        <f t="shared" ref="A225:A232" si="8">IF(B225&lt;&gt;"", "EMO-" &amp; TEXT(1000 + ROW(A214) - 1, "0000"), "")</f>
        <v>EMO-1213</v>
      </c>
      <c r="B225" s="31" t="s">
        <v>410</v>
      </c>
      <c r="C225" s="148">
        <v>47275861</v>
      </c>
      <c r="D225" s="32" t="s">
        <v>481</v>
      </c>
      <c r="E225" s="32" t="s">
        <v>611</v>
      </c>
      <c r="F225" s="98">
        <v>45966</v>
      </c>
      <c r="G225" s="32" t="s">
        <v>35</v>
      </c>
      <c r="H225" s="147" t="s">
        <v>610</v>
      </c>
      <c r="I225" s="99">
        <v>45993</v>
      </c>
    </row>
    <row r="226" spans="1:9" x14ac:dyDescent="0.3">
      <c r="A226" s="30" t="str">
        <f t="shared" si="8"/>
        <v>EMO-1214</v>
      </c>
      <c r="B226" s="31" t="s">
        <v>411</v>
      </c>
      <c r="C226" s="148">
        <v>70089567</v>
      </c>
      <c r="D226" s="32" t="s">
        <v>482</v>
      </c>
      <c r="E226" s="32" t="s">
        <v>611</v>
      </c>
      <c r="F226" s="98">
        <v>45966</v>
      </c>
      <c r="G226" s="32" t="s">
        <v>35</v>
      </c>
      <c r="H226" s="147" t="s">
        <v>610</v>
      </c>
      <c r="I226" s="99">
        <v>45993</v>
      </c>
    </row>
    <row r="227" spans="1:9" x14ac:dyDescent="0.3">
      <c r="A227" s="30" t="str">
        <f t="shared" si="8"/>
        <v>EMO-1215</v>
      </c>
      <c r="B227" s="31" t="s">
        <v>414</v>
      </c>
      <c r="C227" s="148">
        <v>10026993</v>
      </c>
      <c r="D227" s="32" t="s">
        <v>484</v>
      </c>
      <c r="E227" s="32" t="s">
        <v>611</v>
      </c>
      <c r="F227" s="98">
        <v>45966</v>
      </c>
      <c r="G227" s="32" t="s">
        <v>35</v>
      </c>
      <c r="H227" s="147" t="s">
        <v>610</v>
      </c>
      <c r="I227" s="99">
        <v>45988</v>
      </c>
    </row>
    <row r="228" spans="1:9" x14ac:dyDescent="0.3">
      <c r="A228" s="30" t="str">
        <f t="shared" si="8"/>
        <v>EMO-1216</v>
      </c>
      <c r="B228" s="31" t="s">
        <v>415</v>
      </c>
      <c r="C228" s="148">
        <v>7317850</v>
      </c>
      <c r="D228" s="32" t="s">
        <v>586</v>
      </c>
      <c r="E228" s="32" t="s">
        <v>611</v>
      </c>
      <c r="F228" s="98">
        <v>45966</v>
      </c>
      <c r="G228" s="32" t="s">
        <v>35</v>
      </c>
      <c r="H228" s="147" t="s">
        <v>36</v>
      </c>
      <c r="I228" s="99"/>
    </row>
    <row r="229" spans="1:9" x14ac:dyDescent="0.3">
      <c r="A229" s="30" t="str">
        <f t="shared" si="8"/>
        <v>EMO-1217</v>
      </c>
      <c r="B229" s="31" t="s">
        <v>416</v>
      </c>
      <c r="C229" s="148">
        <v>48092993</v>
      </c>
      <c r="D229" s="32" t="s">
        <v>485</v>
      </c>
      <c r="E229" s="32" t="s">
        <v>609</v>
      </c>
      <c r="F229" s="98">
        <v>45966</v>
      </c>
      <c r="G229" s="32" t="s">
        <v>35</v>
      </c>
      <c r="H229" s="147" t="s">
        <v>610</v>
      </c>
      <c r="I229" s="99">
        <v>46007</v>
      </c>
    </row>
    <row r="230" spans="1:9" x14ac:dyDescent="0.3">
      <c r="A230" s="30" t="str">
        <f t="shared" si="8"/>
        <v>EMO-1218</v>
      </c>
      <c r="B230" s="31" t="s">
        <v>418</v>
      </c>
      <c r="C230" s="148">
        <v>43754165</v>
      </c>
      <c r="D230" s="32" t="s">
        <v>441</v>
      </c>
      <c r="E230" s="32" t="s">
        <v>611</v>
      </c>
      <c r="F230" s="98">
        <v>45966</v>
      </c>
      <c r="G230" s="32" t="s">
        <v>35</v>
      </c>
      <c r="H230" s="147" t="s">
        <v>610</v>
      </c>
      <c r="I230" s="99">
        <v>45995</v>
      </c>
    </row>
    <row r="231" spans="1:9" x14ac:dyDescent="0.3">
      <c r="A231" s="30" t="str">
        <f t="shared" si="8"/>
        <v>EMO-1219</v>
      </c>
      <c r="B231" s="31" t="s">
        <v>419</v>
      </c>
      <c r="C231" s="148">
        <v>74352038</v>
      </c>
      <c r="D231" s="32" t="s">
        <v>481</v>
      </c>
      <c r="E231" s="32" t="s">
        <v>609</v>
      </c>
      <c r="F231" s="98">
        <v>45966</v>
      </c>
      <c r="G231" s="32" t="s">
        <v>38</v>
      </c>
      <c r="H231" s="147" t="s">
        <v>36</v>
      </c>
      <c r="I231" s="99"/>
    </row>
    <row r="232" spans="1:9" x14ac:dyDescent="0.3">
      <c r="A232" s="30" t="str">
        <f t="shared" si="8"/>
        <v>EMO-1220</v>
      </c>
      <c r="B232" s="31" t="s">
        <v>420</v>
      </c>
      <c r="C232" s="148">
        <v>21121185</v>
      </c>
      <c r="D232" s="32" t="s">
        <v>468</v>
      </c>
      <c r="E232" s="32" t="s">
        <v>611</v>
      </c>
      <c r="F232" s="98">
        <v>45966</v>
      </c>
      <c r="G232" s="32" t="s">
        <v>520</v>
      </c>
      <c r="H232" s="147" t="s">
        <v>610</v>
      </c>
      <c r="I232" s="99">
        <v>45995</v>
      </c>
    </row>
  </sheetData>
  <mergeCells count="12">
    <mergeCell ref="A10:I11"/>
    <mergeCell ref="G8:I9"/>
    <mergeCell ref="G6:I7"/>
    <mergeCell ref="A4:I5"/>
    <mergeCell ref="C1:I3"/>
    <mergeCell ref="E6:F7"/>
    <mergeCell ref="A8:C9"/>
    <mergeCell ref="D6:D7"/>
    <mergeCell ref="A1:B3"/>
    <mergeCell ref="A6:C7"/>
    <mergeCell ref="D8:D9"/>
    <mergeCell ref="E8:F9"/>
  </mergeCells>
  <dataValidations disablePrompts="1" count="1">
    <dataValidation type="list" allowBlank="1" showInputMessage="1" showErrorMessage="1" sqref="E13:E1048576" xr:uid="{AFF329ED-C5B0-438F-8D59-64FEEAD48DC4}">
      <formula1>"Pre-Ocupacional,Ocupacional,Periódicos,Cambio Puesto de Trabajo, Reincorporación,Retiro"</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tabColor rgb="FF92D050"/>
  </sheetPr>
  <dimension ref="A1:K2"/>
  <sheetViews>
    <sheetView workbookViewId="0">
      <selection activeCell="I9" sqref="I9"/>
    </sheetView>
  </sheetViews>
  <sheetFormatPr baseColWidth="10" defaultColWidth="11.44140625" defaultRowHeight="14.4" x14ac:dyDescent="0.3"/>
  <cols>
    <col min="1" max="1" width="12.5546875" style="21" customWidth="1"/>
    <col min="2" max="2" width="25.6640625" style="21" customWidth="1"/>
    <col min="3" max="6" width="15.6640625" style="21" customWidth="1"/>
    <col min="7" max="8" width="17.6640625" style="21" customWidth="1"/>
    <col min="9" max="9" width="22.6640625" style="40" customWidth="1"/>
    <col min="10" max="10" width="22.6640625" customWidth="1"/>
  </cols>
  <sheetData>
    <row r="1" spans="1:11" ht="28.95" customHeight="1" x14ac:dyDescent="0.3">
      <c r="A1" s="16" t="s">
        <v>256</v>
      </c>
      <c r="B1" s="16" t="s">
        <v>100</v>
      </c>
      <c r="C1" s="16" t="s">
        <v>2</v>
      </c>
      <c r="D1" s="16" t="s">
        <v>1</v>
      </c>
      <c r="E1" s="16" t="s">
        <v>257</v>
      </c>
      <c r="F1" s="16" t="s">
        <v>258</v>
      </c>
      <c r="G1" s="16" t="s">
        <v>26</v>
      </c>
      <c r="H1" s="16" t="s">
        <v>259</v>
      </c>
      <c r="I1" s="16" t="s">
        <v>260</v>
      </c>
      <c r="J1" s="16" t="s">
        <v>261</v>
      </c>
      <c r="K1" s="19" t="s">
        <v>262</v>
      </c>
    </row>
    <row r="2" spans="1:11" x14ac:dyDescent="0.3">
      <c r="A2" s="37" t="str">
        <f>IF(C2&lt;&gt;"", "DM-" &amp; TEXT(9000 + ROW(A2) - 1, "0000"), "")</f>
        <v/>
      </c>
      <c r="B2" s="37"/>
      <c r="C2" s="37"/>
      <c r="D2" s="48"/>
      <c r="E2" s="38"/>
      <c r="F2" s="38"/>
      <c r="G2" s="37"/>
      <c r="H2" s="39"/>
      <c r="I2" s="39" t="str">
        <f>IF(B2="", "",H2+F2)</f>
        <v/>
      </c>
      <c r="J2" s="37"/>
      <c r="K2" s="4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9">
    <tabColor rgb="FF92D050"/>
  </sheetPr>
  <dimension ref="A1:E2"/>
  <sheetViews>
    <sheetView workbookViewId="0">
      <pane ySplit="1" topLeftCell="A2" activePane="bottomLeft" state="frozen"/>
      <selection activeCell="G20" sqref="G20"/>
      <selection pane="bottomLeft" activeCell="E2" sqref="E2"/>
    </sheetView>
  </sheetViews>
  <sheetFormatPr baseColWidth="10" defaultColWidth="8.88671875" defaultRowHeight="14.4" x14ac:dyDescent="0.3"/>
  <cols>
    <col min="1" max="1" width="11" style="1" customWidth="1"/>
    <col min="2" max="2" width="10" style="1" customWidth="1"/>
    <col min="3" max="3" width="27" style="5" customWidth="1"/>
    <col min="4" max="4" width="15" style="1" customWidth="1"/>
    <col min="5" max="5" width="60" style="6" customWidth="1"/>
  </cols>
  <sheetData>
    <row r="1" spans="1:5" x14ac:dyDescent="0.3">
      <c r="A1" s="8" t="s">
        <v>263</v>
      </c>
      <c r="B1" s="9" t="s">
        <v>1</v>
      </c>
      <c r="C1" s="8" t="s">
        <v>264</v>
      </c>
      <c r="D1" s="9" t="s">
        <v>265</v>
      </c>
      <c r="E1" s="10" t="s">
        <v>266</v>
      </c>
    </row>
    <row r="2" spans="1:5" x14ac:dyDescent="0.3">
      <c r="A2" s="1" t="str">
        <f>IF(B2&lt;&gt;"", "ANU-" &amp; TEXT(11000 + ROW(A2) - 1, "0000"), "")</f>
        <v/>
      </c>
      <c r="D2" s="4"/>
    </row>
  </sheetData>
  <phoneticPr fontId="8" type="noConversion"/>
  <pageMargins left="0.75" right="0.75" top="1" bottom="1" header="0.5" footer="0.5"/>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dimension ref="A1:I117"/>
  <sheetViews>
    <sheetView topLeftCell="B1" workbookViewId="0">
      <selection activeCell="C15" sqref="C15"/>
    </sheetView>
  </sheetViews>
  <sheetFormatPr baseColWidth="10" defaultColWidth="11.44140625" defaultRowHeight="14.4" x14ac:dyDescent="0.3"/>
  <cols>
    <col min="2" max="2" width="65.33203125" customWidth="1"/>
    <col min="3" max="3" width="21.33203125" customWidth="1"/>
    <col min="4" max="4" width="73" customWidth="1"/>
    <col min="7" max="7" width="17.88671875" customWidth="1"/>
    <col min="8" max="8" width="23.33203125" customWidth="1"/>
    <col min="9" max="9" width="34.33203125" customWidth="1"/>
  </cols>
  <sheetData>
    <row r="1" spans="1:9" x14ac:dyDescent="0.3">
      <c r="A1" t="str" cm="1">
        <f t="array" ref="A1">_xlfn.UNIQUE(tbl_Accidentes[AccidenteID])</f>
        <v>ACC-4001</v>
      </c>
      <c r="B1" t="str" cm="1">
        <f t="array" ref="B1:B117">_xlfn.UNIQUE(tbl_Trabajadores[Nombre])</f>
        <v>AGUILAR HIPOLITO GIAN PIERRE</v>
      </c>
      <c r="C1" s="1" t="s">
        <v>122</v>
      </c>
      <c r="D1" t="s">
        <v>267</v>
      </c>
      <c r="E1" cm="1">
        <f t="array" ref="E1">_xlfn.UNIQUE(Tabla_Seguimiento_Vigilancia[Nombre])</f>
        <v>0</v>
      </c>
      <c r="F1" t="s">
        <v>268</v>
      </c>
      <c r="G1" t="s">
        <v>140</v>
      </c>
      <c r="H1" t="str" cm="1">
        <f t="array" ref="H1:H10">_xlfn.UNIQUE(G1:G46)</f>
        <v>Cabeza</v>
      </c>
      <c r="I1" t="str" cm="1">
        <f t="array" ref="I1:I24">_xlfn.UNIQUE(tbl_Trabajadores[Área])</f>
        <v>Almacen</v>
      </c>
    </row>
    <row r="2" spans="1:9" x14ac:dyDescent="0.3">
      <c r="B2" t="str">
        <v>AGUILAR HIPOLITO JUNIOR ALFRED</v>
      </c>
      <c r="C2" s="1" t="s">
        <v>133</v>
      </c>
      <c r="D2" t="s">
        <v>511</v>
      </c>
      <c r="F2" t="s">
        <v>269</v>
      </c>
      <c r="G2" t="s">
        <v>140</v>
      </c>
      <c r="H2" t="str">
        <v>Torso Alto</v>
      </c>
      <c r="I2" t="str">
        <v>Imprenta</v>
      </c>
    </row>
    <row r="3" spans="1:9" x14ac:dyDescent="0.3">
      <c r="B3" t="str">
        <v>ALCALA CARRASCO CARMEN INES</v>
      </c>
      <c r="C3" s="1" t="s">
        <v>134</v>
      </c>
      <c r="D3" t="s">
        <v>512</v>
      </c>
      <c r="F3" t="s">
        <v>270</v>
      </c>
      <c r="G3" t="s">
        <v>140</v>
      </c>
      <c r="H3" t="str">
        <v>Torso Bajo</v>
      </c>
      <c r="I3" t="str">
        <v>Compras</v>
      </c>
    </row>
    <row r="4" spans="1:9" x14ac:dyDescent="0.3">
      <c r="B4" t="str">
        <v>ALDERETTE ALVARADO JOSSHUA JEREMY</v>
      </c>
      <c r="C4" s="1" t="s">
        <v>141</v>
      </c>
      <c r="D4" t="s">
        <v>513</v>
      </c>
      <c r="F4" t="s">
        <v>271</v>
      </c>
      <c r="G4" t="s">
        <v>140</v>
      </c>
      <c r="H4" t="str">
        <v>Brazos</v>
      </c>
      <c r="I4" t="str">
        <v>Logística</v>
      </c>
    </row>
    <row r="5" spans="1:9" x14ac:dyDescent="0.3">
      <c r="B5" t="str">
        <v>ALONSO FLORES VICENTE MAK</v>
      </c>
      <c r="C5" s="1" t="s">
        <v>143</v>
      </c>
      <c r="D5" t="s">
        <v>514</v>
      </c>
      <c r="F5" t="s">
        <v>272</v>
      </c>
      <c r="G5" t="s">
        <v>140</v>
      </c>
      <c r="H5" t="str">
        <v>Codos</v>
      </c>
      <c r="I5" t="str">
        <v>Control de Calidad</v>
      </c>
    </row>
    <row r="6" spans="1:9" x14ac:dyDescent="0.3">
      <c r="B6" t="str">
        <v>AMBROSIO GARCIA RENATO ANDREE</v>
      </c>
      <c r="C6" s="1" t="s">
        <v>152</v>
      </c>
      <c r="F6" t="s">
        <v>273</v>
      </c>
      <c r="G6" t="s">
        <v>140</v>
      </c>
      <c r="H6" t="str">
        <v>Manos</v>
      </c>
      <c r="I6" t="str">
        <v>Producción</v>
      </c>
    </row>
    <row r="7" spans="1:9" x14ac:dyDescent="0.3">
      <c r="B7" t="str">
        <v>ANGULO MEJORADA MARIBEL</v>
      </c>
      <c r="C7" s="1" t="s">
        <v>155</v>
      </c>
      <c r="F7" t="s">
        <v>274</v>
      </c>
      <c r="G7" t="s">
        <v>140</v>
      </c>
      <c r="H7" t="str">
        <v>Muslos</v>
      </c>
      <c r="I7" t="str">
        <v>Contabilidad</v>
      </c>
    </row>
    <row r="8" spans="1:9" x14ac:dyDescent="0.3">
      <c r="B8" t="str">
        <v>ARANGO SARMIENTO PAOLA SAMANTHA</v>
      </c>
      <c r="C8" s="1" t="s">
        <v>162</v>
      </c>
      <c r="F8" t="s">
        <v>275</v>
      </c>
      <c r="G8" t="s">
        <v>142</v>
      </c>
      <c r="H8" t="str">
        <v>Rodillas</v>
      </c>
      <c r="I8" t="str">
        <v>Limpieza</v>
      </c>
    </row>
    <row r="9" spans="1:9" x14ac:dyDescent="0.3">
      <c r="B9" t="str">
        <v>ARATOMA RAYMUNDO NILS JORDAN</v>
      </c>
      <c r="C9" s="1" t="s">
        <v>164</v>
      </c>
      <c r="F9" t="s">
        <v>276</v>
      </c>
      <c r="G9" t="s">
        <v>142</v>
      </c>
      <c r="H9" t="str">
        <v>Pantorrilla</v>
      </c>
      <c r="I9" t="str">
        <v>Ventas</v>
      </c>
    </row>
    <row r="10" spans="1:9" x14ac:dyDescent="0.3">
      <c r="B10" t="str">
        <v>ARAUZO ZEVALLOS KAREN</v>
      </c>
      <c r="C10" s="1" t="s">
        <v>166</v>
      </c>
      <c r="F10" t="s">
        <v>277</v>
      </c>
      <c r="G10" t="s">
        <v>142</v>
      </c>
      <c r="H10" t="str">
        <v>Pies</v>
      </c>
      <c r="I10" t="str">
        <v>Lavandería</v>
      </c>
    </row>
    <row r="11" spans="1:9" x14ac:dyDescent="0.3">
      <c r="B11" t="str">
        <v>ARIAS SAEZ ELIZABETH</v>
      </c>
      <c r="C11" s="1" t="s">
        <v>169</v>
      </c>
      <c r="F11" t="s">
        <v>278</v>
      </c>
      <c r="G11" t="s">
        <v>142</v>
      </c>
      <c r="I11" t="str">
        <v>Facturación</v>
      </c>
    </row>
    <row r="12" spans="1:9" x14ac:dyDescent="0.3">
      <c r="B12" t="str">
        <v>AYALA LIMAYLLA FRANK ELOY</v>
      </c>
      <c r="C12" s="1" t="s">
        <v>171</v>
      </c>
      <c r="F12" t="s">
        <v>279</v>
      </c>
      <c r="G12" t="s">
        <v>142</v>
      </c>
      <c r="I12" t="str">
        <v>Sistemas</v>
      </c>
    </row>
    <row r="13" spans="1:9" x14ac:dyDescent="0.3">
      <c r="B13" t="str">
        <v>BALLON MANTILLA GENARA</v>
      </c>
      <c r="C13" s="1" t="s">
        <v>173</v>
      </c>
      <c r="F13" t="s">
        <v>280</v>
      </c>
      <c r="G13" t="s">
        <v>151</v>
      </c>
      <c r="I13" t="str">
        <v>Marketing</v>
      </c>
    </row>
    <row r="14" spans="1:9" x14ac:dyDescent="0.3">
      <c r="B14" t="str">
        <v>BARRENA NUÑEZ JOSSELIN JESSICA</v>
      </c>
      <c r="C14" s="1"/>
      <c r="F14" t="s">
        <v>281</v>
      </c>
      <c r="G14" t="s">
        <v>151</v>
      </c>
      <c r="I14" t="str">
        <v>Gerencia</v>
      </c>
    </row>
    <row r="15" spans="1:9" x14ac:dyDescent="0.3">
      <c r="B15" t="str">
        <v>BRAVO CAMAREMA JHON OSCAR</v>
      </c>
      <c r="C15" s="1" t="s">
        <v>617</v>
      </c>
      <c r="F15" t="s">
        <v>282</v>
      </c>
      <c r="G15" t="s">
        <v>151</v>
      </c>
      <c r="I15" t="str">
        <v>Vigilancia</v>
      </c>
    </row>
    <row r="16" spans="1:9" x14ac:dyDescent="0.3">
      <c r="B16" t="str">
        <v>BRAVO CAMARENA HENRY WILLIAM</v>
      </c>
      <c r="C16" s="1">
        <v>2025</v>
      </c>
      <c r="F16" t="s">
        <v>283</v>
      </c>
      <c r="G16" t="s">
        <v>151</v>
      </c>
      <c r="I16" t="str">
        <v>Mantenimiento</v>
      </c>
    </row>
    <row r="17" spans="2:9" hidden="1" x14ac:dyDescent="0.3">
      <c r="B17" t="str">
        <v>CABEZUDO SANCHEZ JENNY SOLEDAD</v>
      </c>
      <c r="C17" s="1">
        <v>2026</v>
      </c>
      <c r="F17" t="s">
        <v>284</v>
      </c>
      <c r="G17" t="s">
        <v>151</v>
      </c>
      <c r="I17" t="str">
        <v>Capital Humano</v>
      </c>
    </row>
    <row r="18" spans="2:9" x14ac:dyDescent="0.3">
      <c r="B18" t="str">
        <v>CABRERA CIPRIANO ELIZABETH</v>
      </c>
      <c r="F18" t="s">
        <v>285</v>
      </c>
      <c r="G18" t="s">
        <v>154</v>
      </c>
      <c r="I18" t="str">
        <v>Aseguramiento de la Calidad</v>
      </c>
    </row>
    <row r="19" spans="2:9" x14ac:dyDescent="0.3">
      <c r="B19" t="str">
        <v>CALDERON HUAMANI JOSE EDUARDO</v>
      </c>
      <c r="F19" t="s">
        <v>286</v>
      </c>
      <c r="G19" t="s">
        <v>154</v>
      </c>
      <c r="I19">
        <v>0</v>
      </c>
    </row>
    <row r="20" spans="2:9" x14ac:dyDescent="0.3">
      <c r="B20" t="str">
        <v>CASTILLO CASTILLO LUIS</v>
      </c>
      <c r="F20" t="s">
        <v>287</v>
      </c>
      <c r="G20" t="s">
        <v>154</v>
      </c>
      <c r="I20" t="str">
        <v>Despacho</v>
      </c>
    </row>
    <row r="21" spans="2:9" x14ac:dyDescent="0.3">
      <c r="B21" t="str">
        <v>CHERRE GÁLVEZ PAOLO EVERS</v>
      </c>
      <c r="F21" t="s">
        <v>288</v>
      </c>
      <c r="G21" t="s">
        <v>154</v>
      </c>
      <c r="I21" t="str">
        <v>Tesorería</v>
      </c>
    </row>
    <row r="22" spans="2:9" x14ac:dyDescent="0.3">
      <c r="B22" t="str">
        <v>CHUÑOCCA QUISPE MIGUEL ANGEL</v>
      </c>
      <c r="F22" t="s">
        <v>289</v>
      </c>
      <c r="G22" t="s">
        <v>161</v>
      </c>
      <c r="I22" t="str">
        <v>Asuntos Regulatorios</v>
      </c>
    </row>
    <row r="23" spans="2:9" x14ac:dyDescent="0.3">
      <c r="B23" t="str">
        <v>COLLAZOS SALAZAR MARISOL ROSARIO</v>
      </c>
      <c r="F23" t="s">
        <v>290</v>
      </c>
      <c r="G23" t="s">
        <v>161</v>
      </c>
      <c r="I23" t="str">
        <v>Transporte</v>
      </c>
    </row>
    <row r="24" spans="2:9" x14ac:dyDescent="0.3">
      <c r="B24" t="str">
        <v>CONGACHA LEIVA YESENIA SANDY</v>
      </c>
      <c r="F24" t="s">
        <v>291</v>
      </c>
      <c r="G24" t="s">
        <v>163</v>
      </c>
      <c r="I24" t="str">
        <v>Investigación y Desarrollo</v>
      </c>
    </row>
    <row r="25" spans="2:9" x14ac:dyDescent="0.3">
      <c r="B25" t="str">
        <v>CORDOVA ROMERO ROGER SEBASTIAN</v>
      </c>
      <c r="F25" t="s">
        <v>292</v>
      </c>
      <c r="G25" t="s">
        <v>163</v>
      </c>
    </row>
    <row r="26" spans="2:9" x14ac:dyDescent="0.3">
      <c r="B26" t="str">
        <v>DAVILA RUPAY ANGELICA MARIA</v>
      </c>
      <c r="F26" t="s">
        <v>293</v>
      </c>
      <c r="G26" t="s">
        <v>163</v>
      </c>
    </row>
    <row r="27" spans="2:9" x14ac:dyDescent="0.3">
      <c r="B27" t="str">
        <v>DE LA CRUZ CORONEL YOLANDA</v>
      </c>
      <c r="F27" t="s">
        <v>294</v>
      </c>
      <c r="G27" t="s">
        <v>163</v>
      </c>
    </row>
    <row r="28" spans="2:9" x14ac:dyDescent="0.3">
      <c r="B28" t="str">
        <v>DIAZ BARRETO ELOTERIO</v>
      </c>
      <c r="F28" t="s">
        <v>295</v>
      </c>
      <c r="G28" t="s">
        <v>163</v>
      </c>
    </row>
    <row r="29" spans="2:9" x14ac:dyDescent="0.3">
      <c r="B29" t="str">
        <v>ENCALADA OSCCO PEDRO JESUS</v>
      </c>
      <c r="F29" t="s">
        <v>296</v>
      </c>
      <c r="G29" t="s">
        <v>165</v>
      </c>
    </row>
    <row r="30" spans="2:9" x14ac:dyDescent="0.3">
      <c r="B30" t="str">
        <v>ENCISO JACINTO ERIKA PATRICIA</v>
      </c>
      <c r="F30" t="s">
        <v>297</v>
      </c>
      <c r="G30" t="s">
        <v>165</v>
      </c>
    </row>
    <row r="31" spans="2:9" x14ac:dyDescent="0.3">
      <c r="B31" t="str">
        <v>ESPINOZA TORRES YUNYI ALEXANDRA</v>
      </c>
      <c r="F31" t="s">
        <v>298</v>
      </c>
      <c r="G31" t="s">
        <v>165</v>
      </c>
    </row>
    <row r="32" spans="2:9" x14ac:dyDescent="0.3">
      <c r="B32" t="str">
        <v>FARFÁN CUMPEN ANGEL ROBERTO</v>
      </c>
      <c r="F32" t="s">
        <v>299</v>
      </c>
      <c r="G32" t="s">
        <v>165</v>
      </c>
    </row>
    <row r="33" spans="2:7" x14ac:dyDescent="0.3">
      <c r="B33" t="str">
        <v>FARFAN FARFAN FREDDY EUGENIO</v>
      </c>
      <c r="F33" t="s">
        <v>300</v>
      </c>
      <c r="G33" t="s">
        <v>165</v>
      </c>
    </row>
    <row r="34" spans="2:7" x14ac:dyDescent="0.3">
      <c r="B34" t="str">
        <v>GALLEGOS CHU LINDA</v>
      </c>
      <c r="F34" t="s">
        <v>301</v>
      </c>
      <c r="G34" t="s">
        <v>168</v>
      </c>
    </row>
    <row r="35" spans="2:7" x14ac:dyDescent="0.3">
      <c r="B35" t="str">
        <v>GALLEGOS OSORES BETTY DIANA</v>
      </c>
      <c r="F35" t="s">
        <v>302</v>
      </c>
      <c r="G35" t="s">
        <v>168</v>
      </c>
    </row>
    <row r="36" spans="2:7" x14ac:dyDescent="0.3">
      <c r="B36" t="str">
        <v>GIRON ZAPATA JORGE</v>
      </c>
      <c r="F36" t="s">
        <v>303</v>
      </c>
      <c r="G36" t="s">
        <v>168</v>
      </c>
    </row>
    <row r="37" spans="2:7" x14ac:dyDescent="0.3">
      <c r="B37" t="str">
        <v>GONZALES BALLON ALEXANDER</v>
      </c>
      <c r="F37" t="s">
        <v>304</v>
      </c>
      <c r="G37" t="s">
        <v>168</v>
      </c>
    </row>
    <row r="38" spans="2:7" x14ac:dyDescent="0.3">
      <c r="B38" t="str">
        <v>GONZALES BALLON CRISTHIAN</v>
      </c>
      <c r="F38" t="s">
        <v>305</v>
      </c>
      <c r="G38" t="s">
        <v>170</v>
      </c>
    </row>
    <row r="39" spans="2:7" x14ac:dyDescent="0.3">
      <c r="B39" t="str">
        <v>GONZALES BALLON LUIS ENRIQUE</v>
      </c>
      <c r="F39" t="s">
        <v>306</v>
      </c>
      <c r="G39" t="s">
        <v>170</v>
      </c>
    </row>
    <row r="40" spans="2:7" x14ac:dyDescent="0.3">
      <c r="B40" t="str">
        <v>GONZALES SULLCA CELSO</v>
      </c>
      <c r="F40" t="s">
        <v>307</v>
      </c>
      <c r="G40" t="s">
        <v>170</v>
      </c>
    </row>
    <row r="41" spans="2:7" x14ac:dyDescent="0.3">
      <c r="B41" t="str">
        <v>HUAMALI URBANO YAHER EVER</v>
      </c>
      <c r="F41" t="s">
        <v>308</v>
      </c>
      <c r="G41" t="s">
        <v>170</v>
      </c>
    </row>
    <row r="42" spans="2:7" x14ac:dyDescent="0.3">
      <c r="B42" t="str">
        <v>HUAMAN GUERRERO MARITZA</v>
      </c>
      <c r="F42" t="s">
        <v>309</v>
      </c>
      <c r="G42" t="s">
        <v>172</v>
      </c>
    </row>
    <row r="43" spans="2:7" x14ac:dyDescent="0.3">
      <c r="B43" t="str">
        <v>HUAMANI ORTIZ YOVER</v>
      </c>
      <c r="F43" t="s">
        <v>310</v>
      </c>
      <c r="G43" t="s">
        <v>172</v>
      </c>
    </row>
    <row r="44" spans="2:7" x14ac:dyDescent="0.3">
      <c r="B44" t="str">
        <v>IDONE VILLARROEL LUIS ALBERTO</v>
      </c>
      <c r="F44" t="s">
        <v>311</v>
      </c>
      <c r="G44" t="s">
        <v>172</v>
      </c>
    </row>
    <row r="45" spans="2:7" x14ac:dyDescent="0.3">
      <c r="B45" t="str">
        <v>IDROGO DAVILA RICARDO MANUEL</v>
      </c>
      <c r="F45" t="s">
        <v>312</v>
      </c>
      <c r="G45" t="s">
        <v>172</v>
      </c>
    </row>
    <row r="46" spans="2:7" x14ac:dyDescent="0.3">
      <c r="B46" t="str">
        <v>INGA ORTIZ PEDRO FRANCISCO</v>
      </c>
      <c r="F46" t="s">
        <v>313</v>
      </c>
      <c r="G46" t="s">
        <v>172</v>
      </c>
    </row>
    <row r="47" spans="2:7" x14ac:dyDescent="0.3">
      <c r="B47" t="str">
        <v>INUMA INUMA DAVID</v>
      </c>
    </row>
    <row r="48" spans="2:7" x14ac:dyDescent="0.3">
      <c r="B48" t="str">
        <v>JO MONTI CHRISTIAN ALBERTO</v>
      </c>
    </row>
    <row r="49" spans="2:2" x14ac:dyDescent="0.3">
      <c r="B49" t="str">
        <v>JO SALAVERRY ANTONELLA FRANCESCA</v>
      </c>
    </row>
    <row r="50" spans="2:2" x14ac:dyDescent="0.3">
      <c r="B50" t="str">
        <v>LARA DE LA TORRE MARY SUSAN</v>
      </c>
    </row>
    <row r="51" spans="2:2" x14ac:dyDescent="0.3">
      <c r="B51" t="str">
        <v>LAZARO BARRETO ROBERTO CESAR</v>
      </c>
    </row>
    <row r="52" spans="2:2" x14ac:dyDescent="0.3">
      <c r="B52" t="str">
        <v>LAZO CAMARGO GERALDINE VERUSKA</v>
      </c>
    </row>
    <row r="53" spans="2:2" x14ac:dyDescent="0.3">
      <c r="B53" t="str">
        <v>LIZANO MEZA MARCELO FERNANDO</v>
      </c>
    </row>
    <row r="54" spans="2:2" x14ac:dyDescent="0.3">
      <c r="B54" t="str">
        <v>LOAYZA DE LA CRUZ YOVANA</v>
      </c>
    </row>
    <row r="55" spans="2:2" x14ac:dyDescent="0.3">
      <c r="B55" t="str">
        <v>LUCAS FERNANDEZ MELANY</v>
      </c>
    </row>
    <row r="56" spans="2:2" x14ac:dyDescent="0.3">
      <c r="B56" t="str">
        <v>LUNA ERHUAY KARLO ANDRE</v>
      </c>
    </row>
    <row r="57" spans="2:2" x14ac:dyDescent="0.3">
      <c r="B57" t="str">
        <v>LUNA LUCAS MARCO ANTONIO</v>
      </c>
    </row>
    <row r="58" spans="2:2" x14ac:dyDescent="0.3">
      <c r="B58" t="str">
        <v>MAMANI LARICO OSCAR MARCO</v>
      </c>
    </row>
    <row r="59" spans="2:2" x14ac:dyDescent="0.3">
      <c r="B59" t="str">
        <v>MARIN LOPEZ EDISON JUAN</v>
      </c>
    </row>
    <row r="60" spans="2:2" x14ac:dyDescent="0.3">
      <c r="B60" t="str">
        <v>MARTIN DIAZ JORGE LUIS</v>
      </c>
    </row>
    <row r="61" spans="2:2" x14ac:dyDescent="0.3">
      <c r="B61" t="str">
        <v>MEDRANO GOMEZ GREGORIA</v>
      </c>
    </row>
    <row r="62" spans="2:2" x14ac:dyDescent="0.3">
      <c r="B62" t="str">
        <v>MENDEZ FELIX NELIDA CINDY</v>
      </c>
    </row>
    <row r="63" spans="2:2" x14ac:dyDescent="0.3">
      <c r="B63" t="str">
        <v>MONTES FLORES WALTER EUTEMIO</v>
      </c>
    </row>
    <row r="64" spans="2:2" x14ac:dyDescent="0.3">
      <c r="B64" t="str">
        <v>MONTESINOS RIOS EBERHARD</v>
      </c>
    </row>
    <row r="65" spans="2:2" x14ac:dyDescent="0.3">
      <c r="B65" t="str">
        <v>MORALES CALDERON CRISTINA AURORA</v>
      </c>
    </row>
    <row r="66" spans="2:2" x14ac:dyDescent="0.3">
      <c r="B66" t="str">
        <v>MORALES ESPINOZA EMANUEL ABDIAS</v>
      </c>
    </row>
    <row r="67" spans="2:2" x14ac:dyDescent="0.3">
      <c r="B67" t="str">
        <v>MORENO LAURA WAIZE DAVID</v>
      </c>
    </row>
    <row r="68" spans="2:2" x14ac:dyDescent="0.3">
      <c r="B68" t="str">
        <v>NOA BARRETO ANA LIZ</v>
      </c>
    </row>
    <row r="69" spans="2:2" x14ac:dyDescent="0.3">
      <c r="B69" t="str">
        <v>OCHANTE RICAPA ANGELICA ELIZABETH</v>
      </c>
    </row>
    <row r="70" spans="2:2" x14ac:dyDescent="0.3">
      <c r="B70" t="str">
        <v>ODIAGA BERNAL ANA KARINA</v>
      </c>
    </row>
    <row r="71" spans="2:2" x14ac:dyDescent="0.3">
      <c r="B71" t="str">
        <v>PACHECO HUAMAN RICARDO MANUEL</v>
      </c>
    </row>
    <row r="72" spans="2:2" x14ac:dyDescent="0.3">
      <c r="B72" t="str">
        <v>PALOMINO TORRES CESAR AUGUSTO</v>
      </c>
    </row>
    <row r="73" spans="2:2" x14ac:dyDescent="0.3">
      <c r="B73" t="str">
        <v>PEÑALOZA ALMONACID ALEJANDRO JUNIOR</v>
      </c>
    </row>
    <row r="74" spans="2:2" x14ac:dyDescent="0.3">
      <c r="B74" t="str">
        <v>PIZARRO ROMERO JEAN MACKARTY</v>
      </c>
    </row>
    <row r="75" spans="2:2" x14ac:dyDescent="0.3">
      <c r="B75" t="str">
        <v>QUILLAY SALVADOR LUIS ARMANDO</v>
      </c>
    </row>
    <row r="76" spans="2:2" x14ac:dyDescent="0.3">
      <c r="B76" t="str">
        <v>QUISPE BAQUERIZO EDWIN FRANK</v>
      </c>
    </row>
    <row r="77" spans="2:2" x14ac:dyDescent="0.3">
      <c r="B77" t="str">
        <v>QUISPE BAQUERIZO ISMAEL FRANCO</v>
      </c>
    </row>
    <row r="78" spans="2:2" x14ac:dyDescent="0.3">
      <c r="B78" t="str">
        <v>QUISPE PEREZ ROSA</v>
      </c>
    </row>
    <row r="79" spans="2:2" x14ac:dyDescent="0.3">
      <c r="B79" t="str">
        <v>RAMIREZ ECHEGARAY HAROLD NEFIAH</v>
      </c>
    </row>
    <row r="80" spans="2:2" x14ac:dyDescent="0.3">
      <c r="B80" t="str">
        <v>RAMIREZ OBREGON JOSE ALFREDO</v>
      </c>
    </row>
    <row r="81" spans="2:2" x14ac:dyDescent="0.3">
      <c r="B81" t="str">
        <v>REYES RODRIGUEZ CRISTOPHER OMAR</v>
      </c>
    </row>
    <row r="82" spans="2:2" x14ac:dyDescent="0.3">
      <c r="B82" t="str">
        <v>REYNA ORE LUIS ALBERTO</v>
      </c>
    </row>
    <row r="83" spans="2:2" x14ac:dyDescent="0.3">
      <c r="B83" t="str">
        <v>RIVERA FERNANDEZ ESTELITA EUGENIA</v>
      </c>
    </row>
    <row r="84" spans="2:2" x14ac:dyDescent="0.3">
      <c r="B84" t="str">
        <v>ROA SANTOS CHRISTIAN CRISTOFER</v>
      </c>
    </row>
    <row r="85" spans="2:2" x14ac:dyDescent="0.3">
      <c r="B85" t="str">
        <v>ROIRO DE LA CRUZ JANETH</v>
      </c>
    </row>
    <row r="86" spans="2:2" x14ac:dyDescent="0.3">
      <c r="B86" t="str">
        <v>ROMERO ORTEGA RAUL ENRIQUE</v>
      </c>
    </row>
    <row r="87" spans="2:2" x14ac:dyDescent="0.3">
      <c r="B87" t="str">
        <v>ROSADO SALAZAR ARMANDO ANDRES</v>
      </c>
    </row>
    <row r="88" spans="2:2" x14ac:dyDescent="0.3">
      <c r="B88" t="str">
        <v>ROSALES RIVERA JOSE ANTONIO</v>
      </c>
    </row>
    <row r="89" spans="2:2" x14ac:dyDescent="0.3">
      <c r="B89" t="str">
        <v>SANCHEZ MELO MARIO ALBERTO</v>
      </c>
    </row>
    <row r="90" spans="2:2" x14ac:dyDescent="0.3">
      <c r="B90" t="str">
        <v>SANCHEZ JIBAJA GIOVANNA PATRICIA</v>
      </c>
    </row>
    <row r="91" spans="2:2" x14ac:dyDescent="0.3">
      <c r="B91" t="str">
        <v>SANCHEZ SALDAÑA LUDITH</v>
      </c>
    </row>
    <row r="92" spans="2:2" x14ac:dyDescent="0.3">
      <c r="B92" t="str">
        <v>SANTOS JIMENEZ LILIANA LIZBETH</v>
      </c>
    </row>
    <row r="93" spans="2:2" x14ac:dyDescent="0.3">
      <c r="B93" t="str">
        <v>SANTOS ROMAN FIORELA MIRELLA</v>
      </c>
    </row>
    <row r="94" spans="2:2" x14ac:dyDescent="0.3">
      <c r="B94" t="str">
        <v>SAPAICO PRESENTACION ERIKA JOVANA</v>
      </c>
    </row>
    <row r="95" spans="2:2" x14ac:dyDescent="0.3">
      <c r="B95" t="str">
        <v>SARAVIA AVALOS VICTOR HUGO</v>
      </c>
    </row>
    <row r="96" spans="2:2" x14ac:dyDescent="0.3">
      <c r="B96" t="str">
        <v>SUCLUPE SANCHEZ ANGEL</v>
      </c>
    </row>
    <row r="97" spans="2:2" x14ac:dyDescent="0.3">
      <c r="B97" t="str">
        <v>SULCA BALDEON RENE</v>
      </c>
    </row>
    <row r="98" spans="2:2" x14ac:dyDescent="0.3">
      <c r="B98" t="str">
        <v>TELLO CARLIN RAFAHEL ANTONIO</v>
      </c>
    </row>
    <row r="99" spans="2:2" x14ac:dyDescent="0.3">
      <c r="B99" t="str">
        <v>TIRADO DELGADO OLIVER PETER</v>
      </c>
    </row>
    <row r="100" spans="2:2" x14ac:dyDescent="0.3">
      <c r="B100" t="str">
        <v>TORIBIO SINCHE JUANITA</v>
      </c>
    </row>
    <row r="101" spans="2:2" x14ac:dyDescent="0.3">
      <c r="B101" t="str">
        <v>TORRES PERALTA YERSON ROLLY</v>
      </c>
    </row>
    <row r="102" spans="2:2" x14ac:dyDescent="0.3">
      <c r="B102" t="str">
        <v>TRISTAN VIDALON MARIBEL</v>
      </c>
    </row>
    <row r="103" spans="2:2" x14ac:dyDescent="0.3">
      <c r="B103" t="str">
        <v>VARGAS DORIVAL LUISA ERIKA</v>
      </c>
    </row>
    <row r="104" spans="2:2" x14ac:dyDescent="0.3">
      <c r="B104" t="str">
        <v>VASQUEZ ALCANTARA NILTON CESAR</v>
      </c>
    </row>
    <row r="105" spans="2:2" x14ac:dyDescent="0.3">
      <c r="B105" t="str">
        <v>VASQUEZ OCHOA SOFIA</v>
      </c>
    </row>
    <row r="106" spans="2:2" x14ac:dyDescent="0.3">
      <c r="B106" t="str">
        <v>VASQUEZ RAMIREZ MARCELA MARLENE</v>
      </c>
    </row>
    <row r="107" spans="2:2" x14ac:dyDescent="0.3">
      <c r="B107" t="str">
        <v>VELASQUEZ PÁLIZA LESLIE MABEL</v>
      </c>
    </row>
    <row r="108" spans="2:2" x14ac:dyDescent="0.3">
      <c r="B108" t="str">
        <v>VILA GARCIA CHRISTIAN SERAPIO</v>
      </c>
    </row>
    <row r="109" spans="2:2" x14ac:dyDescent="0.3">
      <c r="B109" t="str">
        <v>VILCA RIMACHA JAVIER</v>
      </c>
    </row>
    <row r="110" spans="2:2" x14ac:dyDescent="0.3">
      <c r="B110" t="str">
        <v>VILLALOBOS BAYTON MARLENE AUGUSTA</v>
      </c>
    </row>
    <row r="111" spans="2:2" x14ac:dyDescent="0.3">
      <c r="B111" t="str">
        <v>VILLEGAS HUAYTA DANTE ENRIQUE</v>
      </c>
    </row>
    <row r="112" spans="2:2" x14ac:dyDescent="0.3">
      <c r="B112" t="str">
        <v>WONG RAMOS ALEJANDRO KIM</v>
      </c>
    </row>
    <row r="113" spans="2:2" x14ac:dyDescent="0.3">
      <c r="B113" t="str">
        <v>YACE NAVARRO YASMIN</v>
      </c>
    </row>
    <row r="114" spans="2:2" x14ac:dyDescent="0.3">
      <c r="B114" t="str">
        <v>YAÑEZ ÑAHUIS FIORELLA DEL CARMEN</v>
      </c>
    </row>
    <row r="115" spans="2:2" x14ac:dyDescent="0.3">
      <c r="B115" t="str">
        <v>YAURI JULIAN EDINSON APOLINARIO</v>
      </c>
    </row>
    <row r="116" spans="2:2" x14ac:dyDescent="0.3">
      <c r="B116" t="str">
        <v>ZAMORA JIMENEZ TANIA LISSETTE</v>
      </c>
    </row>
    <row r="117" spans="2:2" x14ac:dyDescent="0.3">
      <c r="B117" t="str">
        <v>ZAVALA PUENTE EDGAR PEDRO</v>
      </c>
    </row>
  </sheetData>
  <phoneticPr fontId="8" type="noConversion"/>
  <pageMargins left="0.7" right="0.7" top="0.75" bottom="0.75" header="0.3" footer="0.3"/>
  <drawing r:id="rId1"/>
  <tableParts count="3">
    <tablePart r:id="rId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1</vt:i4>
      </vt:variant>
    </vt:vector>
  </HeadingPairs>
  <TitlesOfParts>
    <vt:vector size="17" baseType="lpstr">
      <vt:lpstr>Trabajadores</vt:lpstr>
      <vt:lpstr>Accidentes</vt:lpstr>
      <vt:lpstr>Atenciones</vt:lpstr>
      <vt:lpstr>Vacunaciones</vt:lpstr>
      <vt:lpstr>STATS</vt:lpstr>
      <vt:lpstr>DASHBOARD_ACCIDENTES</vt:lpstr>
      <vt:lpstr>DASHBOARD_TRABAJADORES</vt:lpstr>
      <vt:lpstr>Seguimiento_Accidentes</vt:lpstr>
      <vt:lpstr>Programaciones</vt:lpstr>
      <vt:lpstr>Historial_Trabajadores</vt:lpstr>
      <vt:lpstr>Capacitaciones</vt:lpstr>
      <vt:lpstr>VMO_Seguimiento</vt:lpstr>
      <vt:lpstr>Registro EMO</vt:lpstr>
      <vt:lpstr>Descansos_Medicos</vt:lpstr>
      <vt:lpstr>Anuncios</vt:lpstr>
      <vt:lpstr>ListasAuxiliares</vt:lpstr>
      <vt:lpstr>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u202111660 (Melgar Puertas, Jose Guillermo)</cp:lastModifiedBy>
  <cp:revision/>
  <dcterms:created xsi:type="dcterms:W3CDTF">2025-12-20T03:49:52Z</dcterms:created>
  <dcterms:modified xsi:type="dcterms:W3CDTF">2026-02-24T16:24:01Z</dcterms:modified>
  <cp:category/>
  <cp:contentStatus/>
</cp:coreProperties>
</file>